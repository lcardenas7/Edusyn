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 C\Downloads\"/>
    </mc:Choice>
  </mc:AlternateContent>
  <xr:revisionPtr revIDLastSave="0" documentId="11_677B2012AEA03041E645597EA76F41D73C8182E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A" sheetId="1" r:id="rId1"/>
    <sheet name="8B" sheetId="2" r:id="rId2"/>
    <sheet name="8C" sheetId="3" r:id="rId3"/>
    <sheet name="DESEMPEÑ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16iAZ3G70lKTI9LdWnlu+AP2qi7ZXf7+sCqFI75hPU="/>
    </ext>
  </extLst>
</workbook>
</file>

<file path=xl/calcChain.xml><?xml version="1.0" encoding="utf-8"?>
<calcChain xmlns="http://schemas.openxmlformats.org/spreadsheetml/2006/main">
  <c r="DI42" i="3" l="1"/>
  <c r="DE42" i="3"/>
  <c r="DF42" i="3" s="1"/>
  <c r="CY42" i="3"/>
  <c r="CZ42" i="3" s="1"/>
  <c r="CS42" i="3"/>
  <c r="CT42" i="3" s="1"/>
  <c r="CM42" i="3"/>
  <c r="CN42" i="3" s="1"/>
  <c r="CG42" i="3"/>
  <c r="CH42" i="3" s="1"/>
  <c r="CA42" i="3"/>
  <c r="CB42" i="3" s="1"/>
  <c r="BU42" i="3"/>
  <c r="BV42" i="3" s="1"/>
  <c r="BO42" i="3"/>
  <c r="BP42" i="3" s="1"/>
  <c r="BI42" i="3"/>
  <c r="BJ42" i="3" s="1"/>
  <c r="BC42" i="3"/>
  <c r="BD42" i="3" s="1"/>
  <c r="AW42" i="3"/>
  <c r="AX42" i="3" s="1"/>
  <c r="AQ42" i="3"/>
  <c r="AR42" i="3" s="1"/>
  <c r="AK42" i="3"/>
  <c r="AL42" i="3" s="1"/>
  <c r="AE42" i="3"/>
  <c r="AF42" i="3" s="1"/>
  <c r="Y42" i="3"/>
  <c r="Z42" i="3" s="1"/>
  <c r="T42" i="3"/>
  <c r="S42" i="3"/>
  <c r="M42" i="3"/>
  <c r="DI41" i="3"/>
  <c r="DE41" i="3"/>
  <c r="DF41" i="3" s="1"/>
  <c r="CY41" i="3"/>
  <c r="CZ41" i="3" s="1"/>
  <c r="CS41" i="3"/>
  <c r="CT41" i="3" s="1"/>
  <c r="CM41" i="3"/>
  <c r="CN41" i="3" s="1"/>
  <c r="CG41" i="3"/>
  <c r="CH41" i="3" s="1"/>
  <c r="CA41" i="3"/>
  <c r="CB41" i="3" s="1"/>
  <c r="BV41" i="3"/>
  <c r="BU41" i="3"/>
  <c r="BO41" i="3"/>
  <c r="BP41" i="3" s="1"/>
  <c r="BI41" i="3"/>
  <c r="BJ41" i="3" s="1"/>
  <c r="BC41" i="3"/>
  <c r="BD41" i="3" s="1"/>
  <c r="AW41" i="3"/>
  <c r="AX41" i="3" s="1"/>
  <c r="AQ41" i="3"/>
  <c r="AR41" i="3" s="1"/>
  <c r="AK41" i="3"/>
  <c r="AL41" i="3" s="1"/>
  <c r="AE41" i="3"/>
  <c r="AF41" i="3" s="1"/>
  <c r="Y41" i="3"/>
  <c r="Z41" i="3" s="1"/>
  <c r="S41" i="3"/>
  <c r="T41" i="3" s="1"/>
  <c r="M41" i="3"/>
  <c r="DI40" i="3"/>
  <c r="DE40" i="3"/>
  <c r="DF40" i="3" s="1"/>
  <c r="CY40" i="3"/>
  <c r="CZ40" i="3" s="1"/>
  <c r="CS40" i="3"/>
  <c r="CT40" i="3" s="1"/>
  <c r="CM40" i="3"/>
  <c r="CN40" i="3" s="1"/>
  <c r="CG40" i="3"/>
  <c r="CH40" i="3" s="1"/>
  <c r="CA40" i="3"/>
  <c r="CB40" i="3" s="1"/>
  <c r="BU40" i="3"/>
  <c r="BV40" i="3" s="1"/>
  <c r="BO40" i="3"/>
  <c r="BP40" i="3" s="1"/>
  <c r="BI40" i="3"/>
  <c r="BJ40" i="3" s="1"/>
  <c r="BC40" i="3"/>
  <c r="BD40" i="3" s="1"/>
  <c r="AX40" i="3"/>
  <c r="AW40" i="3"/>
  <c r="AQ40" i="3"/>
  <c r="AR40" i="3" s="1"/>
  <c r="AK40" i="3"/>
  <c r="AL40" i="3" s="1"/>
  <c r="AE40" i="3"/>
  <c r="AF40" i="3" s="1"/>
  <c r="Y40" i="3"/>
  <c r="Z40" i="3" s="1"/>
  <c r="S40" i="3"/>
  <c r="T40" i="3" s="1"/>
  <c r="M40" i="3"/>
  <c r="N40" i="3" s="1"/>
  <c r="DI39" i="3"/>
  <c r="DE39" i="3"/>
  <c r="DF39" i="3" s="1"/>
  <c r="CY39" i="3"/>
  <c r="CZ39" i="3" s="1"/>
  <c r="CS39" i="3"/>
  <c r="CT39" i="3" s="1"/>
  <c r="CM39" i="3"/>
  <c r="CN39" i="3" s="1"/>
  <c r="CG39" i="3"/>
  <c r="CH39" i="3" s="1"/>
  <c r="CA39" i="3"/>
  <c r="CB39" i="3" s="1"/>
  <c r="BU39" i="3"/>
  <c r="BV39" i="3" s="1"/>
  <c r="BO39" i="3"/>
  <c r="BP39" i="3" s="1"/>
  <c r="BI39" i="3"/>
  <c r="BJ39" i="3" s="1"/>
  <c r="BC39" i="3"/>
  <c r="BD39" i="3" s="1"/>
  <c r="AW39" i="3"/>
  <c r="AX39" i="3" s="1"/>
  <c r="AQ39" i="3"/>
  <c r="AR39" i="3" s="1"/>
  <c r="AK39" i="3"/>
  <c r="AL39" i="3" s="1"/>
  <c r="AE39" i="3"/>
  <c r="AF39" i="3" s="1"/>
  <c r="Z39" i="3"/>
  <c r="Y39" i="3"/>
  <c r="S39" i="3"/>
  <c r="T39" i="3" s="1"/>
  <c r="M39" i="3"/>
  <c r="N39" i="3" s="1"/>
  <c r="DI38" i="3"/>
  <c r="DE38" i="3"/>
  <c r="DF38" i="3" s="1"/>
  <c r="CY38" i="3"/>
  <c r="CZ38" i="3" s="1"/>
  <c r="CT38" i="3"/>
  <c r="CS38" i="3"/>
  <c r="CM38" i="3"/>
  <c r="CN38" i="3" s="1"/>
  <c r="CG38" i="3"/>
  <c r="CH38" i="3" s="1"/>
  <c r="CA38" i="3"/>
  <c r="CB38" i="3" s="1"/>
  <c r="BU38" i="3"/>
  <c r="BV38" i="3" s="1"/>
  <c r="BP38" i="3"/>
  <c r="BO38" i="3"/>
  <c r="BI38" i="3"/>
  <c r="BJ38" i="3" s="1"/>
  <c r="BC38" i="3"/>
  <c r="BD38" i="3" s="1"/>
  <c r="AW38" i="3"/>
  <c r="AX38" i="3" s="1"/>
  <c r="AQ38" i="3"/>
  <c r="AR38" i="3" s="1"/>
  <c r="AK38" i="3"/>
  <c r="AL38" i="3" s="1"/>
  <c r="AE38" i="3"/>
  <c r="AF38" i="3" s="1"/>
  <c r="Y38" i="3"/>
  <c r="S38" i="3"/>
  <c r="T38" i="3" s="1"/>
  <c r="M38" i="3"/>
  <c r="N38" i="3" s="1"/>
  <c r="DI37" i="3"/>
  <c r="DE37" i="3"/>
  <c r="DF37" i="3" s="1"/>
  <c r="CY37" i="3"/>
  <c r="CZ37" i="3" s="1"/>
  <c r="CS37" i="3"/>
  <c r="CT37" i="3" s="1"/>
  <c r="CM37" i="3"/>
  <c r="CN37" i="3" s="1"/>
  <c r="CG37" i="3"/>
  <c r="CH37" i="3" s="1"/>
  <c r="CA37" i="3"/>
  <c r="CB37" i="3" s="1"/>
  <c r="BU37" i="3"/>
  <c r="BV37" i="3" s="1"/>
  <c r="BO37" i="3"/>
  <c r="BP37" i="3" s="1"/>
  <c r="BI37" i="3"/>
  <c r="BJ37" i="3" s="1"/>
  <c r="BC37" i="3"/>
  <c r="BD37" i="3" s="1"/>
  <c r="AW37" i="3"/>
  <c r="AX37" i="3" s="1"/>
  <c r="AQ37" i="3"/>
  <c r="AR37" i="3" s="1"/>
  <c r="AK37" i="3"/>
  <c r="AL37" i="3" s="1"/>
  <c r="AE37" i="3"/>
  <c r="AF37" i="3" s="1"/>
  <c r="Y37" i="3"/>
  <c r="Z37" i="3" s="1"/>
  <c r="S37" i="3"/>
  <c r="T37" i="3" s="1"/>
  <c r="M37" i="3"/>
  <c r="DI36" i="3"/>
  <c r="DE36" i="3"/>
  <c r="DF36" i="3" s="1"/>
  <c r="CY36" i="3"/>
  <c r="CZ36" i="3" s="1"/>
  <c r="CS36" i="3"/>
  <c r="CT36" i="3" s="1"/>
  <c r="CM36" i="3"/>
  <c r="CN36" i="3" s="1"/>
  <c r="CG36" i="3"/>
  <c r="CH36" i="3" s="1"/>
  <c r="CA36" i="3"/>
  <c r="CB36" i="3" s="1"/>
  <c r="BU36" i="3"/>
  <c r="BV36" i="3" s="1"/>
  <c r="BO36" i="3"/>
  <c r="BP36" i="3" s="1"/>
  <c r="BI36" i="3"/>
  <c r="BJ36" i="3" s="1"/>
  <c r="BC36" i="3"/>
  <c r="BD36" i="3" s="1"/>
  <c r="AX36" i="3"/>
  <c r="AW36" i="3"/>
  <c r="AQ36" i="3"/>
  <c r="AR36" i="3" s="1"/>
  <c r="AK36" i="3"/>
  <c r="AL36" i="3" s="1"/>
  <c r="AE36" i="3"/>
  <c r="AF36" i="3" s="1"/>
  <c r="Y36" i="3"/>
  <c r="Z36" i="3" s="1"/>
  <c r="T36" i="3"/>
  <c r="S36" i="3"/>
  <c r="M36" i="3"/>
  <c r="N36" i="3" s="1"/>
  <c r="DI35" i="3"/>
  <c r="DE35" i="3"/>
  <c r="DF35" i="3" s="1"/>
  <c r="CY35" i="3"/>
  <c r="CZ35" i="3" s="1"/>
  <c r="CS35" i="3"/>
  <c r="CT35" i="3" s="1"/>
  <c r="CN35" i="3"/>
  <c r="CM35" i="3"/>
  <c r="CG35" i="3"/>
  <c r="CH35" i="3" s="1"/>
  <c r="CB35" i="3"/>
  <c r="CA35" i="3"/>
  <c r="BV35" i="3"/>
  <c r="BU35" i="3"/>
  <c r="BO35" i="3"/>
  <c r="BP35" i="3" s="1"/>
  <c r="BJ35" i="3"/>
  <c r="BI35" i="3"/>
  <c r="BD35" i="3"/>
  <c r="BC35" i="3"/>
  <c r="AX35" i="3"/>
  <c r="AW35" i="3"/>
  <c r="AQ35" i="3"/>
  <c r="AR35" i="3" s="1"/>
  <c r="AL35" i="3"/>
  <c r="AK35" i="3"/>
  <c r="AF35" i="3"/>
  <c r="AE35" i="3"/>
  <c r="Z35" i="3"/>
  <c r="Y35" i="3"/>
  <c r="S35" i="3"/>
  <c r="T35" i="3" s="1"/>
  <c r="N35" i="3"/>
  <c r="M35" i="3"/>
  <c r="DJ34" i="3"/>
  <c r="DI34" i="3"/>
  <c r="DF34" i="3"/>
  <c r="DE34" i="3"/>
  <c r="CZ34" i="3"/>
  <c r="CY34" i="3"/>
  <c r="CT34" i="3"/>
  <c r="CS34" i="3"/>
  <c r="CN34" i="3"/>
  <c r="CM34" i="3"/>
  <c r="CH34" i="3"/>
  <c r="CG34" i="3"/>
  <c r="CB34" i="3"/>
  <c r="CA34" i="3"/>
  <c r="BV34" i="3"/>
  <c r="BU34" i="3"/>
  <c r="BP34" i="3"/>
  <c r="BO34" i="3"/>
  <c r="BJ34" i="3"/>
  <c r="BI34" i="3"/>
  <c r="BD34" i="3"/>
  <c r="BC34" i="3"/>
  <c r="AX34" i="3"/>
  <c r="AW34" i="3"/>
  <c r="AR34" i="3"/>
  <c r="AQ34" i="3"/>
  <c r="AL34" i="3"/>
  <c r="AK34" i="3"/>
  <c r="AF34" i="3"/>
  <c r="AE34" i="3"/>
  <c r="Z34" i="3"/>
  <c r="Y34" i="3"/>
  <c r="T34" i="3"/>
  <c r="S34" i="3"/>
  <c r="N34" i="3"/>
  <c r="M34" i="3"/>
  <c r="DI33" i="3"/>
  <c r="DE33" i="3"/>
  <c r="DF33" i="3" s="1"/>
  <c r="CZ33" i="3"/>
  <c r="CY33" i="3"/>
  <c r="CT33" i="3"/>
  <c r="CS33" i="3"/>
  <c r="CN33" i="3"/>
  <c r="CM33" i="3"/>
  <c r="CG33" i="3"/>
  <c r="CH33" i="3" s="1"/>
  <c r="CB33" i="3"/>
  <c r="CA33" i="3"/>
  <c r="BV33" i="3"/>
  <c r="BU33" i="3"/>
  <c r="BP33" i="3"/>
  <c r="BO33" i="3"/>
  <c r="BI33" i="3"/>
  <c r="BJ33" i="3" s="1"/>
  <c r="BD33" i="3"/>
  <c r="BC33" i="3"/>
  <c r="AX33" i="3"/>
  <c r="AW33" i="3"/>
  <c r="AR33" i="3"/>
  <c r="AQ33" i="3"/>
  <c r="AK33" i="3"/>
  <c r="AL33" i="3" s="1"/>
  <c r="AF33" i="3"/>
  <c r="AE33" i="3"/>
  <c r="Z33" i="3"/>
  <c r="Y33" i="3"/>
  <c r="T33" i="3"/>
  <c r="S33" i="3"/>
  <c r="M33" i="3"/>
  <c r="DI32" i="3"/>
  <c r="DF32" i="3"/>
  <c r="DE32" i="3"/>
  <c r="CY32" i="3"/>
  <c r="CZ32" i="3" s="1"/>
  <c r="CT32" i="3"/>
  <c r="CS32" i="3"/>
  <c r="CN32" i="3"/>
  <c r="CM32" i="3"/>
  <c r="CH32" i="3"/>
  <c r="CG32" i="3"/>
  <c r="CA32" i="3"/>
  <c r="CB32" i="3" s="1"/>
  <c r="BV32" i="3"/>
  <c r="BU32" i="3"/>
  <c r="BP32" i="3"/>
  <c r="BO32" i="3"/>
  <c r="BJ32" i="3"/>
  <c r="BI32" i="3"/>
  <c r="BC32" i="3"/>
  <c r="BD32" i="3" s="1"/>
  <c r="AX32" i="3"/>
  <c r="AW32" i="3"/>
  <c r="AR32" i="3"/>
  <c r="AQ32" i="3"/>
  <c r="AL32" i="3"/>
  <c r="AK32" i="3"/>
  <c r="AE32" i="3"/>
  <c r="Z32" i="3"/>
  <c r="Y32" i="3"/>
  <c r="T32" i="3"/>
  <c r="S32" i="3"/>
  <c r="N32" i="3"/>
  <c r="M32" i="3"/>
  <c r="DI31" i="3"/>
  <c r="DF31" i="3"/>
  <c r="DE31" i="3"/>
  <c r="CZ31" i="3"/>
  <c r="CY31" i="3"/>
  <c r="CT31" i="3"/>
  <c r="CS31" i="3"/>
  <c r="CN31" i="3"/>
  <c r="CM31" i="3"/>
  <c r="CH31" i="3"/>
  <c r="CG31" i="3"/>
  <c r="CB31" i="3"/>
  <c r="CA31" i="3"/>
  <c r="BV31" i="3"/>
  <c r="BU31" i="3"/>
  <c r="BP31" i="3"/>
  <c r="BO31" i="3"/>
  <c r="DJ31" i="3" s="1"/>
  <c r="BJ31" i="3"/>
  <c r="BI31" i="3"/>
  <c r="BD31" i="3"/>
  <c r="BC31" i="3"/>
  <c r="AX31" i="3"/>
  <c r="AW31" i="3"/>
  <c r="AR31" i="3"/>
  <c r="AQ31" i="3"/>
  <c r="AL31" i="3"/>
  <c r="AK31" i="3"/>
  <c r="AF31" i="3"/>
  <c r="AE31" i="3"/>
  <c r="Z31" i="3"/>
  <c r="Y31" i="3"/>
  <c r="T31" i="3"/>
  <c r="S31" i="3"/>
  <c r="N31" i="3"/>
  <c r="M31" i="3"/>
  <c r="DI30" i="3"/>
  <c r="DE30" i="3"/>
  <c r="DF30" i="3" s="1"/>
  <c r="CZ30" i="3"/>
  <c r="CY30" i="3"/>
  <c r="CT30" i="3"/>
  <c r="CS30" i="3"/>
  <c r="CN30" i="3"/>
  <c r="CM30" i="3"/>
  <c r="CG30" i="3"/>
  <c r="CH30" i="3" s="1"/>
  <c r="CB30" i="3"/>
  <c r="CA30" i="3"/>
  <c r="BV30" i="3"/>
  <c r="BU30" i="3"/>
  <c r="BP30" i="3"/>
  <c r="BO30" i="3"/>
  <c r="BI30" i="3"/>
  <c r="BJ30" i="3" s="1"/>
  <c r="BD30" i="3"/>
  <c r="BC30" i="3"/>
  <c r="AX30" i="3"/>
  <c r="AW30" i="3"/>
  <c r="AR30" i="3"/>
  <c r="AQ30" i="3"/>
  <c r="AK30" i="3"/>
  <c r="AL30" i="3" s="1"/>
  <c r="AF30" i="3"/>
  <c r="AE30" i="3"/>
  <c r="Z30" i="3"/>
  <c r="Y30" i="3"/>
  <c r="T30" i="3"/>
  <c r="S30" i="3"/>
  <c r="M30" i="3"/>
  <c r="DI29" i="3"/>
  <c r="DF29" i="3"/>
  <c r="DE29" i="3"/>
  <c r="CY29" i="3"/>
  <c r="CZ29" i="3" s="1"/>
  <c r="CT29" i="3"/>
  <c r="CS29" i="3"/>
  <c r="CN29" i="3"/>
  <c r="CM29" i="3"/>
  <c r="CH29" i="3"/>
  <c r="CG29" i="3"/>
  <c r="CA29" i="3"/>
  <c r="CB29" i="3" s="1"/>
  <c r="BV29" i="3"/>
  <c r="BU29" i="3"/>
  <c r="BP29" i="3"/>
  <c r="BO29" i="3"/>
  <c r="BJ29" i="3"/>
  <c r="BD29" i="3"/>
  <c r="BC29" i="3"/>
  <c r="AX29" i="3"/>
  <c r="AW29" i="3"/>
  <c r="AQ29" i="3"/>
  <c r="AR29" i="3" s="1"/>
  <c r="AL29" i="3"/>
  <c r="AK29" i="3"/>
  <c r="AF29" i="3"/>
  <c r="AE29" i="3"/>
  <c r="Y29" i="3"/>
  <c r="Z29" i="3" s="1"/>
  <c r="S29" i="3"/>
  <c r="T29" i="3" s="1"/>
  <c r="N29" i="3"/>
  <c r="M29" i="3"/>
  <c r="DI28" i="3"/>
  <c r="DF28" i="3"/>
  <c r="DE28" i="3"/>
  <c r="CZ28" i="3"/>
  <c r="CY28" i="3"/>
  <c r="CS28" i="3"/>
  <c r="CT28" i="3" s="1"/>
  <c r="CM28" i="3"/>
  <c r="CN28" i="3" s="1"/>
  <c r="CH28" i="3"/>
  <c r="CG28" i="3"/>
  <c r="CA28" i="3"/>
  <c r="CB28" i="3" s="1"/>
  <c r="BV28" i="3"/>
  <c r="BU28" i="3"/>
  <c r="BO28" i="3"/>
  <c r="BP28" i="3" s="1"/>
  <c r="BI28" i="3"/>
  <c r="BJ28" i="3" s="1"/>
  <c r="BD28" i="3"/>
  <c r="BC28" i="3"/>
  <c r="AX28" i="3"/>
  <c r="AW28" i="3"/>
  <c r="AQ28" i="3"/>
  <c r="AR28" i="3" s="1"/>
  <c r="AK28" i="3"/>
  <c r="AL28" i="3" s="1"/>
  <c r="AF28" i="3"/>
  <c r="AE28" i="3"/>
  <c r="Y28" i="3"/>
  <c r="Z28" i="3" s="1"/>
  <c r="S28" i="3"/>
  <c r="T28" i="3" s="1"/>
  <c r="M28" i="3"/>
  <c r="DI27" i="3"/>
  <c r="DE27" i="3"/>
  <c r="DF27" i="3" s="1"/>
  <c r="CZ27" i="3"/>
  <c r="CY27" i="3"/>
  <c r="CS27" i="3"/>
  <c r="CT27" i="3" s="1"/>
  <c r="CM27" i="3"/>
  <c r="CN27" i="3" s="1"/>
  <c r="CG27" i="3"/>
  <c r="CH27" i="3" s="1"/>
  <c r="CA27" i="3"/>
  <c r="CB27" i="3" s="1"/>
  <c r="BV27" i="3"/>
  <c r="BU27" i="3"/>
  <c r="BO27" i="3"/>
  <c r="BP27" i="3" s="1"/>
  <c r="BJ27" i="3"/>
  <c r="BI27" i="3"/>
  <c r="BD27" i="3"/>
  <c r="BC27" i="3"/>
  <c r="AX27" i="3"/>
  <c r="AW27" i="3"/>
  <c r="AQ27" i="3"/>
  <c r="AR27" i="3" s="1"/>
  <c r="AL27" i="3"/>
  <c r="AK27" i="3"/>
  <c r="AE27" i="3"/>
  <c r="AF27" i="3" s="1"/>
  <c r="Z27" i="3"/>
  <c r="Y27" i="3"/>
  <c r="S27" i="3"/>
  <c r="T27" i="3" s="1"/>
  <c r="M27" i="3"/>
  <c r="DI26" i="3"/>
  <c r="DF26" i="3"/>
  <c r="DE26" i="3"/>
  <c r="CY26" i="3"/>
  <c r="CZ26" i="3" s="1"/>
  <c r="CT26" i="3"/>
  <c r="CS26" i="3"/>
  <c r="CM26" i="3"/>
  <c r="CN26" i="3" s="1"/>
  <c r="CG26" i="3"/>
  <c r="CH26" i="3" s="1"/>
  <c r="CB26" i="3"/>
  <c r="CA26" i="3"/>
  <c r="BU26" i="3"/>
  <c r="BV26" i="3" s="1"/>
  <c r="BO26" i="3"/>
  <c r="BP26" i="3" s="1"/>
  <c r="BJ26" i="3"/>
  <c r="BC26" i="3"/>
  <c r="BD26" i="3" s="1"/>
  <c r="AX26" i="3"/>
  <c r="AW26" i="3"/>
  <c r="AR26" i="3"/>
  <c r="AQ26" i="3"/>
  <c r="AK26" i="3"/>
  <c r="AL26" i="3" s="1"/>
  <c r="AE26" i="3"/>
  <c r="AF26" i="3" s="1"/>
  <c r="Z26" i="3"/>
  <c r="Y26" i="3"/>
  <c r="T26" i="3"/>
  <c r="S26" i="3"/>
  <c r="M26" i="3"/>
  <c r="DI25" i="3"/>
  <c r="DE25" i="3"/>
  <c r="DF25" i="3" s="1"/>
  <c r="CZ25" i="3"/>
  <c r="CY25" i="3"/>
  <c r="CT25" i="3"/>
  <c r="CS25" i="3"/>
  <c r="CN25" i="3"/>
  <c r="CM25" i="3"/>
  <c r="CG25" i="3"/>
  <c r="CH25" i="3" s="1"/>
  <c r="CA25" i="3"/>
  <c r="CB25" i="3" s="1"/>
  <c r="BU25" i="3"/>
  <c r="BV25" i="3" s="1"/>
  <c r="BP25" i="3"/>
  <c r="BO25" i="3"/>
  <c r="BI25" i="3"/>
  <c r="BJ25" i="3" s="1"/>
  <c r="BC25" i="3"/>
  <c r="BD25" i="3" s="1"/>
  <c r="AX25" i="3"/>
  <c r="AW25" i="3"/>
  <c r="AR25" i="3"/>
  <c r="AQ25" i="3"/>
  <c r="AK25" i="3"/>
  <c r="AL25" i="3" s="1"/>
  <c r="AF25" i="3"/>
  <c r="AE25" i="3"/>
  <c r="Y25" i="3"/>
  <c r="DJ25" i="3" s="1"/>
  <c r="T25" i="3"/>
  <c r="S25" i="3"/>
  <c r="M25" i="3"/>
  <c r="N25" i="3" s="1"/>
  <c r="DI24" i="3"/>
  <c r="DE24" i="3"/>
  <c r="DF24" i="3" s="1"/>
  <c r="CZ24" i="3"/>
  <c r="CY24" i="3"/>
  <c r="CT24" i="3"/>
  <c r="CS24" i="3"/>
  <c r="CN24" i="3"/>
  <c r="CM24" i="3"/>
  <c r="CG24" i="3"/>
  <c r="CH24" i="3" s="1"/>
  <c r="CB24" i="3"/>
  <c r="CA24" i="3"/>
  <c r="BV24" i="3"/>
  <c r="BU24" i="3"/>
  <c r="BP24" i="3"/>
  <c r="BO24" i="3"/>
  <c r="BI24" i="3"/>
  <c r="BJ24" i="3" s="1"/>
  <c r="BD24" i="3"/>
  <c r="BC24" i="3"/>
  <c r="AX24" i="3"/>
  <c r="AW24" i="3"/>
  <c r="AR24" i="3"/>
  <c r="AQ24" i="3"/>
  <c r="AK24" i="3"/>
  <c r="AL24" i="3" s="1"/>
  <c r="AF24" i="3"/>
  <c r="AE24" i="3"/>
  <c r="Z24" i="3"/>
  <c r="Y24" i="3"/>
  <c r="T24" i="3"/>
  <c r="S24" i="3"/>
  <c r="M24" i="3"/>
  <c r="DJ24" i="3" s="1"/>
  <c r="DI23" i="3"/>
  <c r="DF23" i="3"/>
  <c r="DE23" i="3"/>
  <c r="CY23" i="3"/>
  <c r="CZ23" i="3" s="1"/>
  <c r="CS23" i="3"/>
  <c r="CT23" i="3" s="1"/>
  <c r="CN23" i="3"/>
  <c r="CM23" i="3"/>
  <c r="CH23" i="3"/>
  <c r="CG23" i="3"/>
  <c r="CA23" i="3"/>
  <c r="CB23" i="3" s="1"/>
  <c r="BU23" i="3"/>
  <c r="BV23" i="3" s="1"/>
  <c r="BP23" i="3"/>
  <c r="BO23" i="3"/>
  <c r="BJ23" i="3"/>
  <c r="BD23" i="3"/>
  <c r="BC23" i="3"/>
  <c r="AX23" i="3"/>
  <c r="AW23" i="3"/>
  <c r="AQ23" i="3"/>
  <c r="AR23" i="3" s="1"/>
  <c r="AK23" i="3"/>
  <c r="AL23" i="3" s="1"/>
  <c r="AF23" i="3"/>
  <c r="AE23" i="3"/>
  <c r="Y23" i="3"/>
  <c r="Z23" i="3" s="1"/>
  <c r="S23" i="3"/>
  <c r="T23" i="3" s="1"/>
  <c r="M23" i="3"/>
  <c r="DI22" i="3"/>
  <c r="DE22" i="3"/>
  <c r="DF22" i="3" s="1"/>
  <c r="CZ22" i="3"/>
  <c r="CY22" i="3"/>
  <c r="CS22" i="3"/>
  <c r="CT22" i="3" s="1"/>
  <c r="CM22" i="3"/>
  <c r="CN22" i="3" s="1"/>
  <c r="CG22" i="3"/>
  <c r="CH22" i="3" s="1"/>
  <c r="CA22" i="3"/>
  <c r="CB22" i="3" s="1"/>
  <c r="BV22" i="3"/>
  <c r="BU22" i="3"/>
  <c r="BP22" i="3"/>
  <c r="BO22" i="3"/>
  <c r="BI22" i="3"/>
  <c r="BJ22" i="3" s="1"/>
  <c r="BD22" i="3"/>
  <c r="BC22" i="3"/>
  <c r="AX22" i="3"/>
  <c r="AW22" i="3"/>
  <c r="AQ22" i="3"/>
  <c r="AR22" i="3" s="1"/>
  <c r="AK22" i="3"/>
  <c r="AL22" i="3" s="1"/>
  <c r="AE22" i="3"/>
  <c r="AF22" i="3" s="1"/>
  <c r="Y22" i="3"/>
  <c r="T22" i="3"/>
  <c r="S22" i="3"/>
  <c r="M22" i="3"/>
  <c r="N22" i="3" s="1"/>
  <c r="DI21" i="3"/>
  <c r="DE21" i="3"/>
  <c r="DF21" i="3" s="1"/>
  <c r="CY21" i="3"/>
  <c r="CZ21" i="3" s="1"/>
  <c r="CS21" i="3"/>
  <c r="CT21" i="3" s="1"/>
  <c r="CN21" i="3"/>
  <c r="CM21" i="3"/>
  <c r="CG21" i="3"/>
  <c r="CH21" i="3" s="1"/>
  <c r="CA21" i="3"/>
  <c r="CB21" i="3" s="1"/>
  <c r="BV21" i="3"/>
  <c r="BU21" i="3"/>
  <c r="BP21" i="3"/>
  <c r="BO21" i="3"/>
  <c r="BI21" i="3"/>
  <c r="BJ21" i="3" s="1"/>
  <c r="BD21" i="3"/>
  <c r="BC21" i="3"/>
  <c r="AW21" i="3"/>
  <c r="AX21" i="3" s="1"/>
  <c r="AQ21" i="3"/>
  <c r="AR21" i="3" s="1"/>
  <c r="AK21" i="3"/>
  <c r="AL21" i="3" s="1"/>
  <c r="AE21" i="3"/>
  <c r="AF21" i="3" s="1"/>
  <c r="Y21" i="3"/>
  <c r="Z21" i="3" s="1"/>
  <c r="T21" i="3"/>
  <c r="S21" i="3"/>
  <c r="M21" i="3"/>
  <c r="DI20" i="3"/>
  <c r="DE20" i="3"/>
  <c r="DF20" i="3" s="1"/>
  <c r="CY20" i="3"/>
  <c r="CZ20" i="3" s="1"/>
  <c r="CT20" i="3"/>
  <c r="CS20" i="3"/>
  <c r="CN20" i="3"/>
  <c r="CM20" i="3"/>
  <c r="CG20" i="3"/>
  <c r="CH20" i="3" s="1"/>
  <c r="CA20" i="3"/>
  <c r="CB20" i="3" s="1"/>
  <c r="BV20" i="3"/>
  <c r="BU20" i="3"/>
  <c r="BP20" i="3"/>
  <c r="BO20" i="3"/>
  <c r="BI20" i="3"/>
  <c r="BJ20" i="3" s="1"/>
  <c r="BC20" i="3"/>
  <c r="BD20" i="3" s="1"/>
  <c r="AX20" i="3"/>
  <c r="AW20" i="3"/>
  <c r="AR20" i="3"/>
  <c r="AQ20" i="3"/>
  <c r="AK20" i="3"/>
  <c r="AL20" i="3" s="1"/>
  <c r="AE20" i="3"/>
  <c r="AF20" i="3" s="1"/>
  <c r="Z20" i="3"/>
  <c r="Y20" i="3"/>
  <c r="S20" i="3"/>
  <c r="T20" i="3" s="1"/>
  <c r="M20" i="3"/>
  <c r="DI19" i="3"/>
  <c r="DE19" i="3"/>
  <c r="DF19" i="3" s="1"/>
  <c r="CY19" i="3"/>
  <c r="CZ19" i="3" s="1"/>
  <c r="CT19" i="3"/>
  <c r="CS19" i="3"/>
  <c r="CM19" i="3"/>
  <c r="CN19" i="3" s="1"/>
  <c r="CG19" i="3"/>
  <c r="CH19" i="3" s="1"/>
  <c r="CA19" i="3"/>
  <c r="CB19" i="3" s="1"/>
  <c r="BV19" i="3"/>
  <c r="BU19" i="3"/>
  <c r="BO19" i="3"/>
  <c r="BP19" i="3" s="1"/>
  <c r="BI19" i="3"/>
  <c r="BJ19" i="3" s="1"/>
  <c r="BC19" i="3"/>
  <c r="BD19" i="3" s="1"/>
  <c r="AX19" i="3"/>
  <c r="AW19" i="3"/>
  <c r="AQ19" i="3"/>
  <c r="AR19" i="3" s="1"/>
  <c r="AK19" i="3"/>
  <c r="AL19" i="3" s="1"/>
  <c r="AE19" i="3"/>
  <c r="AF19" i="3" s="1"/>
  <c r="Y19" i="3"/>
  <c r="Z19" i="3" s="1"/>
  <c r="S19" i="3"/>
  <c r="T19" i="3" s="1"/>
  <c r="M19" i="3"/>
  <c r="N19" i="3" s="1"/>
  <c r="DI18" i="3"/>
  <c r="DE18" i="3"/>
  <c r="DF18" i="3" s="1"/>
  <c r="CY18" i="3"/>
  <c r="CZ18" i="3" s="1"/>
  <c r="CS18" i="3"/>
  <c r="CT18" i="3" s="1"/>
  <c r="CM18" i="3"/>
  <c r="CN18" i="3" s="1"/>
  <c r="CG18" i="3"/>
  <c r="CH18" i="3" s="1"/>
  <c r="CA18" i="3"/>
  <c r="CB18" i="3" s="1"/>
  <c r="BU18" i="3"/>
  <c r="BV18" i="3" s="1"/>
  <c r="BP18" i="3"/>
  <c r="BJ18" i="3"/>
  <c r="BI18" i="3"/>
  <c r="BD18" i="3"/>
  <c r="BC18" i="3"/>
  <c r="AX18" i="3"/>
  <c r="AW18" i="3"/>
  <c r="AR18" i="3"/>
  <c r="AQ18" i="3"/>
  <c r="AL18" i="3"/>
  <c r="AK18" i="3"/>
  <c r="AF18" i="3"/>
  <c r="AE18" i="3"/>
  <c r="Z18" i="3"/>
  <c r="Y18" i="3"/>
  <c r="DJ18" i="3" s="1"/>
  <c r="T18" i="3"/>
  <c r="S18" i="3"/>
  <c r="N18" i="3"/>
  <c r="M18" i="3"/>
  <c r="DI17" i="3"/>
  <c r="DF17" i="3"/>
  <c r="DE17" i="3"/>
  <c r="CY17" i="3"/>
  <c r="CZ17" i="3" s="1"/>
  <c r="CT17" i="3"/>
  <c r="CS17" i="3"/>
  <c r="CN17" i="3"/>
  <c r="CM17" i="3"/>
  <c r="CH17" i="3"/>
  <c r="CG17" i="3"/>
  <c r="CA17" i="3"/>
  <c r="CB17" i="3" s="1"/>
  <c r="BV17" i="3"/>
  <c r="BU17" i="3"/>
  <c r="BP17" i="3"/>
  <c r="BO17" i="3"/>
  <c r="BJ17" i="3"/>
  <c r="BI17" i="3"/>
  <c r="BC17" i="3"/>
  <c r="BD17" i="3" s="1"/>
  <c r="AX17" i="3"/>
  <c r="AW17" i="3"/>
  <c r="AR17" i="3"/>
  <c r="AQ17" i="3"/>
  <c r="AL17" i="3"/>
  <c r="AK17" i="3"/>
  <c r="AE17" i="3"/>
  <c r="AF17" i="3" s="1"/>
  <c r="Z17" i="3"/>
  <c r="Y17" i="3"/>
  <c r="T17" i="3"/>
  <c r="S17" i="3"/>
  <c r="DJ17" i="3" s="1"/>
  <c r="N17" i="3"/>
  <c r="M17" i="3"/>
  <c r="DJ16" i="3"/>
  <c r="DI16" i="3"/>
  <c r="DF16" i="3"/>
  <c r="DE16" i="3"/>
  <c r="CY16" i="3"/>
  <c r="CZ16" i="3" s="1"/>
  <c r="CT16" i="3"/>
  <c r="CS16" i="3"/>
  <c r="CN16" i="3"/>
  <c r="CM16" i="3"/>
  <c r="CH16" i="3"/>
  <c r="CG16" i="3"/>
  <c r="CA16" i="3"/>
  <c r="CB16" i="3" s="1"/>
  <c r="BV16" i="3"/>
  <c r="BU16" i="3"/>
  <c r="BP16" i="3"/>
  <c r="BO16" i="3"/>
  <c r="BJ16" i="3"/>
  <c r="BI16" i="3"/>
  <c r="BC16" i="3"/>
  <c r="BD16" i="3" s="1"/>
  <c r="AX16" i="3"/>
  <c r="AW16" i="3"/>
  <c r="AR16" i="3"/>
  <c r="AQ16" i="3"/>
  <c r="AL16" i="3"/>
  <c r="AK16" i="3"/>
  <c r="AE16" i="3"/>
  <c r="AF16" i="3" s="1"/>
  <c r="Z16" i="3"/>
  <c r="Y16" i="3"/>
  <c r="T16" i="3"/>
  <c r="S16" i="3"/>
  <c r="N16" i="3"/>
  <c r="M16" i="3"/>
  <c r="DI15" i="3"/>
  <c r="DF15" i="3"/>
  <c r="DE15" i="3"/>
  <c r="CY15" i="3"/>
  <c r="CZ15" i="3" s="1"/>
  <c r="CT15" i="3"/>
  <c r="CS15" i="3"/>
  <c r="CN15" i="3"/>
  <c r="CM15" i="3"/>
  <c r="CH15" i="3"/>
  <c r="CG15" i="3"/>
  <c r="CA15" i="3"/>
  <c r="CB15" i="3" s="1"/>
  <c r="BV15" i="3"/>
  <c r="BU15" i="3"/>
  <c r="BP15" i="3"/>
  <c r="BO15" i="3"/>
  <c r="BJ15" i="3"/>
  <c r="BC15" i="3"/>
  <c r="BD15" i="3" s="1"/>
  <c r="AW15" i="3"/>
  <c r="AX15" i="3" s="1"/>
  <c r="AQ15" i="3"/>
  <c r="AR15" i="3" s="1"/>
  <c r="AK15" i="3"/>
  <c r="AL15" i="3" s="1"/>
  <c r="AE15" i="3"/>
  <c r="AF15" i="3" s="1"/>
  <c r="Y15" i="3"/>
  <c r="Z15" i="3" s="1"/>
  <c r="S15" i="3"/>
  <c r="T15" i="3" s="1"/>
  <c r="M15" i="3"/>
  <c r="DI14" i="3"/>
  <c r="DE14" i="3"/>
  <c r="DF14" i="3" s="1"/>
  <c r="CY14" i="3"/>
  <c r="CZ14" i="3" s="1"/>
  <c r="CS14" i="3"/>
  <c r="CT14" i="3" s="1"/>
  <c r="CM14" i="3"/>
  <c r="CN14" i="3" s="1"/>
  <c r="CG14" i="3"/>
  <c r="CH14" i="3" s="1"/>
  <c r="CA14" i="3"/>
  <c r="CB14" i="3" s="1"/>
  <c r="BU14" i="3"/>
  <c r="BV14" i="3" s="1"/>
  <c r="BO14" i="3"/>
  <c r="BP14" i="3" s="1"/>
  <c r="BI14" i="3"/>
  <c r="BJ14" i="3" s="1"/>
  <c r="BC14" i="3"/>
  <c r="BD14" i="3" s="1"/>
  <c r="AW14" i="3"/>
  <c r="AX14" i="3" s="1"/>
  <c r="AQ14" i="3"/>
  <c r="AR14" i="3" s="1"/>
  <c r="AK14" i="3"/>
  <c r="AL14" i="3" s="1"/>
  <c r="AE14" i="3"/>
  <c r="AF14" i="3" s="1"/>
  <c r="Y14" i="3"/>
  <c r="Z14" i="3" s="1"/>
  <c r="S14" i="3"/>
  <c r="T14" i="3" s="1"/>
  <c r="M14" i="3"/>
  <c r="DI13" i="3"/>
  <c r="DE13" i="3"/>
  <c r="DF13" i="3" s="1"/>
  <c r="CY13" i="3"/>
  <c r="CZ13" i="3" s="1"/>
  <c r="CS13" i="3"/>
  <c r="CT13" i="3" s="1"/>
  <c r="CM13" i="3"/>
  <c r="CN13" i="3" s="1"/>
  <c r="CG13" i="3"/>
  <c r="CH13" i="3" s="1"/>
  <c r="CA13" i="3"/>
  <c r="CB13" i="3" s="1"/>
  <c r="BU13" i="3"/>
  <c r="BV13" i="3" s="1"/>
  <c r="BO13" i="3"/>
  <c r="BP13" i="3" s="1"/>
  <c r="BI13" i="3"/>
  <c r="BJ13" i="3" s="1"/>
  <c r="BC13" i="3"/>
  <c r="BD13" i="3" s="1"/>
  <c r="AW13" i="3"/>
  <c r="AX13" i="3" s="1"/>
  <c r="AQ13" i="3"/>
  <c r="AR13" i="3" s="1"/>
  <c r="AK13" i="3"/>
  <c r="AL13" i="3" s="1"/>
  <c r="AE13" i="3"/>
  <c r="AF13" i="3" s="1"/>
  <c r="Y13" i="3"/>
  <c r="Z13" i="3" s="1"/>
  <c r="S13" i="3"/>
  <c r="T13" i="3" s="1"/>
  <c r="M13" i="3"/>
  <c r="DI12" i="3"/>
  <c r="DE12" i="3"/>
  <c r="DF12" i="3" s="1"/>
  <c r="CY12" i="3"/>
  <c r="CZ12" i="3" s="1"/>
  <c r="CS12" i="3"/>
  <c r="CT12" i="3" s="1"/>
  <c r="CM12" i="3"/>
  <c r="CN12" i="3" s="1"/>
  <c r="CG12" i="3"/>
  <c r="CH12" i="3" s="1"/>
  <c r="CA12" i="3"/>
  <c r="CB12" i="3" s="1"/>
  <c r="BU12" i="3"/>
  <c r="BV12" i="3" s="1"/>
  <c r="BO12" i="3"/>
  <c r="BP12" i="3" s="1"/>
  <c r="BI12" i="3"/>
  <c r="BJ12" i="3" s="1"/>
  <c r="BC12" i="3"/>
  <c r="BD12" i="3" s="1"/>
  <c r="AW12" i="3"/>
  <c r="AX12" i="3" s="1"/>
  <c r="AQ12" i="3"/>
  <c r="AR12" i="3" s="1"/>
  <c r="AK12" i="3"/>
  <c r="AL12" i="3" s="1"/>
  <c r="AE12" i="3"/>
  <c r="AF12" i="3" s="1"/>
  <c r="Y12" i="3"/>
  <c r="Z12" i="3" s="1"/>
  <c r="T12" i="3"/>
  <c r="N12" i="3"/>
  <c r="M12" i="3"/>
  <c r="DI11" i="3"/>
  <c r="DF11" i="3"/>
  <c r="DE11" i="3"/>
  <c r="CZ11" i="3"/>
  <c r="CY11" i="3"/>
  <c r="CT11" i="3"/>
  <c r="CS11" i="3"/>
  <c r="CN11" i="3"/>
  <c r="CM11" i="3"/>
  <c r="CH11" i="3"/>
  <c r="CG11" i="3"/>
  <c r="CB11" i="3"/>
  <c r="CA11" i="3"/>
  <c r="BV11" i="3"/>
  <c r="BU11" i="3"/>
  <c r="BP11" i="3"/>
  <c r="BO11" i="3"/>
  <c r="BJ11" i="3"/>
  <c r="BI11" i="3"/>
  <c r="BD11" i="3"/>
  <c r="BC11" i="3"/>
  <c r="AX11" i="3"/>
  <c r="AW11" i="3"/>
  <c r="AR11" i="3"/>
  <c r="AQ11" i="3"/>
  <c r="AK11" i="3"/>
  <c r="AL11" i="3" s="1"/>
  <c r="AF11" i="3"/>
  <c r="AE11" i="3"/>
  <c r="Z11" i="3"/>
  <c r="Y11" i="3"/>
  <c r="T11" i="3"/>
  <c r="S11" i="3"/>
  <c r="M11" i="3"/>
  <c r="DJ11" i="3" s="1"/>
  <c r="DI10" i="3"/>
  <c r="DE10" i="3"/>
  <c r="DF10" i="3" s="1"/>
  <c r="CZ10" i="3"/>
  <c r="CY10" i="3"/>
  <c r="CT10" i="3"/>
  <c r="CS10" i="3"/>
  <c r="CM10" i="3"/>
  <c r="CN10" i="3" s="1"/>
  <c r="CG10" i="3"/>
  <c r="CH10" i="3" s="1"/>
  <c r="CB10" i="3"/>
  <c r="CA10" i="3"/>
  <c r="BV10" i="3"/>
  <c r="BU10" i="3"/>
  <c r="BO10" i="3"/>
  <c r="BP10" i="3" s="1"/>
  <c r="BI10" i="3"/>
  <c r="BJ10" i="3" s="1"/>
  <c r="BD10" i="3"/>
  <c r="BC10" i="3"/>
  <c r="AX10" i="3"/>
  <c r="AW10" i="3"/>
  <c r="AQ10" i="3"/>
  <c r="AR10" i="3" s="1"/>
  <c r="AK10" i="3"/>
  <c r="AL10" i="3" s="1"/>
  <c r="AF10" i="3"/>
  <c r="AE10" i="3"/>
  <c r="Z10" i="3"/>
  <c r="Y10" i="3"/>
  <c r="S10" i="3"/>
  <c r="T10" i="3" s="1"/>
  <c r="M10" i="3"/>
  <c r="DJ10" i="3" s="1"/>
  <c r="DI9" i="3"/>
  <c r="DE9" i="3"/>
  <c r="DF9" i="3" s="1"/>
  <c r="CZ9" i="3"/>
  <c r="CY9" i="3"/>
  <c r="CS9" i="3"/>
  <c r="CT9" i="3" s="1"/>
  <c r="CM9" i="3"/>
  <c r="CN9" i="3" s="1"/>
  <c r="CG9" i="3"/>
  <c r="CH9" i="3" s="1"/>
  <c r="CB9" i="3"/>
  <c r="CA9" i="3"/>
  <c r="BU9" i="3"/>
  <c r="BV9" i="3" s="1"/>
  <c r="BO9" i="3"/>
  <c r="BP9" i="3" s="1"/>
  <c r="BI9" i="3"/>
  <c r="BJ9" i="3" s="1"/>
  <c r="BD9" i="3"/>
  <c r="BC9" i="3"/>
  <c r="AW9" i="3"/>
  <c r="AX9" i="3" s="1"/>
  <c r="AQ9" i="3"/>
  <c r="AR9" i="3" s="1"/>
  <c r="AK9" i="3"/>
  <c r="AL9" i="3" s="1"/>
  <c r="AF9" i="3"/>
  <c r="AE9" i="3"/>
  <c r="Y9" i="3"/>
  <c r="Z9" i="3" s="1"/>
  <c r="S9" i="3"/>
  <c r="T9" i="3" s="1"/>
  <c r="M9" i="3"/>
  <c r="DJ9" i="3" s="1"/>
  <c r="DI8" i="3"/>
  <c r="DE8" i="3"/>
  <c r="DF8" i="3" s="1"/>
  <c r="CZ8" i="3"/>
  <c r="CY8" i="3"/>
  <c r="CS8" i="3"/>
  <c r="CT8" i="3" s="1"/>
  <c r="CM8" i="3"/>
  <c r="CN8" i="3" s="1"/>
  <c r="CG8" i="3"/>
  <c r="CH8" i="3" s="1"/>
  <c r="CB8" i="3"/>
  <c r="CA8" i="3"/>
  <c r="BU8" i="3"/>
  <c r="BV8" i="3" s="1"/>
  <c r="BO8" i="3"/>
  <c r="BP8" i="3" s="1"/>
  <c r="BI8" i="3"/>
  <c r="BJ8" i="3" s="1"/>
  <c r="BD8" i="3"/>
  <c r="BC8" i="3"/>
  <c r="AW8" i="3"/>
  <c r="AX8" i="3" s="1"/>
  <c r="AQ8" i="3"/>
  <c r="AR8" i="3" s="1"/>
  <c r="AK8" i="3"/>
  <c r="AL8" i="3" s="1"/>
  <c r="AF8" i="3"/>
  <c r="AE8" i="3"/>
  <c r="Y8" i="3"/>
  <c r="Z8" i="3" s="1"/>
  <c r="S8" i="3"/>
  <c r="T8" i="3" s="1"/>
  <c r="M8" i="3"/>
  <c r="DJ8" i="3" s="1"/>
  <c r="DI7" i="3"/>
  <c r="DE7" i="3"/>
  <c r="DF7" i="3" s="1"/>
  <c r="CZ7" i="3"/>
  <c r="CY7" i="3"/>
  <c r="CS7" i="3"/>
  <c r="CT7" i="3" s="1"/>
  <c r="CM7" i="3"/>
  <c r="CN7" i="3" s="1"/>
  <c r="CG7" i="3"/>
  <c r="CH7" i="3" s="1"/>
  <c r="CB7" i="3"/>
  <c r="CA7" i="3"/>
  <c r="BU7" i="3"/>
  <c r="BV7" i="3" s="1"/>
  <c r="BO7" i="3"/>
  <c r="BP7" i="3" s="1"/>
  <c r="BI7" i="3"/>
  <c r="BJ7" i="3" s="1"/>
  <c r="BD7" i="3"/>
  <c r="BC7" i="3"/>
  <c r="AW7" i="3"/>
  <c r="AX7" i="3" s="1"/>
  <c r="AQ7" i="3"/>
  <c r="AR7" i="3" s="1"/>
  <c r="AK7" i="3"/>
  <c r="AL7" i="3" s="1"/>
  <c r="AF7" i="3"/>
  <c r="AE7" i="3"/>
  <c r="Y7" i="3"/>
  <c r="Z7" i="3" s="1"/>
  <c r="S7" i="3"/>
  <c r="T7" i="3" s="1"/>
  <c r="M7" i="3"/>
  <c r="DJ7" i="3" s="1"/>
  <c r="DI6" i="3"/>
  <c r="DE6" i="3"/>
  <c r="DF6" i="3" s="1"/>
  <c r="CZ6" i="3"/>
  <c r="CY6" i="3"/>
  <c r="CS6" i="3"/>
  <c r="CT6" i="3" s="1"/>
  <c r="CM6" i="3"/>
  <c r="CN6" i="3" s="1"/>
  <c r="CG6" i="3"/>
  <c r="CH6" i="3" s="1"/>
  <c r="CB6" i="3"/>
  <c r="CA6" i="3"/>
  <c r="BU6" i="3"/>
  <c r="BV6" i="3" s="1"/>
  <c r="BO6" i="3"/>
  <c r="BP6" i="3" s="1"/>
  <c r="BI6" i="3"/>
  <c r="BJ6" i="3" s="1"/>
  <c r="BD6" i="3"/>
  <c r="BC6" i="3"/>
  <c r="AW6" i="3"/>
  <c r="AX6" i="3" s="1"/>
  <c r="AQ6" i="3"/>
  <c r="AR6" i="3" s="1"/>
  <c r="AK6" i="3"/>
  <c r="AL6" i="3" s="1"/>
  <c r="AF6" i="3"/>
  <c r="AE6" i="3"/>
  <c r="Y6" i="3"/>
  <c r="Z6" i="3" s="1"/>
  <c r="S6" i="3"/>
  <c r="T6" i="3" s="1"/>
  <c r="N6" i="3"/>
  <c r="DI5" i="3"/>
  <c r="DF5" i="3"/>
  <c r="DE5" i="3"/>
  <c r="CY5" i="3"/>
  <c r="CZ5" i="3" s="1"/>
  <c r="CT5" i="3"/>
  <c r="CS5" i="3"/>
  <c r="CM5" i="3"/>
  <c r="CN5" i="3" s="1"/>
  <c r="CH5" i="3"/>
  <c r="CG5" i="3"/>
  <c r="CA5" i="3"/>
  <c r="CB5" i="3" s="1"/>
  <c r="BV5" i="3"/>
  <c r="BU5" i="3"/>
  <c r="BO5" i="3"/>
  <c r="BP5" i="3" s="1"/>
  <c r="BJ5" i="3"/>
  <c r="BI5" i="3"/>
  <c r="BC5" i="3"/>
  <c r="BD5" i="3" s="1"/>
  <c r="AX5" i="3"/>
  <c r="AW5" i="3"/>
  <c r="AQ5" i="3"/>
  <c r="AR5" i="3" s="1"/>
  <c r="AL5" i="3"/>
  <c r="AK5" i="3"/>
  <c r="AE5" i="3"/>
  <c r="AF5" i="3" s="1"/>
  <c r="Z5" i="3"/>
  <c r="Y5" i="3"/>
  <c r="S5" i="3"/>
  <c r="T5" i="3" s="1"/>
  <c r="N5" i="3"/>
  <c r="M5" i="3"/>
  <c r="DJ5" i="3" s="1"/>
  <c r="DI4" i="3"/>
  <c r="DF4" i="3"/>
  <c r="DE4" i="3"/>
  <c r="CY4" i="3"/>
  <c r="CZ4" i="3" s="1"/>
  <c r="CT4" i="3"/>
  <c r="CS4" i="3"/>
  <c r="CM4" i="3"/>
  <c r="CN4" i="3" s="1"/>
  <c r="CH4" i="3"/>
  <c r="CG4" i="3"/>
  <c r="CA4" i="3"/>
  <c r="CB4" i="3" s="1"/>
  <c r="BV4" i="3"/>
  <c r="BU4" i="3"/>
  <c r="BO4" i="3"/>
  <c r="BP4" i="3" s="1"/>
  <c r="BJ4" i="3"/>
  <c r="BI4" i="3"/>
  <c r="BC4" i="3"/>
  <c r="BD4" i="3" s="1"/>
  <c r="AX4" i="3"/>
  <c r="AW4" i="3"/>
  <c r="AQ4" i="3"/>
  <c r="AR4" i="3" s="1"/>
  <c r="AL4" i="3"/>
  <c r="AK4" i="3"/>
  <c r="AE4" i="3"/>
  <c r="AF4" i="3" s="1"/>
  <c r="Z4" i="3"/>
  <c r="Y4" i="3"/>
  <c r="S4" i="3"/>
  <c r="T4" i="3" s="1"/>
  <c r="N4" i="3"/>
  <c r="M4" i="3"/>
  <c r="DJ4" i="3" s="1"/>
  <c r="DI3" i="3"/>
  <c r="DF3" i="3"/>
  <c r="DE3" i="3"/>
  <c r="CY3" i="3"/>
  <c r="CZ3" i="3" s="1"/>
  <c r="CT3" i="3"/>
  <c r="CS3" i="3"/>
  <c r="CM3" i="3"/>
  <c r="CN3" i="3" s="1"/>
  <c r="CH3" i="3"/>
  <c r="CG3" i="3"/>
  <c r="CA3" i="3"/>
  <c r="CB3" i="3" s="1"/>
  <c r="BV3" i="3"/>
  <c r="BU3" i="3"/>
  <c r="BO3" i="3"/>
  <c r="BP3" i="3" s="1"/>
  <c r="BJ3" i="3"/>
  <c r="BI3" i="3"/>
  <c r="BC3" i="3"/>
  <c r="BD3" i="3" s="1"/>
  <c r="AX3" i="3"/>
  <c r="AW3" i="3"/>
  <c r="AQ3" i="3"/>
  <c r="AR3" i="3" s="1"/>
  <c r="AL3" i="3"/>
  <c r="AK3" i="3"/>
  <c r="AE3" i="3"/>
  <c r="AF3" i="3" s="1"/>
  <c r="Z3" i="3"/>
  <c r="Y3" i="3"/>
  <c r="S3" i="3"/>
  <c r="T3" i="3" s="1"/>
  <c r="N3" i="3"/>
  <c r="M3" i="3"/>
  <c r="DJ3" i="3" s="1"/>
  <c r="FJ2" i="3"/>
  <c r="FJ3" i="3" s="1"/>
  <c r="FJ4" i="3" s="1"/>
  <c r="FJ5" i="3" s="1"/>
  <c r="FJ6" i="3" s="1"/>
  <c r="FJ7" i="3" s="1"/>
  <c r="FJ8" i="3" s="1"/>
  <c r="FJ9" i="3" s="1"/>
  <c r="FJ10" i="3" s="1"/>
  <c r="FJ11" i="3" s="1"/>
  <c r="FI2" i="3"/>
  <c r="FI3" i="3" s="1"/>
  <c r="FI4" i="3" s="1"/>
  <c r="FI5" i="3" s="1"/>
  <c r="FI6" i="3" s="1"/>
  <c r="FI7" i="3" s="1"/>
  <c r="FI8" i="3" s="1"/>
  <c r="FI9" i="3" s="1"/>
  <c r="FI10" i="3" s="1"/>
  <c r="FI11" i="3" s="1"/>
  <c r="FH2" i="3"/>
  <c r="FH3" i="3" s="1"/>
  <c r="FH4" i="3" s="1"/>
  <c r="FH5" i="3" s="1"/>
  <c r="FH6" i="3" s="1"/>
  <c r="FH7" i="3" s="1"/>
  <c r="FH8" i="3" s="1"/>
  <c r="FH9" i="3" s="1"/>
  <c r="FH10" i="3" s="1"/>
  <c r="FH11" i="3" s="1"/>
  <c r="FG2" i="3"/>
  <c r="FG3" i="3" s="1"/>
  <c r="FG4" i="3" s="1"/>
  <c r="FG5" i="3" s="1"/>
  <c r="FG6" i="3" s="1"/>
  <c r="FG7" i="3" s="1"/>
  <c r="FG8" i="3" s="1"/>
  <c r="FG9" i="3" s="1"/>
  <c r="FG10" i="3" s="1"/>
  <c r="FG11" i="3" s="1"/>
  <c r="FF2" i="3"/>
  <c r="FF3" i="3" s="1"/>
  <c r="FF4" i="3" s="1"/>
  <c r="FF5" i="3" s="1"/>
  <c r="FF6" i="3" s="1"/>
  <c r="FF7" i="3" s="1"/>
  <c r="FF8" i="3" s="1"/>
  <c r="FF9" i="3" s="1"/>
  <c r="FF10" i="3" s="1"/>
  <c r="FF11" i="3" s="1"/>
  <c r="FE2" i="3"/>
  <c r="FE3" i="3" s="1"/>
  <c r="FE4" i="3" s="1"/>
  <c r="FE5" i="3" s="1"/>
  <c r="FE6" i="3" s="1"/>
  <c r="FE7" i="3" s="1"/>
  <c r="FE8" i="3" s="1"/>
  <c r="FE9" i="3" s="1"/>
  <c r="FE10" i="3" s="1"/>
  <c r="FE11" i="3" s="1"/>
  <c r="FD2" i="3"/>
  <c r="FD3" i="3" s="1"/>
  <c r="FD4" i="3" s="1"/>
  <c r="FD5" i="3" s="1"/>
  <c r="FD6" i="3" s="1"/>
  <c r="FD7" i="3" s="1"/>
  <c r="FD8" i="3" s="1"/>
  <c r="FD9" i="3" s="1"/>
  <c r="FD10" i="3" s="1"/>
  <c r="FD11" i="3" s="1"/>
  <c r="FC2" i="3"/>
  <c r="FC3" i="3" s="1"/>
  <c r="FC4" i="3" s="1"/>
  <c r="FC5" i="3" s="1"/>
  <c r="FC6" i="3" s="1"/>
  <c r="FC7" i="3" s="1"/>
  <c r="FC8" i="3" s="1"/>
  <c r="FC9" i="3" s="1"/>
  <c r="FC10" i="3" s="1"/>
  <c r="FC11" i="3" s="1"/>
  <c r="FB2" i="3"/>
  <c r="FB3" i="3" s="1"/>
  <c r="FB4" i="3" s="1"/>
  <c r="FB5" i="3" s="1"/>
  <c r="FB6" i="3" s="1"/>
  <c r="FB7" i="3" s="1"/>
  <c r="FB8" i="3" s="1"/>
  <c r="FB9" i="3" s="1"/>
  <c r="FB10" i="3" s="1"/>
  <c r="FB11" i="3" s="1"/>
  <c r="FA2" i="3"/>
  <c r="FA3" i="3" s="1"/>
  <c r="FA4" i="3" s="1"/>
  <c r="FA5" i="3" s="1"/>
  <c r="FA6" i="3" s="1"/>
  <c r="FA7" i="3" s="1"/>
  <c r="FA8" i="3" s="1"/>
  <c r="FA9" i="3" s="1"/>
  <c r="FA10" i="3" s="1"/>
  <c r="FA11" i="3" s="1"/>
  <c r="EZ2" i="3"/>
  <c r="EZ3" i="3" s="1"/>
  <c r="EZ4" i="3" s="1"/>
  <c r="EZ5" i="3" s="1"/>
  <c r="EZ6" i="3" s="1"/>
  <c r="EZ7" i="3" s="1"/>
  <c r="EZ8" i="3" s="1"/>
  <c r="EZ9" i="3" s="1"/>
  <c r="EZ10" i="3" s="1"/>
  <c r="EZ11" i="3" s="1"/>
  <c r="EY2" i="3"/>
  <c r="EY3" i="3" s="1"/>
  <c r="EY4" i="3" s="1"/>
  <c r="EY5" i="3" s="1"/>
  <c r="EY6" i="3" s="1"/>
  <c r="EY7" i="3" s="1"/>
  <c r="EY8" i="3" s="1"/>
  <c r="EY9" i="3" s="1"/>
  <c r="EY10" i="3" s="1"/>
  <c r="EY11" i="3" s="1"/>
  <c r="EX2" i="3"/>
  <c r="EX3" i="3" s="1"/>
  <c r="EX4" i="3" s="1"/>
  <c r="EX5" i="3" s="1"/>
  <c r="EX6" i="3" s="1"/>
  <c r="EX7" i="3" s="1"/>
  <c r="EX8" i="3" s="1"/>
  <c r="EX9" i="3" s="1"/>
  <c r="EX10" i="3" s="1"/>
  <c r="EX11" i="3" s="1"/>
  <c r="EW2" i="3"/>
  <c r="EW3" i="3" s="1"/>
  <c r="EW4" i="3" s="1"/>
  <c r="EW5" i="3" s="1"/>
  <c r="EW6" i="3" s="1"/>
  <c r="EW7" i="3" s="1"/>
  <c r="EW8" i="3" s="1"/>
  <c r="EW9" i="3" s="1"/>
  <c r="EW10" i="3" s="1"/>
  <c r="EW11" i="3" s="1"/>
  <c r="EV2" i="3"/>
  <c r="EV3" i="3" s="1"/>
  <c r="EV4" i="3" s="1"/>
  <c r="EV5" i="3" s="1"/>
  <c r="EV6" i="3" s="1"/>
  <c r="EV7" i="3" s="1"/>
  <c r="EV8" i="3" s="1"/>
  <c r="EV9" i="3" s="1"/>
  <c r="EV10" i="3" s="1"/>
  <c r="EV11" i="3" s="1"/>
  <c r="EU2" i="3"/>
  <c r="EU3" i="3" s="1"/>
  <c r="EU4" i="3" s="1"/>
  <c r="EU5" i="3" s="1"/>
  <c r="EU6" i="3" s="1"/>
  <c r="EU7" i="3" s="1"/>
  <c r="EU8" i="3" s="1"/>
  <c r="EU9" i="3" s="1"/>
  <c r="EU10" i="3" s="1"/>
  <c r="EU11" i="3" s="1"/>
  <c r="ET2" i="3"/>
  <c r="ET3" i="3" s="1"/>
  <c r="ET4" i="3" s="1"/>
  <c r="ET5" i="3" s="1"/>
  <c r="ET6" i="3" s="1"/>
  <c r="ET7" i="3" s="1"/>
  <c r="ET8" i="3" s="1"/>
  <c r="ET9" i="3" s="1"/>
  <c r="ET10" i="3" s="1"/>
  <c r="ET11" i="3" s="1"/>
  <c r="ES2" i="3"/>
  <c r="ES3" i="3" s="1"/>
  <c r="ES4" i="3" s="1"/>
  <c r="ES5" i="3" s="1"/>
  <c r="ES6" i="3" s="1"/>
  <c r="ES7" i="3" s="1"/>
  <c r="ES8" i="3" s="1"/>
  <c r="ES9" i="3" s="1"/>
  <c r="ES10" i="3" s="1"/>
  <c r="ES11" i="3" s="1"/>
  <c r="ER2" i="3"/>
  <c r="ER3" i="3" s="1"/>
  <c r="ER4" i="3" s="1"/>
  <c r="ER5" i="3" s="1"/>
  <c r="ER6" i="3" s="1"/>
  <c r="ER7" i="3" s="1"/>
  <c r="ER8" i="3" s="1"/>
  <c r="ER9" i="3" s="1"/>
  <c r="ER10" i="3" s="1"/>
  <c r="ER11" i="3" s="1"/>
  <c r="EQ2" i="3"/>
  <c r="EQ3" i="3" s="1"/>
  <c r="EQ4" i="3" s="1"/>
  <c r="EQ5" i="3" s="1"/>
  <c r="EQ6" i="3" s="1"/>
  <c r="EQ7" i="3" s="1"/>
  <c r="EQ8" i="3" s="1"/>
  <c r="EQ9" i="3" s="1"/>
  <c r="EQ10" i="3" s="1"/>
  <c r="EQ11" i="3" s="1"/>
  <c r="EP2" i="3"/>
  <c r="EP3" i="3" s="1"/>
  <c r="EP4" i="3" s="1"/>
  <c r="EP5" i="3" s="1"/>
  <c r="EP6" i="3" s="1"/>
  <c r="EP7" i="3" s="1"/>
  <c r="EP8" i="3" s="1"/>
  <c r="EP9" i="3" s="1"/>
  <c r="EP10" i="3" s="1"/>
  <c r="EP11" i="3" s="1"/>
  <c r="EO2" i="3"/>
  <c r="EO3" i="3" s="1"/>
  <c r="EO4" i="3" s="1"/>
  <c r="EO5" i="3" s="1"/>
  <c r="EO6" i="3" s="1"/>
  <c r="EO7" i="3" s="1"/>
  <c r="EO8" i="3" s="1"/>
  <c r="EO9" i="3" s="1"/>
  <c r="EO10" i="3" s="1"/>
  <c r="EO11" i="3" s="1"/>
  <c r="EN2" i="3"/>
  <c r="EN3" i="3" s="1"/>
  <c r="EN4" i="3" s="1"/>
  <c r="EN5" i="3" s="1"/>
  <c r="EN6" i="3" s="1"/>
  <c r="EN7" i="3" s="1"/>
  <c r="EN8" i="3" s="1"/>
  <c r="EN9" i="3" s="1"/>
  <c r="EN10" i="3" s="1"/>
  <c r="EN11" i="3" s="1"/>
  <c r="EM2" i="3"/>
  <c r="EM3" i="3" s="1"/>
  <c r="EM4" i="3" s="1"/>
  <c r="EM5" i="3" s="1"/>
  <c r="EM6" i="3" s="1"/>
  <c r="EM7" i="3" s="1"/>
  <c r="EM8" i="3" s="1"/>
  <c r="EM9" i="3" s="1"/>
  <c r="EM10" i="3" s="1"/>
  <c r="EM11" i="3" s="1"/>
  <c r="EL2" i="3"/>
  <c r="EL3" i="3" s="1"/>
  <c r="EL4" i="3" s="1"/>
  <c r="EL5" i="3" s="1"/>
  <c r="EL6" i="3" s="1"/>
  <c r="EL7" i="3" s="1"/>
  <c r="EL8" i="3" s="1"/>
  <c r="EL9" i="3" s="1"/>
  <c r="EL10" i="3" s="1"/>
  <c r="EL11" i="3" s="1"/>
  <c r="EK2" i="3"/>
  <c r="EK3" i="3" s="1"/>
  <c r="EK4" i="3" s="1"/>
  <c r="EK5" i="3" s="1"/>
  <c r="EK6" i="3" s="1"/>
  <c r="EK7" i="3" s="1"/>
  <c r="EK8" i="3" s="1"/>
  <c r="EK9" i="3" s="1"/>
  <c r="EK10" i="3" s="1"/>
  <c r="EK11" i="3" s="1"/>
  <c r="EJ2" i="3"/>
  <c r="EJ3" i="3" s="1"/>
  <c r="EJ4" i="3" s="1"/>
  <c r="EJ5" i="3" s="1"/>
  <c r="EJ6" i="3" s="1"/>
  <c r="EJ7" i="3" s="1"/>
  <c r="EJ8" i="3" s="1"/>
  <c r="EJ9" i="3" s="1"/>
  <c r="EJ10" i="3" s="1"/>
  <c r="EJ11" i="3" s="1"/>
  <c r="EI2" i="3"/>
  <c r="EI3" i="3" s="1"/>
  <c r="EI4" i="3" s="1"/>
  <c r="EI5" i="3" s="1"/>
  <c r="EI6" i="3" s="1"/>
  <c r="EI7" i="3" s="1"/>
  <c r="EI8" i="3" s="1"/>
  <c r="EI9" i="3" s="1"/>
  <c r="EI10" i="3" s="1"/>
  <c r="EI11" i="3" s="1"/>
  <c r="EH2" i="3"/>
  <c r="EH3" i="3" s="1"/>
  <c r="EH4" i="3" s="1"/>
  <c r="EH5" i="3" s="1"/>
  <c r="EH6" i="3" s="1"/>
  <c r="EH7" i="3" s="1"/>
  <c r="EH8" i="3" s="1"/>
  <c r="EH9" i="3" s="1"/>
  <c r="EH10" i="3" s="1"/>
  <c r="EH11" i="3" s="1"/>
  <c r="EG2" i="3"/>
  <c r="EG3" i="3" s="1"/>
  <c r="EG4" i="3" s="1"/>
  <c r="EG5" i="3" s="1"/>
  <c r="EG6" i="3" s="1"/>
  <c r="EG7" i="3" s="1"/>
  <c r="EG8" i="3" s="1"/>
  <c r="EG9" i="3" s="1"/>
  <c r="EG10" i="3" s="1"/>
  <c r="EG11" i="3" s="1"/>
  <c r="EF2" i="3"/>
  <c r="EF3" i="3" s="1"/>
  <c r="EF4" i="3" s="1"/>
  <c r="EF5" i="3" s="1"/>
  <c r="EF6" i="3" s="1"/>
  <c r="EF7" i="3" s="1"/>
  <c r="EF8" i="3" s="1"/>
  <c r="EF9" i="3" s="1"/>
  <c r="EF10" i="3" s="1"/>
  <c r="EF11" i="3" s="1"/>
  <c r="EE2" i="3"/>
  <c r="EE3" i="3" s="1"/>
  <c r="EE4" i="3" s="1"/>
  <c r="EE5" i="3" s="1"/>
  <c r="EE6" i="3" s="1"/>
  <c r="EE7" i="3" s="1"/>
  <c r="EE8" i="3" s="1"/>
  <c r="EE9" i="3" s="1"/>
  <c r="EE10" i="3" s="1"/>
  <c r="EE11" i="3" s="1"/>
  <c r="ED2" i="3"/>
  <c r="ED3" i="3" s="1"/>
  <c r="ED4" i="3" s="1"/>
  <c r="ED5" i="3" s="1"/>
  <c r="ED6" i="3" s="1"/>
  <c r="ED7" i="3" s="1"/>
  <c r="ED8" i="3" s="1"/>
  <c r="ED9" i="3" s="1"/>
  <c r="ED10" i="3" s="1"/>
  <c r="ED11" i="3" s="1"/>
  <c r="EC2" i="3"/>
  <c r="EC3" i="3" s="1"/>
  <c r="EC4" i="3" s="1"/>
  <c r="EC5" i="3" s="1"/>
  <c r="EC6" i="3" s="1"/>
  <c r="EC7" i="3" s="1"/>
  <c r="EC8" i="3" s="1"/>
  <c r="EC9" i="3" s="1"/>
  <c r="EC10" i="3" s="1"/>
  <c r="EC11" i="3" s="1"/>
  <c r="EB2" i="3"/>
  <c r="EB3" i="3" s="1"/>
  <c r="EB4" i="3" s="1"/>
  <c r="EB5" i="3" s="1"/>
  <c r="EB6" i="3" s="1"/>
  <c r="EB7" i="3" s="1"/>
  <c r="EB8" i="3" s="1"/>
  <c r="EB9" i="3" s="1"/>
  <c r="EB10" i="3" s="1"/>
  <c r="EB11" i="3" s="1"/>
  <c r="EA2" i="3"/>
  <c r="EA3" i="3" s="1"/>
  <c r="EA4" i="3" s="1"/>
  <c r="EA5" i="3" s="1"/>
  <c r="EA6" i="3" s="1"/>
  <c r="EA7" i="3" s="1"/>
  <c r="EA8" i="3" s="1"/>
  <c r="EA9" i="3" s="1"/>
  <c r="EA10" i="3" s="1"/>
  <c r="EA11" i="3" s="1"/>
  <c r="DZ2" i="3"/>
  <c r="DZ3" i="3" s="1"/>
  <c r="DZ4" i="3" s="1"/>
  <c r="DZ5" i="3" s="1"/>
  <c r="DZ6" i="3" s="1"/>
  <c r="DZ7" i="3" s="1"/>
  <c r="DZ8" i="3" s="1"/>
  <c r="DZ9" i="3" s="1"/>
  <c r="DZ10" i="3" s="1"/>
  <c r="DZ11" i="3" s="1"/>
  <c r="DY2" i="3"/>
  <c r="DY3" i="3" s="1"/>
  <c r="DY4" i="3" s="1"/>
  <c r="DY5" i="3" s="1"/>
  <c r="DY6" i="3" s="1"/>
  <c r="DY7" i="3" s="1"/>
  <c r="DY8" i="3" s="1"/>
  <c r="DY9" i="3" s="1"/>
  <c r="DY10" i="3" s="1"/>
  <c r="DY11" i="3" s="1"/>
  <c r="DX2" i="3"/>
  <c r="DX3" i="3" s="1"/>
  <c r="DX4" i="3" s="1"/>
  <c r="DX5" i="3" s="1"/>
  <c r="DX6" i="3" s="1"/>
  <c r="DX7" i="3" s="1"/>
  <c r="DX8" i="3" s="1"/>
  <c r="DX9" i="3" s="1"/>
  <c r="DX10" i="3" s="1"/>
  <c r="DX11" i="3" s="1"/>
  <c r="DW2" i="3"/>
  <c r="DW3" i="3" s="1"/>
  <c r="DW4" i="3" s="1"/>
  <c r="DW5" i="3" s="1"/>
  <c r="DW6" i="3" s="1"/>
  <c r="DW7" i="3" s="1"/>
  <c r="DW8" i="3" s="1"/>
  <c r="DW9" i="3" s="1"/>
  <c r="DW10" i="3" s="1"/>
  <c r="DW11" i="3" s="1"/>
  <c r="DV2" i="3"/>
  <c r="DV3" i="3" s="1"/>
  <c r="DV4" i="3" s="1"/>
  <c r="DV5" i="3" s="1"/>
  <c r="DV6" i="3" s="1"/>
  <c r="DV7" i="3" s="1"/>
  <c r="DV8" i="3" s="1"/>
  <c r="DV9" i="3" s="1"/>
  <c r="DV10" i="3" s="1"/>
  <c r="DV11" i="3" s="1"/>
  <c r="DU2" i="3"/>
  <c r="DU3" i="3" s="1"/>
  <c r="DU4" i="3" s="1"/>
  <c r="DU5" i="3" s="1"/>
  <c r="DU6" i="3" s="1"/>
  <c r="DU7" i="3" s="1"/>
  <c r="DU8" i="3" s="1"/>
  <c r="DU9" i="3" s="1"/>
  <c r="DU10" i="3" s="1"/>
  <c r="DU11" i="3" s="1"/>
  <c r="DT2" i="3"/>
  <c r="DT3" i="3" s="1"/>
  <c r="DT4" i="3" s="1"/>
  <c r="DT5" i="3" s="1"/>
  <c r="DT6" i="3" s="1"/>
  <c r="DT7" i="3" s="1"/>
  <c r="DT8" i="3" s="1"/>
  <c r="DT9" i="3" s="1"/>
  <c r="DT10" i="3" s="1"/>
  <c r="DT11" i="3" s="1"/>
  <c r="DS2" i="3"/>
  <c r="DS3" i="3" s="1"/>
  <c r="DS4" i="3" s="1"/>
  <c r="DS5" i="3" s="1"/>
  <c r="DS6" i="3" s="1"/>
  <c r="DS7" i="3" s="1"/>
  <c r="DS8" i="3" s="1"/>
  <c r="DS9" i="3" s="1"/>
  <c r="DS10" i="3" s="1"/>
  <c r="DS11" i="3" s="1"/>
  <c r="DR2" i="3"/>
  <c r="DR3" i="3" s="1"/>
  <c r="DR4" i="3" s="1"/>
  <c r="DR5" i="3" s="1"/>
  <c r="DR6" i="3" s="1"/>
  <c r="DR7" i="3" s="1"/>
  <c r="DR8" i="3" s="1"/>
  <c r="DR9" i="3" s="1"/>
  <c r="DR10" i="3" s="1"/>
  <c r="DR11" i="3" s="1"/>
  <c r="DQ2" i="3"/>
  <c r="DQ3" i="3" s="1"/>
  <c r="DQ4" i="3" s="1"/>
  <c r="DQ5" i="3" s="1"/>
  <c r="DQ6" i="3" s="1"/>
  <c r="DQ7" i="3" s="1"/>
  <c r="DQ8" i="3" s="1"/>
  <c r="DQ9" i="3" s="1"/>
  <c r="DQ10" i="3" s="1"/>
  <c r="DQ11" i="3" s="1"/>
  <c r="DP2" i="3"/>
  <c r="DP3" i="3" s="1"/>
  <c r="DP4" i="3" s="1"/>
  <c r="DP5" i="3" s="1"/>
  <c r="DP6" i="3" s="1"/>
  <c r="DP7" i="3" s="1"/>
  <c r="DP8" i="3" s="1"/>
  <c r="DP9" i="3" s="1"/>
  <c r="DP10" i="3" s="1"/>
  <c r="DP11" i="3" s="1"/>
  <c r="DO2" i="3"/>
  <c r="DO3" i="3" s="1"/>
  <c r="DO4" i="3" s="1"/>
  <c r="DO5" i="3" s="1"/>
  <c r="DO6" i="3" s="1"/>
  <c r="DO7" i="3" s="1"/>
  <c r="DO8" i="3" s="1"/>
  <c r="DO9" i="3" s="1"/>
  <c r="DO10" i="3" s="1"/>
  <c r="DO11" i="3" s="1"/>
  <c r="DN2" i="3"/>
  <c r="DN3" i="3" s="1"/>
  <c r="DN4" i="3" s="1"/>
  <c r="DN5" i="3" s="1"/>
  <c r="DN6" i="3" s="1"/>
  <c r="DN7" i="3" s="1"/>
  <c r="DN8" i="3" s="1"/>
  <c r="DN9" i="3" s="1"/>
  <c r="DN10" i="3" s="1"/>
  <c r="DN11" i="3" s="1"/>
  <c r="DM2" i="3"/>
  <c r="DM3" i="3" s="1"/>
  <c r="DM4" i="3" s="1"/>
  <c r="DM5" i="3" s="1"/>
  <c r="DM6" i="3" s="1"/>
  <c r="DM7" i="3" s="1"/>
  <c r="DM8" i="3" s="1"/>
  <c r="DM9" i="3" s="1"/>
  <c r="DM10" i="3" s="1"/>
  <c r="DM11" i="3" s="1"/>
  <c r="DL2" i="3"/>
  <c r="DL3" i="3" s="1"/>
  <c r="DL4" i="3" s="1"/>
  <c r="DL5" i="3" s="1"/>
  <c r="DL6" i="3" s="1"/>
  <c r="DL7" i="3" s="1"/>
  <c r="DL8" i="3" s="1"/>
  <c r="DL9" i="3" s="1"/>
  <c r="DL10" i="3" s="1"/>
  <c r="DL11" i="3" s="1"/>
  <c r="DK2" i="3"/>
  <c r="DK9" i="3" s="1"/>
  <c r="DI2" i="3"/>
  <c r="DE2" i="3"/>
  <c r="DF2" i="3" s="1"/>
  <c r="CZ2" i="3"/>
  <c r="CY2" i="3"/>
  <c r="CT2" i="3"/>
  <c r="CS2" i="3"/>
  <c r="CM2" i="3"/>
  <c r="CN2" i="3" s="1"/>
  <c r="CG2" i="3"/>
  <c r="CH2" i="3" s="1"/>
  <c r="CB2" i="3"/>
  <c r="CA2" i="3"/>
  <c r="BV2" i="3"/>
  <c r="BU2" i="3"/>
  <c r="BO2" i="3"/>
  <c r="BP2" i="3" s="1"/>
  <c r="BI2" i="3"/>
  <c r="BJ2" i="3" s="1"/>
  <c r="BD2" i="3"/>
  <c r="BC2" i="3"/>
  <c r="AX2" i="3"/>
  <c r="AW2" i="3"/>
  <c r="AQ2" i="3"/>
  <c r="AR2" i="3" s="1"/>
  <c r="AK2" i="3"/>
  <c r="AL2" i="3" s="1"/>
  <c r="AF2" i="3"/>
  <c r="AE2" i="3"/>
  <c r="Z2" i="3"/>
  <c r="Y2" i="3"/>
  <c r="S2" i="3"/>
  <c r="T2" i="3" s="1"/>
  <c r="M2" i="3"/>
  <c r="DI40" i="2"/>
  <c r="DE40" i="2"/>
  <c r="DF40" i="2" s="1"/>
  <c r="CY40" i="2"/>
  <c r="CZ40" i="2" s="1"/>
  <c r="CS40" i="2"/>
  <c r="CT40" i="2" s="1"/>
  <c r="CN40" i="2"/>
  <c r="CM40" i="2"/>
  <c r="CG40" i="2"/>
  <c r="CH40" i="2" s="1"/>
  <c r="CA40" i="2"/>
  <c r="CB40" i="2" s="1"/>
  <c r="BU40" i="2"/>
  <c r="BV40" i="2" s="1"/>
  <c r="BP40" i="2"/>
  <c r="BO40" i="2"/>
  <c r="BI40" i="2"/>
  <c r="BJ40" i="2" s="1"/>
  <c r="BC40" i="2"/>
  <c r="BD40" i="2" s="1"/>
  <c r="AW40" i="2"/>
  <c r="AX40" i="2" s="1"/>
  <c r="AR40" i="2"/>
  <c r="AQ40" i="2"/>
  <c r="AK40" i="2"/>
  <c r="AL40" i="2" s="1"/>
  <c r="AE40" i="2"/>
  <c r="AF40" i="2" s="1"/>
  <c r="Y40" i="2"/>
  <c r="Z40" i="2" s="1"/>
  <c r="T40" i="2"/>
  <c r="S40" i="2"/>
  <c r="M40" i="2"/>
  <c r="DI39" i="2"/>
  <c r="DE39" i="2"/>
  <c r="DF39" i="2" s="1"/>
  <c r="CY39" i="2"/>
  <c r="CZ39" i="2" s="1"/>
  <c r="CS39" i="2"/>
  <c r="CT39" i="2" s="1"/>
  <c r="CN39" i="2"/>
  <c r="CM39" i="2"/>
  <c r="CG39" i="2"/>
  <c r="CH39" i="2" s="1"/>
  <c r="CA39" i="2"/>
  <c r="CB39" i="2" s="1"/>
  <c r="BU39" i="2"/>
  <c r="BV39" i="2" s="1"/>
  <c r="BO39" i="2"/>
  <c r="BP39" i="2" s="1"/>
  <c r="BI39" i="2"/>
  <c r="BJ39" i="2" s="1"/>
  <c r="BC39" i="2"/>
  <c r="BD39" i="2" s="1"/>
  <c r="AW39" i="2"/>
  <c r="AX39" i="2" s="1"/>
  <c r="AQ39" i="2"/>
  <c r="AR39" i="2" s="1"/>
  <c r="AK39" i="2"/>
  <c r="AL39" i="2" s="1"/>
  <c r="AE39" i="2"/>
  <c r="AF39" i="2" s="1"/>
  <c r="Z39" i="2"/>
  <c r="Y39" i="2"/>
  <c r="T39" i="2"/>
  <c r="S39" i="2"/>
  <c r="M39" i="2"/>
  <c r="DJ39" i="2" s="1"/>
  <c r="DJ38" i="2"/>
  <c r="DI38" i="2"/>
  <c r="DF38" i="2"/>
  <c r="DE38" i="2"/>
  <c r="CY38" i="2"/>
  <c r="CZ38" i="2" s="1"/>
  <c r="CS38" i="2"/>
  <c r="CT38" i="2" s="1"/>
  <c r="CN38" i="2"/>
  <c r="CM38" i="2"/>
  <c r="CH38" i="2"/>
  <c r="CG38" i="2"/>
  <c r="CA38" i="2"/>
  <c r="CB38" i="2" s="1"/>
  <c r="BU38" i="2"/>
  <c r="BV38" i="2" s="1"/>
  <c r="BP38" i="2"/>
  <c r="BO38" i="2"/>
  <c r="BJ38" i="2"/>
  <c r="BI38" i="2"/>
  <c r="BC38" i="2"/>
  <c r="BD38" i="2" s="1"/>
  <c r="AW38" i="2"/>
  <c r="AX38" i="2" s="1"/>
  <c r="AR38" i="2"/>
  <c r="AQ38" i="2"/>
  <c r="AL38" i="2"/>
  <c r="AK38" i="2"/>
  <c r="AE38" i="2"/>
  <c r="AF38" i="2" s="1"/>
  <c r="Y38" i="2"/>
  <c r="Z38" i="2" s="1"/>
  <c r="T38" i="2"/>
  <c r="S38" i="2"/>
  <c r="N38" i="2"/>
  <c r="M38" i="2"/>
  <c r="DI37" i="2"/>
  <c r="DF37" i="2"/>
  <c r="DE37" i="2"/>
  <c r="CY37" i="2"/>
  <c r="CZ37" i="2" s="1"/>
  <c r="CS37" i="2"/>
  <c r="CT37" i="2" s="1"/>
  <c r="CN37" i="2"/>
  <c r="CM37" i="2"/>
  <c r="CH37" i="2"/>
  <c r="CG37" i="2"/>
  <c r="CA37" i="2"/>
  <c r="CB37" i="2" s="1"/>
  <c r="BU37" i="2"/>
  <c r="BV37" i="2" s="1"/>
  <c r="BP37" i="2"/>
  <c r="BO37" i="2"/>
  <c r="BJ37" i="2"/>
  <c r="BI37" i="2"/>
  <c r="BC37" i="2"/>
  <c r="BD37" i="2" s="1"/>
  <c r="AW37" i="2"/>
  <c r="AX37" i="2" s="1"/>
  <c r="AR37" i="2"/>
  <c r="AQ37" i="2"/>
  <c r="AL37" i="2"/>
  <c r="AK37" i="2"/>
  <c r="AE37" i="2"/>
  <c r="AF37" i="2" s="1"/>
  <c r="Y37" i="2"/>
  <c r="Z37" i="2" s="1"/>
  <c r="T37" i="2"/>
  <c r="S37" i="2"/>
  <c r="N37" i="2"/>
  <c r="M37" i="2"/>
  <c r="DI36" i="2"/>
  <c r="DF36" i="2"/>
  <c r="DE36" i="2"/>
  <c r="CY36" i="2"/>
  <c r="CZ36" i="2" s="1"/>
  <c r="CT36" i="2"/>
  <c r="CS36" i="2"/>
  <c r="CN36" i="2"/>
  <c r="CM36" i="2"/>
  <c r="CH36" i="2"/>
  <c r="CG36" i="2"/>
  <c r="CA36" i="2"/>
  <c r="CB36" i="2" s="1"/>
  <c r="BU36" i="2"/>
  <c r="BV36" i="2" s="1"/>
  <c r="BP36" i="2"/>
  <c r="BO36" i="2"/>
  <c r="BJ36" i="2"/>
  <c r="BD36" i="2"/>
  <c r="BC36" i="2"/>
  <c r="AW36" i="2"/>
  <c r="AX36" i="2" s="1"/>
  <c r="AQ36" i="2"/>
  <c r="AR36" i="2" s="1"/>
  <c r="AK36" i="2"/>
  <c r="AL36" i="2" s="1"/>
  <c r="AF36" i="2"/>
  <c r="AE36" i="2"/>
  <c r="Y36" i="2"/>
  <c r="Z36" i="2" s="1"/>
  <c r="S36" i="2"/>
  <c r="T36" i="2" s="1"/>
  <c r="M36" i="2"/>
  <c r="N36" i="2" s="1"/>
  <c r="DI35" i="2"/>
  <c r="DE35" i="2"/>
  <c r="DF35" i="2" s="1"/>
  <c r="CZ35" i="2"/>
  <c r="CY35" i="2"/>
  <c r="CS35" i="2"/>
  <c r="CT35" i="2" s="1"/>
  <c r="CM35" i="2"/>
  <c r="CN35" i="2" s="1"/>
  <c r="CG35" i="2"/>
  <c r="CH35" i="2" s="1"/>
  <c r="CB35" i="2"/>
  <c r="CA35" i="2"/>
  <c r="BU35" i="2"/>
  <c r="BV35" i="2" s="1"/>
  <c r="BO35" i="2"/>
  <c r="DJ35" i="2" s="1"/>
  <c r="BJ35" i="2"/>
  <c r="BD35" i="2"/>
  <c r="BC35" i="2"/>
  <c r="AW35" i="2"/>
  <c r="AX35" i="2" s="1"/>
  <c r="AQ35" i="2"/>
  <c r="AR35" i="2" s="1"/>
  <c r="AL35" i="2"/>
  <c r="AK35" i="2"/>
  <c r="AF35" i="2"/>
  <c r="AE35" i="2"/>
  <c r="Y35" i="2"/>
  <c r="Z35" i="2" s="1"/>
  <c r="S35" i="2"/>
  <c r="T35" i="2" s="1"/>
  <c r="N35" i="2"/>
  <c r="M35" i="2"/>
  <c r="DI34" i="2"/>
  <c r="DF34" i="2"/>
  <c r="DE34" i="2"/>
  <c r="CZ34" i="2"/>
  <c r="CY34" i="2"/>
  <c r="CS34" i="2"/>
  <c r="CT34" i="2" s="1"/>
  <c r="CN34" i="2"/>
  <c r="CM34" i="2"/>
  <c r="CH34" i="2"/>
  <c r="CG34" i="2"/>
  <c r="CB34" i="2"/>
  <c r="CA34" i="2"/>
  <c r="BU34" i="2"/>
  <c r="BV34" i="2" s="1"/>
  <c r="BO34" i="2"/>
  <c r="BP34" i="2" s="1"/>
  <c r="BJ34" i="2"/>
  <c r="BI34" i="2"/>
  <c r="BD34" i="2"/>
  <c r="BC34" i="2"/>
  <c r="AW34" i="2"/>
  <c r="AX34" i="2" s="1"/>
  <c r="AR34" i="2"/>
  <c r="AQ34" i="2"/>
  <c r="AL34" i="2"/>
  <c r="AK34" i="2"/>
  <c r="AF34" i="2"/>
  <c r="AE34" i="2"/>
  <c r="Y34" i="2"/>
  <c r="Z34" i="2" s="1"/>
  <c r="S34" i="2"/>
  <c r="T34" i="2" s="1"/>
  <c r="N34" i="2"/>
  <c r="M34" i="2"/>
  <c r="DI33" i="2"/>
  <c r="DF33" i="2"/>
  <c r="DE33" i="2"/>
  <c r="CZ33" i="2"/>
  <c r="CY33" i="2"/>
  <c r="CS33" i="2"/>
  <c r="CT33" i="2" s="1"/>
  <c r="CN33" i="2"/>
  <c r="CM33" i="2"/>
  <c r="CH33" i="2"/>
  <c r="CG33" i="2"/>
  <c r="CB33" i="2"/>
  <c r="CA33" i="2"/>
  <c r="BU33" i="2"/>
  <c r="BV33" i="2" s="1"/>
  <c r="BO33" i="2"/>
  <c r="BP33" i="2" s="1"/>
  <c r="BJ33" i="2"/>
  <c r="BI33" i="2"/>
  <c r="BD33" i="2"/>
  <c r="BC33" i="2"/>
  <c r="AW33" i="2"/>
  <c r="AX33" i="2" s="1"/>
  <c r="AR33" i="2"/>
  <c r="AQ33" i="2"/>
  <c r="AL33" i="2"/>
  <c r="AK33" i="2"/>
  <c r="AF33" i="2"/>
  <c r="AE33" i="2"/>
  <c r="Y33" i="2"/>
  <c r="Z33" i="2" s="1"/>
  <c r="S33" i="2"/>
  <c r="T33" i="2" s="1"/>
  <c r="N33" i="2"/>
  <c r="M33" i="2"/>
  <c r="DI32" i="2"/>
  <c r="DF32" i="2"/>
  <c r="DE32" i="2"/>
  <c r="CY32" i="2"/>
  <c r="CZ32" i="2" s="1"/>
  <c r="CS32" i="2"/>
  <c r="CT32" i="2" s="1"/>
  <c r="CN32" i="2"/>
  <c r="CM32" i="2"/>
  <c r="CH32" i="2"/>
  <c r="CG32" i="2"/>
  <c r="CB32" i="2"/>
  <c r="CA32" i="2"/>
  <c r="BU32" i="2"/>
  <c r="BV32" i="2" s="1"/>
  <c r="BP32" i="2"/>
  <c r="BJ32" i="2"/>
  <c r="BD32" i="2"/>
  <c r="BC32" i="2"/>
  <c r="AW32" i="2"/>
  <c r="AX32" i="2" s="1"/>
  <c r="AQ32" i="2"/>
  <c r="AR32" i="2" s="1"/>
  <c r="AK32" i="2"/>
  <c r="AL32" i="2" s="1"/>
  <c r="AF32" i="2"/>
  <c r="AE32" i="2"/>
  <c r="Z32" i="2"/>
  <c r="Y32" i="2"/>
  <c r="S32" i="2"/>
  <c r="T32" i="2" s="1"/>
  <c r="M32" i="2"/>
  <c r="N32" i="2" s="1"/>
  <c r="DI31" i="2"/>
  <c r="DF31" i="2"/>
  <c r="DE31" i="2"/>
  <c r="CZ31" i="2"/>
  <c r="CY31" i="2"/>
  <c r="CT31" i="2"/>
  <c r="CS31" i="2"/>
  <c r="CM31" i="2"/>
  <c r="CN31" i="2" s="1"/>
  <c r="CH31" i="2"/>
  <c r="CG31" i="2"/>
  <c r="CB31" i="2"/>
  <c r="CA31" i="2"/>
  <c r="BV31" i="2"/>
  <c r="BU31" i="2"/>
  <c r="BO31" i="2"/>
  <c r="BP31" i="2" s="1"/>
  <c r="BJ31" i="2"/>
  <c r="BI31" i="2"/>
  <c r="BD31" i="2"/>
  <c r="BC31" i="2"/>
  <c r="AX31" i="2"/>
  <c r="AW31" i="2"/>
  <c r="AQ31" i="2"/>
  <c r="AR31" i="2" s="1"/>
  <c r="AL31" i="2"/>
  <c r="AK31" i="2"/>
  <c r="AF31" i="2"/>
  <c r="AE31" i="2"/>
  <c r="Z31" i="2"/>
  <c r="Y31" i="2"/>
  <c r="S31" i="2"/>
  <c r="T31" i="2" s="1"/>
  <c r="N31" i="2"/>
  <c r="M31" i="2"/>
  <c r="DI30" i="2"/>
  <c r="DF30" i="2"/>
  <c r="DE30" i="2"/>
  <c r="CZ30" i="2"/>
  <c r="CY30" i="2"/>
  <c r="CT30" i="2"/>
  <c r="CS30" i="2"/>
  <c r="CM30" i="2"/>
  <c r="CN30" i="2" s="1"/>
  <c r="CH30" i="2"/>
  <c r="CG30" i="2"/>
  <c r="CB30" i="2"/>
  <c r="CA30" i="2"/>
  <c r="BV30" i="2"/>
  <c r="BU30" i="2"/>
  <c r="BO30" i="2"/>
  <c r="BP30" i="2" s="1"/>
  <c r="BJ30" i="2"/>
  <c r="BI30" i="2"/>
  <c r="BD30" i="2"/>
  <c r="BC30" i="2"/>
  <c r="AX30" i="2"/>
  <c r="AW30" i="2"/>
  <c r="AQ30" i="2"/>
  <c r="AR30" i="2" s="1"/>
  <c r="AL30" i="2"/>
  <c r="AK30" i="2"/>
  <c r="AF30" i="2"/>
  <c r="AE30" i="2"/>
  <c r="Z30" i="2"/>
  <c r="Y30" i="2"/>
  <c r="S30" i="2"/>
  <c r="T30" i="2" s="1"/>
  <c r="N30" i="2"/>
  <c r="M30" i="2"/>
  <c r="DJ30" i="2" s="1"/>
  <c r="DI29" i="2"/>
  <c r="DF29" i="2"/>
  <c r="DE29" i="2"/>
  <c r="CZ29" i="2"/>
  <c r="CY29" i="2"/>
  <c r="CT29" i="2"/>
  <c r="CS29" i="2"/>
  <c r="CM29" i="2"/>
  <c r="CN29" i="2" s="1"/>
  <c r="CH29" i="2"/>
  <c r="CG29" i="2"/>
  <c r="CB29" i="2"/>
  <c r="CA29" i="2"/>
  <c r="BV29" i="2"/>
  <c r="BU29" i="2"/>
  <c r="BO29" i="2"/>
  <c r="BP29" i="2" s="1"/>
  <c r="BJ29" i="2"/>
  <c r="BI29" i="2"/>
  <c r="BD29" i="2"/>
  <c r="BC29" i="2"/>
  <c r="AX29" i="2"/>
  <c r="AW29" i="2"/>
  <c r="AQ29" i="2"/>
  <c r="AR29" i="2" s="1"/>
  <c r="AL29" i="2"/>
  <c r="AK29" i="2"/>
  <c r="AF29" i="2"/>
  <c r="AE29" i="2"/>
  <c r="Z29" i="2"/>
  <c r="Y29" i="2"/>
  <c r="S29" i="2"/>
  <c r="T29" i="2" s="1"/>
  <c r="N29" i="2"/>
  <c r="M29" i="2"/>
  <c r="DJ29" i="2" s="1"/>
  <c r="DI28" i="2"/>
  <c r="DF28" i="2"/>
  <c r="DE28" i="2"/>
  <c r="CZ28" i="2"/>
  <c r="CY28" i="2"/>
  <c r="CT28" i="2"/>
  <c r="CS28" i="2"/>
  <c r="CM28" i="2"/>
  <c r="CN28" i="2" s="1"/>
  <c r="CH28" i="2"/>
  <c r="CG28" i="2"/>
  <c r="CB28" i="2"/>
  <c r="CA28" i="2"/>
  <c r="BV28" i="2"/>
  <c r="BU28" i="2"/>
  <c r="BO28" i="2"/>
  <c r="BP28" i="2" s="1"/>
  <c r="BJ28" i="2"/>
  <c r="BI28" i="2"/>
  <c r="BD28" i="2"/>
  <c r="BC28" i="2"/>
  <c r="AX28" i="2"/>
  <c r="AW28" i="2"/>
  <c r="AQ28" i="2"/>
  <c r="AR28" i="2" s="1"/>
  <c r="AL28" i="2"/>
  <c r="AK28" i="2"/>
  <c r="AF28" i="2"/>
  <c r="AE28" i="2"/>
  <c r="Z28" i="2"/>
  <c r="Y28" i="2"/>
  <c r="S28" i="2"/>
  <c r="T28" i="2" s="1"/>
  <c r="N28" i="2"/>
  <c r="M28" i="2"/>
  <c r="DJ28" i="2" s="1"/>
  <c r="DI27" i="2"/>
  <c r="DF27" i="2"/>
  <c r="DE27" i="2"/>
  <c r="CZ27" i="2"/>
  <c r="CY27" i="2"/>
  <c r="CT27" i="2"/>
  <c r="CS27" i="2"/>
  <c r="CM27" i="2"/>
  <c r="CN27" i="2" s="1"/>
  <c r="CH27" i="2"/>
  <c r="CG27" i="2"/>
  <c r="CB27" i="2"/>
  <c r="CA27" i="2"/>
  <c r="BV27" i="2"/>
  <c r="BU27" i="2"/>
  <c r="BO27" i="2"/>
  <c r="BP27" i="2" s="1"/>
  <c r="BJ27" i="2"/>
  <c r="BI27" i="2"/>
  <c r="BD27" i="2"/>
  <c r="BC27" i="2"/>
  <c r="AX27" i="2"/>
  <c r="AW27" i="2"/>
  <c r="AQ27" i="2"/>
  <c r="AR27" i="2" s="1"/>
  <c r="AL27" i="2"/>
  <c r="AK27" i="2"/>
  <c r="AF27" i="2"/>
  <c r="AE27" i="2"/>
  <c r="Z27" i="2"/>
  <c r="Y27" i="2"/>
  <c r="S27" i="2"/>
  <c r="T27" i="2" s="1"/>
  <c r="N27" i="2"/>
  <c r="M27" i="2"/>
  <c r="DJ27" i="2" s="1"/>
  <c r="DI26" i="2"/>
  <c r="DF26" i="2"/>
  <c r="DE26" i="2"/>
  <c r="CZ26" i="2"/>
  <c r="CY26" i="2"/>
  <c r="CT26" i="2"/>
  <c r="CS26" i="2"/>
  <c r="CM26" i="2"/>
  <c r="CN26" i="2" s="1"/>
  <c r="CH26" i="2"/>
  <c r="CG26" i="2"/>
  <c r="CB26" i="2"/>
  <c r="CA26" i="2"/>
  <c r="BV26" i="2"/>
  <c r="BU26" i="2"/>
  <c r="BO26" i="2"/>
  <c r="BP26" i="2" s="1"/>
  <c r="BJ26" i="2"/>
  <c r="BI26" i="2"/>
  <c r="BD26" i="2"/>
  <c r="BC26" i="2"/>
  <c r="AX26" i="2"/>
  <c r="AW26" i="2"/>
  <c r="AQ26" i="2"/>
  <c r="AR26" i="2" s="1"/>
  <c r="AL26" i="2"/>
  <c r="AK26" i="2"/>
  <c r="AF26" i="2"/>
  <c r="AE26" i="2"/>
  <c r="Z26" i="2"/>
  <c r="Y26" i="2"/>
  <c r="S26" i="2"/>
  <c r="T26" i="2" s="1"/>
  <c r="N26" i="2"/>
  <c r="M26" i="2"/>
  <c r="DJ26" i="2" s="1"/>
  <c r="DI25" i="2"/>
  <c r="DF25" i="2"/>
  <c r="DE25" i="2"/>
  <c r="CZ25" i="2"/>
  <c r="CY25" i="2"/>
  <c r="CT25" i="2"/>
  <c r="CS25" i="2"/>
  <c r="CM25" i="2"/>
  <c r="CN25" i="2" s="1"/>
  <c r="CH25" i="2"/>
  <c r="CG25" i="2"/>
  <c r="CB25" i="2"/>
  <c r="CA25" i="2"/>
  <c r="BV25" i="2"/>
  <c r="BU25" i="2"/>
  <c r="BO25" i="2"/>
  <c r="BP25" i="2" s="1"/>
  <c r="BJ25" i="2"/>
  <c r="BI25" i="2"/>
  <c r="BD25" i="2"/>
  <c r="BC25" i="2"/>
  <c r="AX25" i="2"/>
  <c r="AW25" i="2"/>
  <c r="AQ25" i="2"/>
  <c r="AR25" i="2" s="1"/>
  <c r="AL25" i="2"/>
  <c r="AK25" i="2"/>
  <c r="AF25" i="2"/>
  <c r="AE25" i="2"/>
  <c r="Z25" i="2"/>
  <c r="Y25" i="2"/>
  <c r="S25" i="2"/>
  <c r="T25" i="2" s="1"/>
  <c r="N25" i="2"/>
  <c r="M25" i="2"/>
  <c r="DJ25" i="2" s="1"/>
  <c r="DI24" i="2"/>
  <c r="DF24" i="2"/>
  <c r="DE24" i="2"/>
  <c r="CZ24" i="2"/>
  <c r="CY24" i="2"/>
  <c r="CT24" i="2"/>
  <c r="CS24" i="2"/>
  <c r="CM24" i="2"/>
  <c r="CN24" i="2" s="1"/>
  <c r="CH24" i="2"/>
  <c r="CG24" i="2"/>
  <c r="CB24" i="2"/>
  <c r="CA24" i="2"/>
  <c r="BV24" i="2"/>
  <c r="BU24" i="2"/>
  <c r="BO24" i="2"/>
  <c r="BP24" i="2" s="1"/>
  <c r="BJ24" i="2"/>
  <c r="BI24" i="2"/>
  <c r="BD24" i="2"/>
  <c r="BC24" i="2"/>
  <c r="AX24" i="2"/>
  <c r="AW24" i="2"/>
  <c r="AQ24" i="2"/>
  <c r="AR24" i="2" s="1"/>
  <c r="AL24" i="2"/>
  <c r="AK24" i="2"/>
  <c r="AF24" i="2"/>
  <c r="AE24" i="2"/>
  <c r="Z24" i="2"/>
  <c r="Y24" i="2"/>
  <c r="S24" i="2"/>
  <c r="T24" i="2" s="1"/>
  <c r="N24" i="2"/>
  <c r="M24" i="2"/>
  <c r="DJ24" i="2" s="1"/>
  <c r="DI23" i="2"/>
  <c r="DF23" i="2"/>
  <c r="DE23" i="2"/>
  <c r="CZ23" i="2"/>
  <c r="CY23" i="2"/>
  <c r="CT23" i="2"/>
  <c r="CS23" i="2"/>
  <c r="CM23" i="2"/>
  <c r="CN23" i="2" s="1"/>
  <c r="CH23" i="2"/>
  <c r="CG23" i="2"/>
  <c r="CB23" i="2"/>
  <c r="CA23" i="2"/>
  <c r="BV23" i="2"/>
  <c r="BU23" i="2"/>
  <c r="BO23" i="2"/>
  <c r="BP23" i="2" s="1"/>
  <c r="BJ23" i="2"/>
  <c r="BC23" i="2"/>
  <c r="BD23" i="2" s="1"/>
  <c r="AW23" i="2"/>
  <c r="AX23" i="2" s="1"/>
  <c r="AQ23" i="2"/>
  <c r="AR23" i="2" s="1"/>
  <c r="AK23" i="2"/>
  <c r="AL23" i="2" s="1"/>
  <c r="AE23" i="2"/>
  <c r="AF23" i="2" s="1"/>
  <c r="Y23" i="2"/>
  <c r="Z23" i="2" s="1"/>
  <c r="S23" i="2"/>
  <c r="T23" i="2" s="1"/>
  <c r="M23" i="2"/>
  <c r="DI22" i="2"/>
  <c r="DE22" i="2"/>
  <c r="DF22" i="2" s="1"/>
  <c r="CY22" i="2"/>
  <c r="CZ22" i="2" s="1"/>
  <c r="CS22" i="2"/>
  <c r="CT22" i="2" s="1"/>
  <c r="CM22" i="2"/>
  <c r="CN22" i="2" s="1"/>
  <c r="CG22" i="2"/>
  <c r="CH22" i="2" s="1"/>
  <c r="CA22" i="2"/>
  <c r="CB22" i="2" s="1"/>
  <c r="BU22" i="2"/>
  <c r="BV22" i="2" s="1"/>
  <c r="BO22" i="2"/>
  <c r="BP22" i="2" s="1"/>
  <c r="BI22" i="2"/>
  <c r="BJ22" i="2" s="1"/>
  <c r="BC22" i="2"/>
  <c r="BD22" i="2" s="1"/>
  <c r="AW22" i="2"/>
  <c r="AX22" i="2" s="1"/>
  <c r="AQ22" i="2"/>
  <c r="AR22" i="2" s="1"/>
  <c r="AK22" i="2"/>
  <c r="AL22" i="2" s="1"/>
  <c r="AE22" i="2"/>
  <c r="AF22" i="2" s="1"/>
  <c r="Y22" i="2"/>
  <c r="Z22" i="2" s="1"/>
  <c r="S22" i="2"/>
  <c r="T22" i="2" s="1"/>
  <c r="M22" i="2"/>
  <c r="DI21" i="2"/>
  <c r="DE21" i="2"/>
  <c r="DF21" i="2" s="1"/>
  <c r="CY21" i="2"/>
  <c r="CZ21" i="2" s="1"/>
  <c r="CS21" i="2"/>
  <c r="CT21" i="2" s="1"/>
  <c r="CM21" i="2"/>
  <c r="CN21" i="2" s="1"/>
  <c r="CG21" i="2"/>
  <c r="CH21" i="2" s="1"/>
  <c r="CA21" i="2"/>
  <c r="CB21" i="2" s="1"/>
  <c r="BU21" i="2"/>
  <c r="BV21" i="2" s="1"/>
  <c r="BO21" i="2"/>
  <c r="BP21" i="2" s="1"/>
  <c r="BI21" i="2"/>
  <c r="BJ21" i="2" s="1"/>
  <c r="BC21" i="2"/>
  <c r="BD21" i="2" s="1"/>
  <c r="AW21" i="2"/>
  <c r="AX21" i="2" s="1"/>
  <c r="AQ21" i="2"/>
  <c r="AR21" i="2" s="1"/>
  <c r="AK21" i="2"/>
  <c r="AL21" i="2" s="1"/>
  <c r="AE21" i="2"/>
  <c r="AF21" i="2" s="1"/>
  <c r="Y21" i="2"/>
  <c r="Z21" i="2" s="1"/>
  <c r="S21" i="2"/>
  <c r="T21" i="2" s="1"/>
  <c r="M21" i="2"/>
  <c r="DI20" i="2"/>
  <c r="DE20" i="2"/>
  <c r="DF20" i="2" s="1"/>
  <c r="CY20" i="2"/>
  <c r="CZ20" i="2" s="1"/>
  <c r="CS20" i="2"/>
  <c r="CT20" i="2" s="1"/>
  <c r="CM20" i="2"/>
  <c r="CN20" i="2" s="1"/>
  <c r="CG20" i="2"/>
  <c r="CH20" i="2" s="1"/>
  <c r="CA20" i="2"/>
  <c r="CB20" i="2" s="1"/>
  <c r="BU20" i="2"/>
  <c r="BV20" i="2" s="1"/>
  <c r="BO20" i="2"/>
  <c r="BP20" i="2" s="1"/>
  <c r="BI20" i="2"/>
  <c r="BJ20" i="2" s="1"/>
  <c r="BC20" i="2"/>
  <c r="BD20" i="2" s="1"/>
  <c r="AW20" i="2"/>
  <c r="AX20" i="2" s="1"/>
  <c r="AQ20" i="2"/>
  <c r="AR20" i="2" s="1"/>
  <c r="AK20" i="2"/>
  <c r="AL20" i="2" s="1"/>
  <c r="AE20" i="2"/>
  <c r="AF20" i="2" s="1"/>
  <c r="Y20" i="2"/>
  <c r="Z20" i="2" s="1"/>
  <c r="S20" i="2"/>
  <c r="T20" i="2" s="1"/>
  <c r="M20" i="2"/>
  <c r="DI19" i="2"/>
  <c r="DE19" i="2"/>
  <c r="DF19" i="2" s="1"/>
  <c r="CY19" i="2"/>
  <c r="CZ19" i="2" s="1"/>
  <c r="CS19" i="2"/>
  <c r="CT19" i="2" s="1"/>
  <c r="CM19" i="2"/>
  <c r="CN19" i="2" s="1"/>
  <c r="CG19" i="2"/>
  <c r="CH19" i="2" s="1"/>
  <c r="CA19" i="2"/>
  <c r="CB19" i="2" s="1"/>
  <c r="BU19" i="2"/>
  <c r="BV19" i="2" s="1"/>
  <c r="BO19" i="2"/>
  <c r="BP19" i="2" s="1"/>
  <c r="BI19" i="2"/>
  <c r="BJ19" i="2" s="1"/>
  <c r="BC19" i="2"/>
  <c r="BD19" i="2" s="1"/>
  <c r="AW19" i="2"/>
  <c r="AX19" i="2" s="1"/>
  <c r="AQ19" i="2"/>
  <c r="AR19" i="2" s="1"/>
  <c r="AK19" i="2"/>
  <c r="AL19" i="2" s="1"/>
  <c r="AE19" i="2"/>
  <c r="AF19" i="2" s="1"/>
  <c r="Y19" i="2"/>
  <c r="Z19" i="2" s="1"/>
  <c r="S19" i="2"/>
  <c r="T19" i="2" s="1"/>
  <c r="M19" i="2"/>
  <c r="DI18" i="2"/>
  <c r="DE18" i="2"/>
  <c r="DF18" i="2" s="1"/>
  <c r="CY18" i="2"/>
  <c r="CZ18" i="2" s="1"/>
  <c r="CS18" i="2"/>
  <c r="CT18" i="2" s="1"/>
  <c r="CM18" i="2"/>
  <c r="CN18" i="2" s="1"/>
  <c r="CH18" i="2"/>
  <c r="CG18" i="2"/>
  <c r="CA18" i="2"/>
  <c r="CB18" i="2" s="1"/>
  <c r="BU18" i="2"/>
  <c r="BV18" i="2" s="1"/>
  <c r="BO18" i="2"/>
  <c r="BP18" i="2" s="1"/>
  <c r="BJ18" i="2"/>
  <c r="BI18" i="2"/>
  <c r="BC18" i="2"/>
  <c r="BD18" i="2" s="1"/>
  <c r="AW18" i="2"/>
  <c r="AX18" i="2" s="1"/>
  <c r="AQ18" i="2"/>
  <c r="AR18" i="2" s="1"/>
  <c r="AL18" i="2"/>
  <c r="AK18" i="2"/>
  <c r="AE18" i="2"/>
  <c r="AF18" i="2" s="1"/>
  <c r="Y18" i="2"/>
  <c r="Z18" i="2" s="1"/>
  <c r="S18" i="2"/>
  <c r="T18" i="2" s="1"/>
  <c r="M18" i="2"/>
  <c r="DI17" i="2"/>
  <c r="DF17" i="2"/>
  <c r="DE17" i="2"/>
  <c r="CY17" i="2"/>
  <c r="CZ17" i="2" s="1"/>
  <c r="CS17" i="2"/>
  <c r="CT17" i="2" s="1"/>
  <c r="CM17" i="2"/>
  <c r="CN17" i="2" s="1"/>
  <c r="CG17" i="2"/>
  <c r="CH17" i="2" s="1"/>
  <c r="CA17" i="2"/>
  <c r="CB17" i="2" s="1"/>
  <c r="BU17" i="2"/>
  <c r="BV17" i="2" s="1"/>
  <c r="BO17" i="2"/>
  <c r="BP17" i="2" s="1"/>
  <c r="BI17" i="2"/>
  <c r="BJ17" i="2" s="1"/>
  <c r="BC17" i="2"/>
  <c r="BD17" i="2" s="1"/>
  <c r="AW17" i="2"/>
  <c r="AX17" i="2" s="1"/>
  <c r="AQ17" i="2"/>
  <c r="AR17" i="2" s="1"/>
  <c r="AK17" i="2"/>
  <c r="AL17" i="2" s="1"/>
  <c r="AE17" i="2"/>
  <c r="AF17" i="2" s="1"/>
  <c r="Y17" i="2"/>
  <c r="Z17" i="2" s="1"/>
  <c r="S17" i="2"/>
  <c r="T17" i="2" s="1"/>
  <c r="N17" i="2"/>
  <c r="M17" i="2"/>
  <c r="DI16" i="2"/>
  <c r="DF16" i="2"/>
  <c r="DE16" i="2"/>
  <c r="CY16" i="2"/>
  <c r="CZ16" i="2" s="1"/>
  <c r="CS16" i="2"/>
  <c r="CT16" i="2" s="1"/>
  <c r="CN16" i="2"/>
  <c r="CM16" i="2"/>
  <c r="CG16" i="2"/>
  <c r="CH16" i="2" s="1"/>
  <c r="CA16" i="2"/>
  <c r="CB16" i="2" s="1"/>
  <c r="BU16" i="2"/>
  <c r="BV16" i="2" s="1"/>
  <c r="BP16" i="2"/>
  <c r="BO16" i="2"/>
  <c r="BJ16" i="2"/>
  <c r="BI16" i="2"/>
  <c r="BC16" i="2"/>
  <c r="BD16" i="2" s="1"/>
  <c r="AX16" i="2"/>
  <c r="AW16" i="2"/>
  <c r="AR16" i="2"/>
  <c r="AQ16" i="2"/>
  <c r="AL16" i="2"/>
  <c r="AK16" i="2"/>
  <c r="AE16" i="2"/>
  <c r="AF16" i="2" s="1"/>
  <c r="Z16" i="2"/>
  <c r="Y16" i="2"/>
  <c r="T16" i="2"/>
  <c r="S16" i="2"/>
  <c r="N16" i="2"/>
  <c r="M16" i="2"/>
  <c r="DI15" i="2"/>
  <c r="DF15" i="2"/>
  <c r="DE15" i="2"/>
  <c r="CY15" i="2"/>
  <c r="CZ15" i="2" s="1"/>
  <c r="CT15" i="2"/>
  <c r="CS15" i="2"/>
  <c r="CN15" i="2"/>
  <c r="CM15" i="2"/>
  <c r="CH15" i="2"/>
  <c r="CG15" i="2"/>
  <c r="CA15" i="2"/>
  <c r="CB15" i="2" s="1"/>
  <c r="BV15" i="2"/>
  <c r="BU15" i="2"/>
  <c r="BP15" i="2"/>
  <c r="BO15" i="2"/>
  <c r="BJ15" i="2"/>
  <c r="BI15" i="2"/>
  <c r="BC15" i="2"/>
  <c r="BD15" i="2" s="1"/>
  <c r="AX15" i="2"/>
  <c r="AW15" i="2"/>
  <c r="AR15" i="2"/>
  <c r="AQ15" i="2"/>
  <c r="AL15" i="2"/>
  <c r="AK15" i="2"/>
  <c r="AE15" i="2"/>
  <c r="AF15" i="2" s="1"/>
  <c r="Z15" i="2"/>
  <c r="Y15" i="2"/>
  <c r="T15" i="2"/>
  <c r="S15" i="2"/>
  <c r="N15" i="2"/>
  <c r="M15" i="2"/>
  <c r="DI14" i="2"/>
  <c r="DF14" i="2"/>
  <c r="DE14" i="2"/>
  <c r="CY14" i="2"/>
  <c r="CZ14" i="2" s="1"/>
  <c r="CT14" i="2"/>
  <c r="CS14" i="2"/>
  <c r="CN14" i="2"/>
  <c r="CM14" i="2"/>
  <c r="CH14" i="2"/>
  <c r="CG14" i="2"/>
  <c r="CA14" i="2"/>
  <c r="CB14" i="2" s="1"/>
  <c r="BV14" i="2"/>
  <c r="BU14" i="2"/>
  <c r="BP14" i="2"/>
  <c r="BO14" i="2"/>
  <c r="BJ14" i="2"/>
  <c r="BI14" i="2"/>
  <c r="BC14" i="2"/>
  <c r="BD14" i="2" s="1"/>
  <c r="AX14" i="2"/>
  <c r="AW14" i="2"/>
  <c r="AR14" i="2"/>
  <c r="AQ14" i="2"/>
  <c r="AL14" i="2"/>
  <c r="AK14" i="2"/>
  <c r="AE14" i="2"/>
  <c r="AF14" i="2" s="1"/>
  <c r="Z14" i="2"/>
  <c r="Y14" i="2"/>
  <c r="T14" i="2"/>
  <c r="S14" i="2"/>
  <c r="N14" i="2"/>
  <c r="M14" i="2"/>
  <c r="DI13" i="2"/>
  <c r="DF13" i="2"/>
  <c r="DE13" i="2"/>
  <c r="CY13" i="2"/>
  <c r="CZ13" i="2" s="1"/>
  <c r="CT13" i="2"/>
  <c r="CS13" i="2"/>
  <c r="CN13" i="2"/>
  <c r="CM13" i="2"/>
  <c r="CH13" i="2"/>
  <c r="CG13" i="2"/>
  <c r="CA13" i="2"/>
  <c r="CB13" i="2" s="1"/>
  <c r="BV13" i="2"/>
  <c r="BU13" i="2"/>
  <c r="BP13" i="2"/>
  <c r="BO13" i="2"/>
  <c r="BJ13" i="2"/>
  <c r="BI13" i="2"/>
  <c r="BC13" i="2"/>
  <c r="BD13" i="2" s="1"/>
  <c r="AX13" i="2"/>
  <c r="AW13" i="2"/>
  <c r="AR13" i="2"/>
  <c r="AQ13" i="2"/>
  <c r="AL13" i="2"/>
  <c r="AK13" i="2"/>
  <c r="AE13" i="2"/>
  <c r="AF13" i="2" s="1"/>
  <c r="Z13" i="2"/>
  <c r="Y13" i="2"/>
  <c r="DJ13" i="2" s="1"/>
  <c r="T13" i="2"/>
  <c r="S13" i="2"/>
  <c r="N13" i="2"/>
  <c r="M13" i="2"/>
  <c r="DI12" i="2"/>
  <c r="DF12" i="2"/>
  <c r="DE12" i="2"/>
  <c r="CY12" i="2"/>
  <c r="CZ12" i="2" s="1"/>
  <c r="CT12" i="2"/>
  <c r="CS12" i="2"/>
  <c r="CN12" i="2"/>
  <c r="CM12" i="2"/>
  <c r="CH12" i="2"/>
  <c r="CG12" i="2"/>
  <c r="CA12" i="2"/>
  <c r="CB12" i="2" s="1"/>
  <c r="BV12" i="2"/>
  <c r="BU12" i="2"/>
  <c r="BP12" i="2"/>
  <c r="BO12" i="2"/>
  <c r="BJ12" i="2"/>
  <c r="BI12" i="2"/>
  <c r="BC12" i="2"/>
  <c r="BD12" i="2" s="1"/>
  <c r="AX12" i="2"/>
  <c r="AW12" i="2"/>
  <c r="AR12" i="2"/>
  <c r="AQ12" i="2"/>
  <c r="AL12" i="2"/>
  <c r="AK12" i="2"/>
  <c r="AE12" i="2"/>
  <c r="AF12" i="2" s="1"/>
  <c r="Z12" i="2"/>
  <c r="Y12" i="2"/>
  <c r="T12" i="2"/>
  <c r="S12" i="2"/>
  <c r="N12" i="2"/>
  <c r="M12" i="2"/>
  <c r="DI11" i="2"/>
  <c r="DF11" i="2"/>
  <c r="DE11" i="2"/>
  <c r="CY11" i="2"/>
  <c r="CZ11" i="2" s="1"/>
  <c r="CT11" i="2"/>
  <c r="CS11" i="2"/>
  <c r="CN11" i="2"/>
  <c r="CM11" i="2"/>
  <c r="CH11" i="2"/>
  <c r="CG11" i="2"/>
  <c r="CA11" i="2"/>
  <c r="CB11" i="2" s="1"/>
  <c r="BV11" i="2"/>
  <c r="BU11" i="2"/>
  <c r="BP11" i="2"/>
  <c r="BO11" i="2"/>
  <c r="BJ11" i="2"/>
  <c r="BI11" i="2"/>
  <c r="BC11" i="2"/>
  <c r="BD11" i="2" s="1"/>
  <c r="AX11" i="2"/>
  <c r="AW11" i="2"/>
  <c r="AR11" i="2"/>
  <c r="AQ11" i="2"/>
  <c r="AL11" i="2"/>
  <c r="AK11" i="2"/>
  <c r="AE11" i="2"/>
  <c r="AF11" i="2" s="1"/>
  <c r="Z11" i="2"/>
  <c r="Y11" i="2"/>
  <c r="DJ11" i="2" s="1"/>
  <c r="T11" i="2"/>
  <c r="S11" i="2"/>
  <c r="N11" i="2"/>
  <c r="M11" i="2"/>
  <c r="DI10" i="2"/>
  <c r="DF10" i="2"/>
  <c r="DE10" i="2"/>
  <c r="CY10" i="2"/>
  <c r="CZ10" i="2" s="1"/>
  <c r="CT10" i="2"/>
  <c r="CS10" i="2"/>
  <c r="CN10" i="2"/>
  <c r="CM10" i="2"/>
  <c r="CH10" i="2"/>
  <c r="CG10" i="2"/>
  <c r="CA10" i="2"/>
  <c r="CB10" i="2" s="1"/>
  <c r="BV10" i="2"/>
  <c r="BU10" i="2"/>
  <c r="BP10" i="2"/>
  <c r="BO10" i="2"/>
  <c r="BJ10" i="2"/>
  <c r="BI10" i="2"/>
  <c r="BC10" i="2"/>
  <c r="BD10" i="2" s="1"/>
  <c r="AX10" i="2"/>
  <c r="AW10" i="2"/>
  <c r="AR10" i="2"/>
  <c r="AQ10" i="2"/>
  <c r="AL10" i="2"/>
  <c r="AK10" i="2"/>
  <c r="AE10" i="2"/>
  <c r="AF10" i="2" s="1"/>
  <c r="Z10" i="2"/>
  <c r="Y10" i="2"/>
  <c r="T10" i="2"/>
  <c r="S10" i="2"/>
  <c r="N10" i="2"/>
  <c r="M10" i="2"/>
  <c r="DI9" i="2"/>
  <c r="DF9" i="2"/>
  <c r="DE9" i="2"/>
  <c r="CY9" i="2"/>
  <c r="CZ9" i="2" s="1"/>
  <c r="CT9" i="2"/>
  <c r="CS9" i="2"/>
  <c r="CN9" i="2"/>
  <c r="CM9" i="2"/>
  <c r="CH9" i="2"/>
  <c r="CG9" i="2"/>
  <c r="CA9" i="2"/>
  <c r="CB9" i="2" s="1"/>
  <c r="BV9" i="2"/>
  <c r="BU9" i="2"/>
  <c r="BP9" i="2"/>
  <c r="BO9" i="2"/>
  <c r="BJ9" i="2"/>
  <c r="BI9" i="2"/>
  <c r="BC9" i="2"/>
  <c r="BD9" i="2" s="1"/>
  <c r="AX9" i="2"/>
  <c r="AW9" i="2"/>
  <c r="AR9" i="2"/>
  <c r="AQ9" i="2"/>
  <c r="AL9" i="2"/>
  <c r="AK9" i="2"/>
  <c r="AE9" i="2"/>
  <c r="Z9" i="2"/>
  <c r="Y9" i="2"/>
  <c r="T9" i="2"/>
  <c r="S9" i="2"/>
  <c r="N9" i="2"/>
  <c r="M9" i="2"/>
  <c r="DI8" i="2"/>
  <c r="DF8" i="2"/>
  <c r="DE8" i="2"/>
  <c r="CY8" i="2"/>
  <c r="CZ8" i="2" s="1"/>
  <c r="CS8" i="2"/>
  <c r="CT8" i="2" s="1"/>
  <c r="CN8" i="2"/>
  <c r="CM8" i="2"/>
  <c r="CH8" i="2"/>
  <c r="CG8" i="2"/>
  <c r="CA8" i="2"/>
  <c r="CB8" i="2" s="1"/>
  <c r="BV8" i="2"/>
  <c r="BU8" i="2"/>
  <c r="BP8" i="2"/>
  <c r="BO8" i="2"/>
  <c r="BJ8" i="2"/>
  <c r="BI8" i="2"/>
  <c r="BC8" i="2"/>
  <c r="BD8" i="2" s="1"/>
  <c r="AX8" i="2"/>
  <c r="AW8" i="2"/>
  <c r="AR8" i="2"/>
  <c r="AQ8" i="2"/>
  <c r="AL8" i="2"/>
  <c r="AK8" i="2"/>
  <c r="AE8" i="2"/>
  <c r="AF8" i="2" s="1"/>
  <c r="Y8" i="2"/>
  <c r="DJ8" i="2" s="1"/>
  <c r="T8" i="2"/>
  <c r="S8" i="2"/>
  <c r="N8" i="2"/>
  <c r="M8" i="2"/>
  <c r="DI7" i="2"/>
  <c r="DF7" i="2"/>
  <c r="DE7" i="2"/>
  <c r="CY7" i="2"/>
  <c r="CZ7" i="2" s="1"/>
  <c r="CT7" i="2"/>
  <c r="CS7" i="2"/>
  <c r="CM7" i="2"/>
  <c r="CN7" i="2" s="1"/>
  <c r="CH7" i="2"/>
  <c r="CG7" i="2"/>
  <c r="CA7" i="2"/>
  <c r="CB7" i="2" s="1"/>
  <c r="BV7" i="2"/>
  <c r="BU7" i="2"/>
  <c r="BO7" i="2"/>
  <c r="BP7" i="2" s="1"/>
  <c r="BJ7" i="2"/>
  <c r="BI7" i="2"/>
  <c r="BC7" i="2"/>
  <c r="BD7" i="2" s="1"/>
  <c r="AW7" i="2"/>
  <c r="AX7" i="2" s="1"/>
  <c r="AR7" i="2"/>
  <c r="AQ7" i="2"/>
  <c r="AL7" i="2"/>
  <c r="AK7" i="2"/>
  <c r="AE7" i="2"/>
  <c r="AF7" i="2" s="1"/>
  <c r="Z7" i="2"/>
  <c r="Y7" i="2"/>
  <c r="DJ7" i="2" s="1"/>
  <c r="T7" i="2"/>
  <c r="S7" i="2"/>
  <c r="N7" i="2"/>
  <c r="M7" i="2"/>
  <c r="DI6" i="2"/>
  <c r="DE6" i="2"/>
  <c r="DF6" i="2" s="1"/>
  <c r="CY6" i="2"/>
  <c r="CZ6" i="2" s="1"/>
  <c r="CT6" i="2"/>
  <c r="CS6" i="2"/>
  <c r="CN6" i="2"/>
  <c r="CM6" i="2"/>
  <c r="CG6" i="2"/>
  <c r="CH6" i="2" s="1"/>
  <c r="CA6" i="2"/>
  <c r="CB6" i="2" s="1"/>
  <c r="BU6" i="2"/>
  <c r="BV6" i="2" s="1"/>
  <c r="BO6" i="2"/>
  <c r="BP6" i="2" s="1"/>
  <c r="BJ6" i="2"/>
  <c r="BI6" i="2"/>
  <c r="BC6" i="2"/>
  <c r="BD6" i="2" s="1"/>
  <c r="AX6" i="2"/>
  <c r="AW6" i="2"/>
  <c r="AR6" i="2"/>
  <c r="AQ6" i="2"/>
  <c r="AL6" i="2"/>
  <c r="AK6" i="2"/>
  <c r="AE6" i="2"/>
  <c r="AF6" i="2" s="1"/>
  <c r="Y6" i="2"/>
  <c r="Z6" i="2" s="1"/>
  <c r="S6" i="2"/>
  <c r="T6" i="2" s="1"/>
  <c r="M6" i="2"/>
  <c r="N6" i="2" s="1"/>
  <c r="DI5" i="2"/>
  <c r="DF5" i="2"/>
  <c r="DE5" i="2"/>
  <c r="CY5" i="2"/>
  <c r="CZ5" i="2" s="1"/>
  <c r="CS5" i="2"/>
  <c r="CT5" i="2" s="1"/>
  <c r="CM5" i="2"/>
  <c r="CN5" i="2" s="1"/>
  <c r="CG5" i="2"/>
  <c r="CH5" i="2" s="1"/>
  <c r="CA5" i="2"/>
  <c r="CB5" i="2" s="1"/>
  <c r="BU5" i="2"/>
  <c r="BV5" i="2" s="1"/>
  <c r="BP5" i="2"/>
  <c r="BO5" i="2"/>
  <c r="BJ5" i="2"/>
  <c r="BI5" i="2"/>
  <c r="BC5" i="2"/>
  <c r="BD5" i="2" s="1"/>
  <c r="AX5" i="2"/>
  <c r="AW5" i="2"/>
  <c r="AQ5" i="2"/>
  <c r="AR5" i="2" s="1"/>
  <c r="AK5" i="2"/>
  <c r="AL5" i="2" s="1"/>
  <c r="AE5" i="2"/>
  <c r="AF5" i="2" s="1"/>
  <c r="Z5" i="2"/>
  <c r="Y5" i="2"/>
  <c r="DJ5" i="2" s="1"/>
  <c r="S5" i="2"/>
  <c r="T5" i="2" s="1"/>
  <c r="N5" i="2"/>
  <c r="M5" i="2"/>
  <c r="DI4" i="2"/>
  <c r="DE4" i="2"/>
  <c r="DF4" i="2" s="1"/>
  <c r="CY4" i="2"/>
  <c r="CZ4" i="2" s="1"/>
  <c r="CT4" i="2"/>
  <c r="CS4" i="2"/>
  <c r="CM4" i="2"/>
  <c r="CN4" i="2" s="1"/>
  <c r="CG4" i="2"/>
  <c r="CH4" i="2" s="1"/>
  <c r="CA4" i="2"/>
  <c r="CB4" i="2" s="1"/>
  <c r="BV4" i="2"/>
  <c r="BU4" i="2"/>
  <c r="BO4" i="2"/>
  <c r="BP4" i="2" s="1"/>
  <c r="BI4" i="2"/>
  <c r="BJ4" i="2" s="1"/>
  <c r="BC4" i="2"/>
  <c r="BD4" i="2" s="1"/>
  <c r="AX4" i="2"/>
  <c r="AW4" i="2"/>
  <c r="AQ4" i="2"/>
  <c r="AR4" i="2" s="1"/>
  <c r="AK4" i="2"/>
  <c r="AL4" i="2" s="1"/>
  <c r="AE4" i="2"/>
  <c r="AF4" i="2" s="1"/>
  <c r="Z4" i="2"/>
  <c r="Y4" i="2"/>
  <c r="S4" i="2"/>
  <c r="T4" i="2" s="1"/>
  <c r="M4" i="2"/>
  <c r="DJ4" i="2" s="1"/>
  <c r="DI3" i="2"/>
  <c r="DE3" i="2"/>
  <c r="DF3" i="2" s="1"/>
  <c r="CY3" i="2"/>
  <c r="CZ3" i="2" s="1"/>
  <c r="CT3" i="2"/>
  <c r="CS3" i="2"/>
  <c r="CM3" i="2"/>
  <c r="CN3" i="2" s="1"/>
  <c r="CG3" i="2"/>
  <c r="CH3" i="2" s="1"/>
  <c r="CA3" i="2"/>
  <c r="CB3" i="2" s="1"/>
  <c r="BV3" i="2"/>
  <c r="BU3" i="2"/>
  <c r="BO3" i="2"/>
  <c r="BP3" i="2" s="1"/>
  <c r="BI3" i="2"/>
  <c r="BJ3" i="2" s="1"/>
  <c r="BC3" i="2"/>
  <c r="BD3" i="2" s="1"/>
  <c r="AX3" i="2"/>
  <c r="AW3" i="2"/>
  <c r="AQ3" i="2"/>
  <c r="AR3" i="2" s="1"/>
  <c r="AK3" i="2"/>
  <c r="AL3" i="2" s="1"/>
  <c r="AE3" i="2"/>
  <c r="AF3" i="2" s="1"/>
  <c r="Z3" i="2"/>
  <c r="Y3" i="2"/>
  <c r="S3" i="2"/>
  <c r="T3" i="2" s="1"/>
  <c r="M3" i="2"/>
  <c r="DJ3" i="2" s="1"/>
  <c r="FJ2" i="2"/>
  <c r="FJ3" i="2" s="1"/>
  <c r="FJ4" i="2" s="1"/>
  <c r="FJ5" i="2" s="1"/>
  <c r="FJ6" i="2" s="1"/>
  <c r="FJ7" i="2" s="1"/>
  <c r="FJ8" i="2" s="1"/>
  <c r="FJ9" i="2" s="1"/>
  <c r="FJ10" i="2" s="1"/>
  <c r="FJ11" i="2" s="1"/>
  <c r="FJ12" i="2" s="1"/>
  <c r="FJ13" i="2" s="1"/>
  <c r="FJ14" i="2" s="1"/>
  <c r="FJ15" i="2" s="1"/>
  <c r="FI2" i="2"/>
  <c r="FI3" i="2" s="1"/>
  <c r="FI4" i="2" s="1"/>
  <c r="FI5" i="2" s="1"/>
  <c r="FI6" i="2" s="1"/>
  <c r="FI7" i="2" s="1"/>
  <c r="FI8" i="2" s="1"/>
  <c r="FI9" i="2" s="1"/>
  <c r="FI10" i="2" s="1"/>
  <c r="FI11" i="2" s="1"/>
  <c r="FI12" i="2" s="1"/>
  <c r="FI13" i="2" s="1"/>
  <c r="FI14" i="2" s="1"/>
  <c r="FI15" i="2" s="1"/>
  <c r="FH2" i="2"/>
  <c r="FH3" i="2" s="1"/>
  <c r="FH4" i="2" s="1"/>
  <c r="FH5" i="2" s="1"/>
  <c r="FH6" i="2" s="1"/>
  <c r="FH7" i="2" s="1"/>
  <c r="FH8" i="2" s="1"/>
  <c r="FH9" i="2" s="1"/>
  <c r="FH10" i="2" s="1"/>
  <c r="FH11" i="2" s="1"/>
  <c r="FH12" i="2" s="1"/>
  <c r="FH13" i="2" s="1"/>
  <c r="FH14" i="2" s="1"/>
  <c r="FH15" i="2" s="1"/>
  <c r="FG2" i="2"/>
  <c r="FG3" i="2" s="1"/>
  <c r="FG4" i="2" s="1"/>
  <c r="FG5" i="2" s="1"/>
  <c r="FG6" i="2" s="1"/>
  <c r="FG7" i="2" s="1"/>
  <c r="FG8" i="2" s="1"/>
  <c r="FG9" i="2" s="1"/>
  <c r="FG10" i="2" s="1"/>
  <c r="FG11" i="2" s="1"/>
  <c r="FG12" i="2" s="1"/>
  <c r="FG13" i="2" s="1"/>
  <c r="FG14" i="2" s="1"/>
  <c r="FG15" i="2" s="1"/>
  <c r="FF2" i="2"/>
  <c r="FF3" i="2" s="1"/>
  <c r="FF4" i="2" s="1"/>
  <c r="FF5" i="2" s="1"/>
  <c r="FF6" i="2" s="1"/>
  <c r="FF7" i="2" s="1"/>
  <c r="FF8" i="2" s="1"/>
  <c r="FF9" i="2" s="1"/>
  <c r="FF10" i="2" s="1"/>
  <c r="FF11" i="2" s="1"/>
  <c r="FF12" i="2" s="1"/>
  <c r="FF13" i="2" s="1"/>
  <c r="FF14" i="2" s="1"/>
  <c r="FF15" i="2" s="1"/>
  <c r="FE2" i="2"/>
  <c r="FE3" i="2" s="1"/>
  <c r="FE4" i="2" s="1"/>
  <c r="FE5" i="2" s="1"/>
  <c r="FE6" i="2" s="1"/>
  <c r="FE7" i="2" s="1"/>
  <c r="FE8" i="2" s="1"/>
  <c r="FE9" i="2" s="1"/>
  <c r="FE10" i="2" s="1"/>
  <c r="FE11" i="2" s="1"/>
  <c r="FE12" i="2" s="1"/>
  <c r="FE13" i="2" s="1"/>
  <c r="FE14" i="2" s="1"/>
  <c r="FE15" i="2" s="1"/>
  <c r="FD2" i="2"/>
  <c r="FD3" i="2" s="1"/>
  <c r="FD4" i="2" s="1"/>
  <c r="FD5" i="2" s="1"/>
  <c r="FD6" i="2" s="1"/>
  <c r="FD7" i="2" s="1"/>
  <c r="FD8" i="2" s="1"/>
  <c r="FD9" i="2" s="1"/>
  <c r="FD10" i="2" s="1"/>
  <c r="FD11" i="2" s="1"/>
  <c r="FD12" i="2" s="1"/>
  <c r="FD13" i="2" s="1"/>
  <c r="FD14" i="2" s="1"/>
  <c r="FD15" i="2" s="1"/>
  <c r="FC2" i="2"/>
  <c r="FC3" i="2" s="1"/>
  <c r="FC4" i="2" s="1"/>
  <c r="FC5" i="2" s="1"/>
  <c r="FC6" i="2" s="1"/>
  <c r="FC7" i="2" s="1"/>
  <c r="FC8" i="2" s="1"/>
  <c r="FC9" i="2" s="1"/>
  <c r="FC10" i="2" s="1"/>
  <c r="FC11" i="2" s="1"/>
  <c r="FC12" i="2" s="1"/>
  <c r="FC13" i="2" s="1"/>
  <c r="FC14" i="2" s="1"/>
  <c r="FC15" i="2" s="1"/>
  <c r="FB2" i="2"/>
  <c r="FB3" i="2" s="1"/>
  <c r="FB4" i="2" s="1"/>
  <c r="FB5" i="2" s="1"/>
  <c r="FB6" i="2" s="1"/>
  <c r="FB7" i="2" s="1"/>
  <c r="FB8" i="2" s="1"/>
  <c r="FB9" i="2" s="1"/>
  <c r="FB10" i="2" s="1"/>
  <c r="FB11" i="2" s="1"/>
  <c r="FB12" i="2" s="1"/>
  <c r="FB13" i="2" s="1"/>
  <c r="FB14" i="2" s="1"/>
  <c r="FB15" i="2" s="1"/>
  <c r="FA2" i="2"/>
  <c r="FA3" i="2" s="1"/>
  <c r="FA4" i="2" s="1"/>
  <c r="FA5" i="2" s="1"/>
  <c r="FA6" i="2" s="1"/>
  <c r="FA7" i="2" s="1"/>
  <c r="FA8" i="2" s="1"/>
  <c r="FA9" i="2" s="1"/>
  <c r="FA10" i="2" s="1"/>
  <c r="FA11" i="2" s="1"/>
  <c r="FA12" i="2" s="1"/>
  <c r="FA13" i="2" s="1"/>
  <c r="FA14" i="2" s="1"/>
  <c r="FA15" i="2" s="1"/>
  <c r="EZ2" i="2"/>
  <c r="EZ3" i="2" s="1"/>
  <c r="EZ4" i="2" s="1"/>
  <c r="EZ5" i="2" s="1"/>
  <c r="EZ6" i="2" s="1"/>
  <c r="EZ7" i="2" s="1"/>
  <c r="EZ8" i="2" s="1"/>
  <c r="EZ9" i="2" s="1"/>
  <c r="EZ10" i="2" s="1"/>
  <c r="EZ11" i="2" s="1"/>
  <c r="EZ12" i="2" s="1"/>
  <c r="EZ13" i="2" s="1"/>
  <c r="EZ14" i="2" s="1"/>
  <c r="EZ15" i="2" s="1"/>
  <c r="EY2" i="2"/>
  <c r="EY3" i="2" s="1"/>
  <c r="EY4" i="2" s="1"/>
  <c r="EY5" i="2" s="1"/>
  <c r="EY6" i="2" s="1"/>
  <c r="EY7" i="2" s="1"/>
  <c r="EY8" i="2" s="1"/>
  <c r="EY9" i="2" s="1"/>
  <c r="EY10" i="2" s="1"/>
  <c r="EY11" i="2" s="1"/>
  <c r="EY12" i="2" s="1"/>
  <c r="EY13" i="2" s="1"/>
  <c r="EY14" i="2" s="1"/>
  <c r="EY15" i="2" s="1"/>
  <c r="EX2" i="2"/>
  <c r="EX3" i="2" s="1"/>
  <c r="EX4" i="2" s="1"/>
  <c r="EX5" i="2" s="1"/>
  <c r="EX6" i="2" s="1"/>
  <c r="EX7" i="2" s="1"/>
  <c r="EX8" i="2" s="1"/>
  <c r="EX9" i="2" s="1"/>
  <c r="EX10" i="2" s="1"/>
  <c r="EX11" i="2" s="1"/>
  <c r="EX12" i="2" s="1"/>
  <c r="EX13" i="2" s="1"/>
  <c r="EX14" i="2" s="1"/>
  <c r="EX15" i="2" s="1"/>
  <c r="EW2" i="2"/>
  <c r="EW3" i="2" s="1"/>
  <c r="EW4" i="2" s="1"/>
  <c r="EW5" i="2" s="1"/>
  <c r="EW6" i="2" s="1"/>
  <c r="EW7" i="2" s="1"/>
  <c r="EW8" i="2" s="1"/>
  <c r="EW9" i="2" s="1"/>
  <c r="EW10" i="2" s="1"/>
  <c r="EW11" i="2" s="1"/>
  <c r="EW12" i="2" s="1"/>
  <c r="EW13" i="2" s="1"/>
  <c r="EW14" i="2" s="1"/>
  <c r="EW15" i="2" s="1"/>
  <c r="EV2" i="2"/>
  <c r="EV3" i="2" s="1"/>
  <c r="EV4" i="2" s="1"/>
  <c r="EV5" i="2" s="1"/>
  <c r="EV6" i="2" s="1"/>
  <c r="EV7" i="2" s="1"/>
  <c r="EV8" i="2" s="1"/>
  <c r="EV9" i="2" s="1"/>
  <c r="EV10" i="2" s="1"/>
  <c r="EV11" i="2" s="1"/>
  <c r="EV12" i="2" s="1"/>
  <c r="EV13" i="2" s="1"/>
  <c r="EV14" i="2" s="1"/>
  <c r="EV15" i="2" s="1"/>
  <c r="EU2" i="2"/>
  <c r="EU3" i="2" s="1"/>
  <c r="EU4" i="2" s="1"/>
  <c r="EU5" i="2" s="1"/>
  <c r="EU6" i="2" s="1"/>
  <c r="EU7" i="2" s="1"/>
  <c r="EU8" i="2" s="1"/>
  <c r="EU9" i="2" s="1"/>
  <c r="EU10" i="2" s="1"/>
  <c r="EU11" i="2" s="1"/>
  <c r="EU12" i="2" s="1"/>
  <c r="EU13" i="2" s="1"/>
  <c r="EU14" i="2" s="1"/>
  <c r="EU15" i="2" s="1"/>
  <c r="ET2" i="2"/>
  <c r="ET3" i="2" s="1"/>
  <c r="ET4" i="2" s="1"/>
  <c r="ET5" i="2" s="1"/>
  <c r="ET6" i="2" s="1"/>
  <c r="ET7" i="2" s="1"/>
  <c r="ET8" i="2" s="1"/>
  <c r="ET9" i="2" s="1"/>
  <c r="ET10" i="2" s="1"/>
  <c r="ET11" i="2" s="1"/>
  <c r="ET12" i="2" s="1"/>
  <c r="ET13" i="2" s="1"/>
  <c r="ET14" i="2" s="1"/>
  <c r="ET15" i="2" s="1"/>
  <c r="ES2" i="2"/>
  <c r="ES3" i="2" s="1"/>
  <c r="ES4" i="2" s="1"/>
  <c r="ES5" i="2" s="1"/>
  <c r="ES6" i="2" s="1"/>
  <c r="ES7" i="2" s="1"/>
  <c r="ES8" i="2" s="1"/>
  <c r="ES9" i="2" s="1"/>
  <c r="ES10" i="2" s="1"/>
  <c r="ES11" i="2" s="1"/>
  <c r="ES12" i="2" s="1"/>
  <c r="ES13" i="2" s="1"/>
  <c r="ES14" i="2" s="1"/>
  <c r="ES15" i="2" s="1"/>
  <c r="ER2" i="2"/>
  <c r="ER3" i="2" s="1"/>
  <c r="ER4" i="2" s="1"/>
  <c r="ER5" i="2" s="1"/>
  <c r="ER6" i="2" s="1"/>
  <c r="ER7" i="2" s="1"/>
  <c r="ER8" i="2" s="1"/>
  <c r="ER9" i="2" s="1"/>
  <c r="ER10" i="2" s="1"/>
  <c r="ER11" i="2" s="1"/>
  <c r="ER12" i="2" s="1"/>
  <c r="ER13" i="2" s="1"/>
  <c r="ER14" i="2" s="1"/>
  <c r="ER15" i="2" s="1"/>
  <c r="EQ2" i="2"/>
  <c r="EQ3" i="2" s="1"/>
  <c r="EQ4" i="2" s="1"/>
  <c r="EQ5" i="2" s="1"/>
  <c r="EQ6" i="2" s="1"/>
  <c r="EQ7" i="2" s="1"/>
  <c r="EQ8" i="2" s="1"/>
  <c r="EQ9" i="2" s="1"/>
  <c r="EQ10" i="2" s="1"/>
  <c r="EQ11" i="2" s="1"/>
  <c r="EQ12" i="2" s="1"/>
  <c r="EQ13" i="2" s="1"/>
  <c r="EQ14" i="2" s="1"/>
  <c r="EQ15" i="2" s="1"/>
  <c r="EP2" i="2"/>
  <c r="EP3" i="2" s="1"/>
  <c r="EP4" i="2" s="1"/>
  <c r="EP5" i="2" s="1"/>
  <c r="EP6" i="2" s="1"/>
  <c r="EP7" i="2" s="1"/>
  <c r="EP8" i="2" s="1"/>
  <c r="EP9" i="2" s="1"/>
  <c r="EP10" i="2" s="1"/>
  <c r="EP11" i="2" s="1"/>
  <c r="EP12" i="2" s="1"/>
  <c r="EP13" i="2" s="1"/>
  <c r="EP14" i="2" s="1"/>
  <c r="EP15" i="2" s="1"/>
  <c r="EO2" i="2"/>
  <c r="EO3" i="2" s="1"/>
  <c r="EO4" i="2" s="1"/>
  <c r="EO5" i="2" s="1"/>
  <c r="EO6" i="2" s="1"/>
  <c r="EO7" i="2" s="1"/>
  <c r="EO8" i="2" s="1"/>
  <c r="EO9" i="2" s="1"/>
  <c r="EO10" i="2" s="1"/>
  <c r="EO11" i="2" s="1"/>
  <c r="EO12" i="2" s="1"/>
  <c r="EO13" i="2" s="1"/>
  <c r="EO14" i="2" s="1"/>
  <c r="EO15" i="2" s="1"/>
  <c r="EN2" i="2"/>
  <c r="EN3" i="2" s="1"/>
  <c r="EN4" i="2" s="1"/>
  <c r="EN5" i="2" s="1"/>
  <c r="EN6" i="2" s="1"/>
  <c r="EN7" i="2" s="1"/>
  <c r="EN8" i="2" s="1"/>
  <c r="EN9" i="2" s="1"/>
  <c r="EN10" i="2" s="1"/>
  <c r="EN11" i="2" s="1"/>
  <c r="EN12" i="2" s="1"/>
  <c r="EN13" i="2" s="1"/>
  <c r="EN14" i="2" s="1"/>
  <c r="EN15" i="2" s="1"/>
  <c r="EM2" i="2"/>
  <c r="EM3" i="2" s="1"/>
  <c r="EM4" i="2" s="1"/>
  <c r="EM5" i="2" s="1"/>
  <c r="EM6" i="2" s="1"/>
  <c r="EM7" i="2" s="1"/>
  <c r="EM8" i="2" s="1"/>
  <c r="EM9" i="2" s="1"/>
  <c r="EM10" i="2" s="1"/>
  <c r="EM11" i="2" s="1"/>
  <c r="EM12" i="2" s="1"/>
  <c r="EM13" i="2" s="1"/>
  <c r="EM14" i="2" s="1"/>
  <c r="EM15" i="2" s="1"/>
  <c r="EL2" i="2"/>
  <c r="EL3" i="2" s="1"/>
  <c r="EL4" i="2" s="1"/>
  <c r="EL5" i="2" s="1"/>
  <c r="EL6" i="2" s="1"/>
  <c r="EL7" i="2" s="1"/>
  <c r="EL8" i="2" s="1"/>
  <c r="EL9" i="2" s="1"/>
  <c r="EL10" i="2" s="1"/>
  <c r="EL11" i="2" s="1"/>
  <c r="EL12" i="2" s="1"/>
  <c r="EL13" i="2" s="1"/>
  <c r="EL14" i="2" s="1"/>
  <c r="EL15" i="2" s="1"/>
  <c r="EK2" i="2"/>
  <c r="EK3" i="2" s="1"/>
  <c r="EK4" i="2" s="1"/>
  <c r="EK5" i="2" s="1"/>
  <c r="EK6" i="2" s="1"/>
  <c r="EK7" i="2" s="1"/>
  <c r="EK8" i="2" s="1"/>
  <c r="EK9" i="2" s="1"/>
  <c r="EK10" i="2" s="1"/>
  <c r="EK11" i="2" s="1"/>
  <c r="EK12" i="2" s="1"/>
  <c r="EK13" i="2" s="1"/>
  <c r="EK14" i="2" s="1"/>
  <c r="EK15" i="2" s="1"/>
  <c r="EJ2" i="2"/>
  <c r="EJ3" i="2" s="1"/>
  <c r="EJ4" i="2" s="1"/>
  <c r="EJ5" i="2" s="1"/>
  <c r="EJ6" i="2" s="1"/>
  <c r="EJ7" i="2" s="1"/>
  <c r="EJ8" i="2" s="1"/>
  <c r="EJ9" i="2" s="1"/>
  <c r="EJ10" i="2" s="1"/>
  <c r="EJ11" i="2" s="1"/>
  <c r="EJ12" i="2" s="1"/>
  <c r="EJ13" i="2" s="1"/>
  <c r="EJ14" i="2" s="1"/>
  <c r="EJ15" i="2" s="1"/>
  <c r="EI2" i="2"/>
  <c r="EI3" i="2" s="1"/>
  <c r="EI4" i="2" s="1"/>
  <c r="EI5" i="2" s="1"/>
  <c r="EI6" i="2" s="1"/>
  <c r="EI7" i="2" s="1"/>
  <c r="EI8" i="2" s="1"/>
  <c r="EI9" i="2" s="1"/>
  <c r="EI10" i="2" s="1"/>
  <c r="EI11" i="2" s="1"/>
  <c r="EI12" i="2" s="1"/>
  <c r="EI13" i="2" s="1"/>
  <c r="EI14" i="2" s="1"/>
  <c r="EI15" i="2" s="1"/>
  <c r="EH2" i="2"/>
  <c r="EH3" i="2" s="1"/>
  <c r="EH4" i="2" s="1"/>
  <c r="EH5" i="2" s="1"/>
  <c r="EH6" i="2" s="1"/>
  <c r="EH7" i="2" s="1"/>
  <c r="EH8" i="2" s="1"/>
  <c r="EH9" i="2" s="1"/>
  <c r="EH10" i="2" s="1"/>
  <c r="EH11" i="2" s="1"/>
  <c r="EH12" i="2" s="1"/>
  <c r="EH13" i="2" s="1"/>
  <c r="EH14" i="2" s="1"/>
  <c r="EH15" i="2" s="1"/>
  <c r="EG2" i="2"/>
  <c r="EG3" i="2" s="1"/>
  <c r="EG4" i="2" s="1"/>
  <c r="EG5" i="2" s="1"/>
  <c r="EG6" i="2" s="1"/>
  <c r="EG7" i="2" s="1"/>
  <c r="EG8" i="2" s="1"/>
  <c r="EG9" i="2" s="1"/>
  <c r="EG10" i="2" s="1"/>
  <c r="EG11" i="2" s="1"/>
  <c r="EG12" i="2" s="1"/>
  <c r="EG13" i="2" s="1"/>
  <c r="EG14" i="2" s="1"/>
  <c r="EG15" i="2" s="1"/>
  <c r="EF2" i="2"/>
  <c r="EF3" i="2" s="1"/>
  <c r="EF4" i="2" s="1"/>
  <c r="EF5" i="2" s="1"/>
  <c r="EF6" i="2" s="1"/>
  <c r="EF7" i="2" s="1"/>
  <c r="EF8" i="2" s="1"/>
  <c r="EF9" i="2" s="1"/>
  <c r="EF10" i="2" s="1"/>
  <c r="EF11" i="2" s="1"/>
  <c r="EF12" i="2" s="1"/>
  <c r="EF13" i="2" s="1"/>
  <c r="EF14" i="2" s="1"/>
  <c r="EF15" i="2" s="1"/>
  <c r="EE2" i="2"/>
  <c r="EE3" i="2" s="1"/>
  <c r="EE4" i="2" s="1"/>
  <c r="EE5" i="2" s="1"/>
  <c r="EE6" i="2" s="1"/>
  <c r="EE7" i="2" s="1"/>
  <c r="EE8" i="2" s="1"/>
  <c r="EE9" i="2" s="1"/>
  <c r="EE10" i="2" s="1"/>
  <c r="EE11" i="2" s="1"/>
  <c r="EE12" i="2" s="1"/>
  <c r="EE13" i="2" s="1"/>
  <c r="EE14" i="2" s="1"/>
  <c r="EE15" i="2" s="1"/>
  <c r="ED2" i="2"/>
  <c r="ED3" i="2" s="1"/>
  <c r="ED4" i="2" s="1"/>
  <c r="ED5" i="2" s="1"/>
  <c r="ED6" i="2" s="1"/>
  <c r="ED7" i="2" s="1"/>
  <c r="ED8" i="2" s="1"/>
  <c r="ED9" i="2" s="1"/>
  <c r="ED10" i="2" s="1"/>
  <c r="ED11" i="2" s="1"/>
  <c r="ED12" i="2" s="1"/>
  <c r="ED13" i="2" s="1"/>
  <c r="ED14" i="2" s="1"/>
  <c r="ED15" i="2" s="1"/>
  <c r="EC2" i="2"/>
  <c r="EC3" i="2" s="1"/>
  <c r="EC4" i="2" s="1"/>
  <c r="EC5" i="2" s="1"/>
  <c r="EC6" i="2" s="1"/>
  <c r="EC7" i="2" s="1"/>
  <c r="EC8" i="2" s="1"/>
  <c r="EC9" i="2" s="1"/>
  <c r="EC10" i="2" s="1"/>
  <c r="EC11" i="2" s="1"/>
  <c r="EC12" i="2" s="1"/>
  <c r="EC13" i="2" s="1"/>
  <c r="EC14" i="2" s="1"/>
  <c r="EC15" i="2" s="1"/>
  <c r="EB2" i="2"/>
  <c r="EB3" i="2" s="1"/>
  <c r="EB4" i="2" s="1"/>
  <c r="EB5" i="2" s="1"/>
  <c r="EB6" i="2" s="1"/>
  <c r="EB7" i="2" s="1"/>
  <c r="EB8" i="2" s="1"/>
  <c r="EB9" i="2" s="1"/>
  <c r="EB10" i="2" s="1"/>
  <c r="EB11" i="2" s="1"/>
  <c r="EB12" i="2" s="1"/>
  <c r="EB13" i="2" s="1"/>
  <c r="EB14" i="2" s="1"/>
  <c r="EB15" i="2" s="1"/>
  <c r="EA2" i="2"/>
  <c r="EA3" i="2" s="1"/>
  <c r="EA4" i="2" s="1"/>
  <c r="EA5" i="2" s="1"/>
  <c r="EA6" i="2" s="1"/>
  <c r="EA7" i="2" s="1"/>
  <c r="EA8" i="2" s="1"/>
  <c r="EA9" i="2" s="1"/>
  <c r="EA10" i="2" s="1"/>
  <c r="EA11" i="2" s="1"/>
  <c r="EA12" i="2" s="1"/>
  <c r="EA13" i="2" s="1"/>
  <c r="EA14" i="2" s="1"/>
  <c r="EA15" i="2" s="1"/>
  <c r="DZ2" i="2"/>
  <c r="DZ3" i="2" s="1"/>
  <c r="DZ4" i="2" s="1"/>
  <c r="DZ5" i="2" s="1"/>
  <c r="DZ6" i="2" s="1"/>
  <c r="DZ7" i="2" s="1"/>
  <c r="DZ8" i="2" s="1"/>
  <c r="DZ9" i="2" s="1"/>
  <c r="DZ10" i="2" s="1"/>
  <c r="DZ11" i="2" s="1"/>
  <c r="DZ12" i="2" s="1"/>
  <c r="DZ13" i="2" s="1"/>
  <c r="DZ14" i="2" s="1"/>
  <c r="DZ15" i="2" s="1"/>
  <c r="DY2" i="2"/>
  <c r="DY3" i="2" s="1"/>
  <c r="DY4" i="2" s="1"/>
  <c r="DY5" i="2" s="1"/>
  <c r="DY6" i="2" s="1"/>
  <c r="DY7" i="2" s="1"/>
  <c r="DY8" i="2" s="1"/>
  <c r="DY9" i="2" s="1"/>
  <c r="DY10" i="2" s="1"/>
  <c r="DY11" i="2" s="1"/>
  <c r="DY12" i="2" s="1"/>
  <c r="DY13" i="2" s="1"/>
  <c r="DY14" i="2" s="1"/>
  <c r="DY15" i="2" s="1"/>
  <c r="DX2" i="2"/>
  <c r="DX3" i="2" s="1"/>
  <c r="DX4" i="2" s="1"/>
  <c r="DX5" i="2" s="1"/>
  <c r="DX6" i="2" s="1"/>
  <c r="DX7" i="2" s="1"/>
  <c r="DX8" i="2" s="1"/>
  <c r="DX9" i="2" s="1"/>
  <c r="DX10" i="2" s="1"/>
  <c r="DX11" i="2" s="1"/>
  <c r="DX12" i="2" s="1"/>
  <c r="DX13" i="2" s="1"/>
  <c r="DX14" i="2" s="1"/>
  <c r="DX15" i="2" s="1"/>
  <c r="DW2" i="2"/>
  <c r="DW3" i="2" s="1"/>
  <c r="DW4" i="2" s="1"/>
  <c r="DW5" i="2" s="1"/>
  <c r="DW6" i="2" s="1"/>
  <c r="DW7" i="2" s="1"/>
  <c r="DW8" i="2" s="1"/>
  <c r="DW9" i="2" s="1"/>
  <c r="DW10" i="2" s="1"/>
  <c r="DW11" i="2" s="1"/>
  <c r="DW12" i="2" s="1"/>
  <c r="DW13" i="2" s="1"/>
  <c r="DW14" i="2" s="1"/>
  <c r="DW15" i="2" s="1"/>
  <c r="DV2" i="2"/>
  <c r="DV3" i="2" s="1"/>
  <c r="DV4" i="2" s="1"/>
  <c r="DV5" i="2" s="1"/>
  <c r="DV6" i="2" s="1"/>
  <c r="DV7" i="2" s="1"/>
  <c r="DV8" i="2" s="1"/>
  <c r="DV9" i="2" s="1"/>
  <c r="DV10" i="2" s="1"/>
  <c r="DV11" i="2" s="1"/>
  <c r="DV12" i="2" s="1"/>
  <c r="DV13" i="2" s="1"/>
  <c r="DV14" i="2" s="1"/>
  <c r="DV15" i="2" s="1"/>
  <c r="DU2" i="2"/>
  <c r="DU3" i="2" s="1"/>
  <c r="DU4" i="2" s="1"/>
  <c r="DU5" i="2" s="1"/>
  <c r="DU6" i="2" s="1"/>
  <c r="DU7" i="2" s="1"/>
  <c r="DU8" i="2" s="1"/>
  <c r="DU9" i="2" s="1"/>
  <c r="DU10" i="2" s="1"/>
  <c r="DU11" i="2" s="1"/>
  <c r="DU12" i="2" s="1"/>
  <c r="DU13" i="2" s="1"/>
  <c r="DU14" i="2" s="1"/>
  <c r="DU15" i="2" s="1"/>
  <c r="DT2" i="2"/>
  <c r="DT3" i="2" s="1"/>
  <c r="DT4" i="2" s="1"/>
  <c r="DT5" i="2" s="1"/>
  <c r="DT6" i="2" s="1"/>
  <c r="DT7" i="2" s="1"/>
  <c r="DT8" i="2" s="1"/>
  <c r="DT9" i="2" s="1"/>
  <c r="DT10" i="2" s="1"/>
  <c r="DT11" i="2" s="1"/>
  <c r="DT12" i="2" s="1"/>
  <c r="DT13" i="2" s="1"/>
  <c r="DT14" i="2" s="1"/>
  <c r="DT15" i="2" s="1"/>
  <c r="DS2" i="2"/>
  <c r="DS3" i="2" s="1"/>
  <c r="DS4" i="2" s="1"/>
  <c r="DS5" i="2" s="1"/>
  <c r="DS6" i="2" s="1"/>
  <c r="DS7" i="2" s="1"/>
  <c r="DS8" i="2" s="1"/>
  <c r="DS9" i="2" s="1"/>
  <c r="DS10" i="2" s="1"/>
  <c r="DS11" i="2" s="1"/>
  <c r="DS12" i="2" s="1"/>
  <c r="DS13" i="2" s="1"/>
  <c r="DS14" i="2" s="1"/>
  <c r="DS15" i="2" s="1"/>
  <c r="DR2" i="2"/>
  <c r="DR3" i="2" s="1"/>
  <c r="DR4" i="2" s="1"/>
  <c r="DR5" i="2" s="1"/>
  <c r="DR6" i="2" s="1"/>
  <c r="DR7" i="2" s="1"/>
  <c r="DR8" i="2" s="1"/>
  <c r="DR9" i="2" s="1"/>
  <c r="DR10" i="2" s="1"/>
  <c r="DR11" i="2" s="1"/>
  <c r="DR12" i="2" s="1"/>
  <c r="DR13" i="2" s="1"/>
  <c r="DR14" i="2" s="1"/>
  <c r="DR15" i="2" s="1"/>
  <c r="DQ2" i="2"/>
  <c r="DQ3" i="2" s="1"/>
  <c r="DQ4" i="2" s="1"/>
  <c r="DQ5" i="2" s="1"/>
  <c r="DQ6" i="2" s="1"/>
  <c r="DQ7" i="2" s="1"/>
  <c r="DQ8" i="2" s="1"/>
  <c r="DQ9" i="2" s="1"/>
  <c r="DQ10" i="2" s="1"/>
  <c r="DQ11" i="2" s="1"/>
  <c r="DQ12" i="2" s="1"/>
  <c r="DQ13" i="2" s="1"/>
  <c r="DQ14" i="2" s="1"/>
  <c r="DQ15" i="2" s="1"/>
  <c r="DP2" i="2"/>
  <c r="DP3" i="2" s="1"/>
  <c r="DP4" i="2" s="1"/>
  <c r="DP5" i="2" s="1"/>
  <c r="DP6" i="2" s="1"/>
  <c r="DP7" i="2" s="1"/>
  <c r="DP8" i="2" s="1"/>
  <c r="DP9" i="2" s="1"/>
  <c r="DP10" i="2" s="1"/>
  <c r="DP11" i="2" s="1"/>
  <c r="DP12" i="2" s="1"/>
  <c r="DP13" i="2" s="1"/>
  <c r="DP14" i="2" s="1"/>
  <c r="DP15" i="2" s="1"/>
  <c r="DO2" i="2"/>
  <c r="DO3" i="2" s="1"/>
  <c r="DO4" i="2" s="1"/>
  <c r="DO5" i="2" s="1"/>
  <c r="DO6" i="2" s="1"/>
  <c r="DO7" i="2" s="1"/>
  <c r="DO8" i="2" s="1"/>
  <c r="DO9" i="2" s="1"/>
  <c r="DO10" i="2" s="1"/>
  <c r="DO11" i="2" s="1"/>
  <c r="DO12" i="2" s="1"/>
  <c r="DO13" i="2" s="1"/>
  <c r="DO14" i="2" s="1"/>
  <c r="DO15" i="2" s="1"/>
  <c r="DN2" i="2"/>
  <c r="DN3" i="2" s="1"/>
  <c r="DN4" i="2" s="1"/>
  <c r="DN5" i="2" s="1"/>
  <c r="DN6" i="2" s="1"/>
  <c r="DN7" i="2" s="1"/>
  <c r="DN8" i="2" s="1"/>
  <c r="DN9" i="2" s="1"/>
  <c r="DN10" i="2" s="1"/>
  <c r="DN11" i="2" s="1"/>
  <c r="DN12" i="2" s="1"/>
  <c r="DN13" i="2" s="1"/>
  <c r="DN14" i="2" s="1"/>
  <c r="DN15" i="2" s="1"/>
  <c r="DM2" i="2"/>
  <c r="DM3" i="2" s="1"/>
  <c r="DM4" i="2" s="1"/>
  <c r="DM5" i="2" s="1"/>
  <c r="DM6" i="2" s="1"/>
  <c r="DM7" i="2" s="1"/>
  <c r="DM8" i="2" s="1"/>
  <c r="DM9" i="2" s="1"/>
  <c r="DM10" i="2" s="1"/>
  <c r="DM11" i="2" s="1"/>
  <c r="DM12" i="2" s="1"/>
  <c r="DM13" i="2" s="1"/>
  <c r="DM14" i="2" s="1"/>
  <c r="DM15" i="2" s="1"/>
  <c r="DL2" i="2"/>
  <c r="DL3" i="2" s="1"/>
  <c r="DL4" i="2" s="1"/>
  <c r="DL5" i="2" s="1"/>
  <c r="DL6" i="2" s="1"/>
  <c r="DL7" i="2" s="1"/>
  <c r="DL8" i="2" s="1"/>
  <c r="DL9" i="2" s="1"/>
  <c r="DL10" i="2" s="1"/>
  <c r="DL11" i="2" s="1"/>
  <c r="DL12" i="2" s="1"/>
  <c r="DL13" i="2" s="1"/>
  <c r="DL14" i="2" s="1"/>
  <c r="DL15" i="2" s="1"/>
  <c r="DK2" i="2"/>
  <c r="DK22" i="2" s="1"/>
  <c r="DI2" i="2"/>
  <c r="DE2" i="2"/>
  <c r="DF2" i="2" s="1"/>
  <c r="CY2" i="2"/>
  <c r="CZ2" i="2" s="1"/>
  <c r="CT2" i="2"/>
  <c r="CS2" i="2"/>
  <c r="CM2" i="2"/>
  <c r="CN2" i="2" s="1"/>
  <c r="CG2" i="2"/>
  <c r="CH2" i="2" s="1"/>
  <c r="CA2" i="2"/>
  <c r="CB2" i="2" s="1"/>
  <c r="BV2" i="2"/>
  <c r="BU2" i="2"/>
  <c r="BO2" i="2"/>
  <c r="BP2" i="2" s="1"/>
  <c r="BJ2" i="2"/>
  <c r="BD2" i="2"/>
  <c r="BC2" i="2"/>
  <c r="AX2" i="2"/>
  <c r="AR2" i="2"/>
  <c r="AQ2" i="2"/>
  <c r="AK2" i="2"/>
  <c r="AL2" i="2" s="1"/>
  <c r="AE2" i="2"/>
  <c r="AF2" i="2" s="1"/>
  <c r="Y2" i="2"/>
  <c r="Z2" i="2" s="1"/>
  <c r="T2" i="2"/>
  <c r="S2" i="2"/>
  <c r="M2" i="2"/>
  <c r="DI42" i="1"/>
  <c r="DE42" i="1"/>
  <c r="DF42" i="1" s="1"/>
  <c r="CY42" i="1"/>
  <c r="CZ42" i="1" s="1"/>
  <c r="CS42" i="1"/>
  <c r="CT42" i="1" s="1"/>
  <c r="CN42" i="1"/>
  <c r="CM42" i="1"/>
  <c r="CG42" i="1"/>
  <c r="CH42" i="1" s="1"/>
  <c r="CA42" i="1"/>
  <c r="CB42" i="1" s="1"/>
  <c r="BU42" i="1"/>
  <c r="BV42" i="1" s="1"/>
  <c r="BP42" i="1"/>
  <c r="BO42" i="1"/>
  <c r="BI42" i="1"/>
  <c r="BJ42" i="1" s="1"/>
  <c r="BC42" i="1"/>
  <c r="BD42" i="1" s="1"/>
  <c r="AW42" i="1"/>
  <c r="AX42" i="1" s="1"/>
  <c r="AR42" i="1"/>
  <c r="AQ42" i="1"/>
  <c r="AK42" i="1"/>
  <c r="AL42" i="1" s="1"/>
  <c r="AE42" i="1"/>
  <c r="AF42" i="1" s="1"/>
  <c r="Y42" i="1"/>
  <c r="Z42" i="1" s="1"/>
  <c r="T42" i="1"/>
  <c r="S42" i="1"/>
  <c r="M42" i="1"/>
  <c r="DI41" i="1"/>
  <c r="DE41" i="1"/>
  <c r="DF41" i="1" s="1"/>
  <c r="CY41" i="1"/>
  <c r="CZ41" i="1" s="1"/>
  <c r="CS41" i="1"/>
  <c r="CT41" i="1" s="1"/>
  <c r="CN41" i="1"/>
  <c r="CM41" i="1"/>
  <c r="CG41" i="1"/>
  <c r="CH41" i="1" s="1"/>
  <c r="CA41" i="1"/>
  <c r="CB41" i="1" s="1"/>
  <c r="BV41" i="1"/>
  <c r="BU41" i="1"/>
  <c r="BP41" i="1"/>
  <c r="BO41" i="1"/>
  <c r="BI41" i="1"/>
  <c r="BC41" i="1"/>
  <c r="BD41" i="1" s="1"/>
  <c r="AX41" i="1"/>
  <c r="AW41" i="1"/>
  <c r="AR41" i="1"/>
  <c r="AQ41" i="1"/>
  <c r="AK41" i="1"/>
  <c r="AL41" i="1" s="1"/>
  <c r="AE41" i="1"/>
  <c r="AF41" i="1" s="1"/>
  <c r="Z41" i="1"/>
  <c r="Y41" i="1"/>
  <c r="T41" i="1"/>
  <c r="S41" i="1"/>
  <c r="M41" i="1"/>
  <c r="N41" i="1" s="1"/>
  <c r="DI40" i="1"/>
  <c r="DE40" i="1"/>
  <c r="DF40" i="1" s="1"/>
  <c r="CY40" i="1"/>
  <c r="CZ40" i="1" s="1"/>
  <c r="CT40" i="1"/>
  <c r="CS40" i="1"/>
  <c r="CN40" i="1"/>
  <c r="CM40" i="1"/>
  <c r="CG40" i="1"/>
  <c r="CH40" i="1" s="1"/>
  <c r="CA40" i="1"/>
  <c r="CB40" i="1" s="1"/>
  <c r="BV40" i="1"/>
  <c r="BU40" i="1"/>
  <c r="BP40" i="1"/>
  <c r="BO40" i="1"/>
  <c r="BI40" i="1"/>
  <c r="BJ40" i="1" s="1"/>
  <c r="BC40" i="1"/>
  <c r="BD40" i="1" s="1"/>
  <c r="AW40" i="1"/>
  <c r="AX40" i="1" s="1"/>
  <c r="AR40" i="1"/>
  <c r="AQ40" i="1"/>
  <c r="AK40" i="1"/>
  <c r="AL40" i="1" s="1"/>
  <c r="AE40" i="1"/>
  <c r="AF40" i="1" s="1"/>
  <c r="Z40" i="1"/>
  <c r="Y40" i="1"/>
  <c r="S40" i="1"/>
  <c r="T40" i="1" s="1"/>
  <c r="M40" i="1"/>
  <c r="DJ39" i="1"/>
  <c r="DI39" i="1"/>
  <c r="DE39" i="1"/>
  <c r="DF39" i="1" s="1"/>
  <c r="CY39" i="1"/>
  <c r="CZ39" i="1" s="1"/>
  <c r="CT39" i="1"/>
  <c r="CS39" i="1"/>
  <c r="CM39" i="1"/>
  <c r="CN39" i="1" s="1"/>
  <c r="CG39" i="1"/>
  <c r="CH39" i="1" s="1"/>
  <c r="CA39" i="1"/>
  <c r="CB39" i="1" s="1"/>
  <c r="BV39" i="1"/>
  <c r="BU39" i="1"/>
  <c r="BP39" i="1"/>
  <c r="BO39" i="1"/>
  <c r="BI39" i="1"/>
  <c r="BJ39" i="1" s="1"/>
  <c r="BC39" i="1"/>
  <c r="BD39" i="1" s="1"/>
  <c r="AX39" i="1"/>
  <c r="AW39" i="1"/>
  <c r="AR39" i="1"/>
  <c r="AQ39" i="1"/>
  <c r="AK39" i="1"/>
  <c r="AL39" i="1" s="1"/>
  <c r="AE39" i="1"/>
  <c r="AF39" i="1" s="1"/>
  <c r="Y39" i="1"/>
  <c r="Z39" i="1" s="1"/>
  <c r="T39" i="1"/>
  <c r="S39" i="1"/>
  <c r="M39" i="1"/>
  <c r="N39" i="1" s="1"/>
  <c r="DI38" i="1"/>
  <c r="DE38" i="1"/>
  <c r="DF38" i="1" s="1"/>
  <c r="CY38" i="1"/>
  <c r="CZ38" i="1" s="1"/>
  <c r="CS38" i="1"/>
  <c r="CT38" i="1" s="1"/>
  <c r="CN38" i="1"/>
  <c r="CM38" i="1"/>
  <c r="CG38" i="1"/>
  <c r="CH38" i="1" s="1"/>
  <c r="CA38" i="1"/>
  <c r="CB38" i="1" s="1"/>
  <c r="BV38" i="1"/>
  <c r="BU38" i="1"/>
  <c r="BO38" i="1"/>
  <c r="BP38" i="1" s="1"/>
  <c r="BI38" i="1"/>
  <c r="BC38" i="1"/>
  <c r="BD38" i="1" s="1"/>
  <c r="AX38" i="1"/>
  <c r="AW38" i="1"/>
  <c r="AR38" i="1"/>
  <c r="AQ38" i="1"/>
  <c r="AK38" i="1"/>
  <c r="AL38" i="1" s="1"/>
  <c r="AE38" i="1"/>
  <c r="AF38" i="1" s="1"/>
  <c r="Z38" i="1"/>
  <c r="Y38" i="1"/>
  <c r="T38" i="1"/>
  <c r="S38" i="1"/>
  <c r="M38" i="1"/>
  <c r="N38" i="1" s="1"/>
  <c r="DI37" i="1"/>
  <c r="DE37" i="1"/>
  <c r="DF37" i="1" s="1"/>
  <c r="CY37" i="1"/>
  <c r="CZ37" i="1" s="1"/>
  <c r="CT37" i="1"/>
  <c r="CS37" i="1"/>
  <c r="CN37" i="1"/>
  <c r="CM37" i="1"/>
  <c r="CG37" i="1"/>
  <c r="CH37" i="1" s="1"/>
  <c r="CA37" i="1"/>
  <c r="CB37" i="1" s="1"/>
  <c r="BU37" i="1"/>
  <c r="BV37" i="1" s="1"/>
  <c r="BP37" i="1"/>
  <c r="BO37" i="1"/>
  <c r="BI37" i="1"/>
  <c r="BJ37" i="1" s="1"/>
  <c r="BC37" i="1"/>
  <c r="BD37" i="1" s="1"/>
  <c r="AX37" i="1"/>
  <c r="AW37" i="1"/>
  <c r="AQ37" i="1"/>
  <c r="AR37" i="1" s="1"/>
  <c r="AK37" i="1"/>
  <c r="AL37" i="1" s="1"/>
  <c r="AE37" i="1"/>
  <c r="AF37" i="1" s="1"/>
  <c r="Z37" i="1"/>
  <c r="Y37" i="1"/>
  <c r="T37" i="1"/>
  <c r="S37" i="1"/>
  <c r="M37" i="1"/>
  <c r="N37" i="1" s="1"/>
  <c r="DI36" i="1"/>
  <c r="DE36" i="1"/>
  <c r="DF36" i="1" s="1"/>
  <c r="CY36" i="1"/>
  <c r="CZ36" i="1" s="1"/>
  <c r="CT36" i="1"/>
  <c r="CS36" i="1"/>
  <c r="CN36" i="1"/>
  <c r="CM36" i="1"/>
  <c r="CG36" i="1"/>
  <c r="CH36" i="1" s="1"/>
  <c r="CA36" i="1"/>
  <c r="CB36" i="1" s="1"/>
  <c r="BV36" i="1"/>
  <c r="BU36" i="1"/>
  <c r="BP36" i="1"/>
  <c r="BO36" i="1"/>
  <c r="BI36" i="1"/>
  <c r="BJ36" i="1" s="1"/>
  <c r="BC36" i="1"/>
  <c r="BD36" i="1" s="1"/>
  <c r="AW36" i="1"/>
  <c r="AX36" i="1" s="1"/>
  <c r="AQ36" i="1"/>
  <c r="AR36" i="1" s="1"/>
  <c r="AK36" i="1"/>
  <c r="AL36" i="1" s="1"/>
  <c r="AF36" i="1"/>
  <c r="AE36" i="1"/>
  <c r="Y36" i="1"/>
  <c r="Z36" i="1" s="1"/>
  <c r="T36" i="1"/>
  <c r="S36" i="1"/>
  <c r="M36" i="1"/>
  <c r="N36" i="1" s="1"/>
  <c r="DI35" i="1"/>
  <c r="DE35" i="1"/>
  <c r="DF35" i="1" s="1"/>
  <c r="CZ35" i="1"/>
  <c r="CY35" i="1"/>
  <c r="CS35" i="1"/>
  <c r="CT35" i="1" s="1"/>
  <c r="CN35" i="1"/>
  <c r="CM35" i="1"/>
  <c r="CH35" i="1"/>
  <c r="CG35" i="1"/>
  <c r="BV35" i="1"/>
  <c r="BP35" i="1"/>
  <c r="BJ35" i="1"/>
  <c r="BC35" i="1"/>
  <c r="BD35" i="1" s="1"/>
  <c r="AW35" i="1"/>
  <c r="AX35" i="1" s="1"/>
  <c r="AQ35" i="1"/>
  <c r="AR35" i="1" s="1"/>
  <c r="AK35" i="1"/>
  <c r="AL35" i="1" s="1"/>
  <c r="AE35" i="1"/>
  <c r="AF35" i="1" s="1"/>
  <c r="Y35" i="1"/>
  <c r="S35" i="1"/>
  <c r="T35" i="1" s="1"/>
  <c r="M35" i="1"/>
  <c r="N35" i="1" s="1"/>
  <c r="DI34" i="1"/>
  <c r="DE34" i="1"/>
  <c r="DF34" i="1" s="1"/>
  <c r="CY34" i="1"/>
  <c r="CZ34" i="1" s="1"/>
  <c r="CS34" i="1"/>
  <c r="CT34" i="1" s="1"/>
  <c r="CM34" i="1"/>
  <c r="CN34" i="1" s="1"/>
  <c r="CG34" i="1"/>
  <c r="CH34" i="1" s="1"/>
  <c r="CA34" i="1"/>
  <c r="CB34" i="1" s="1"/>
  <c r="BU34" i="1"/>
  <c r="BV34" i="1" s="1"/>
  <c r="BO34" i="1"/>
  <c r="BP34" i="1" s="1"/>
  <c r="BI34" i="1"/>
  <c r="BJ34" i="1" s="1"/>
  <c r="BC34" i="1"/>
  <c r="BD34" i="1" s="1"/>
  <c r="AW34" i="1"/>
  <c r="AX34" i="1" s="1"/>
  <c r="AQ34" i="1"/>
  <c r="AR34" i="1" s="1"/>
  <c r="AK34" i="1"/>
  <c r="AL34" i="1" s="1"/>
  <c r="AE34" i="1"/>
  <c r="AF34" i="1" s="1"/>
  <c r="Y34" i="1"/>
  <c r="S34" i="1"/>
  <c r="T34" i="1" s="1"/>
  <c r="M34" i="1"/>
  <c r="N34" i="1" s="1"/>
  <c r="DI33" i="1"/>
  <c r="DE33" i="1"/>
  <c r="DF33" i="1" s="1"/>
  <c r="CY33" i="1"/>
  <c r="CZ33" i="1" s="1"/>
  <c r="CS33" i="1"/>
  <c r="CT33" i="1" s="1"/>
  <c r="CM33" i="1"/>
  <c r="CN33" i="1" s="1"/>
  <c r="CG33" i="1"/>
  <c r="CH33" i="1" s="1"/>
  <c r="CA33" i="1"/>
  <c r="CB33" i="1" s="1"/>
  <c r="BU33" i="1"/>
  <c r="BV33" i="1" s="1"/>
  <c r="BO33" i="1"/>
  <c r="BP33" i="1" s="1"/>
  <c r="BJ33" i="1"/>
  <c r="BC33" i="1"/>
  <c r="BD33" i="1" s="1"/>
  <c r="AX33" i="1"/>
  <c r="AW33" i="1"/>
  <c r="AR33" i="1"/>
  <c r="AQ33" i="1"/>
  <c r="AL33" i="1"/>
  <c r="AK33" i="1"/>
  <c r="AE33" i="1"/>
  <c r="AF33" i="1" s="1"/>
  <c r="Z33" i="1"/>
  <c r="Y33" i="1"/>
  <c r="DJ33" i="1" s="1"/>
  <c r="T33" i="1"/>
  <c r="S33" i="1"/>
  <c r="N33" i="1"/>
  <c r="M33" i="1"/>
  <c r="DJ32" i="1"/>
  <c r="DI32" i="1"/>
  <c r="DF32" i="1"/>
  <c r="DE32" i="1"/>
  <c r="CY32" i="1"/>
  <c r="CZ32" i="1" s="1"/>
  <c r="CT32" i="1"/>
  <c r="CS32" i="1"/>
  <c r="CN32" i="1"/>
  <c r="CM32" i="1"/>
  <c r="CH32" i="1"/>
  <c r="CG32" i="1"/>
  <c r="CA32" i="1"/>
  <c r="CB32" i="1" s="1"/>
  <c r="BV32" i="1"/>
  <c r="BU32" i="1"/>
  <c r="BP32" i="1"/>
  <c r="BO32" i="1"/>
  <c r="BJ32" i="1"/>
  <c r="BI32" i="1"/>
  <c r="BC32" i="1"/>
  <c r="BD32" i="1" s="1"/>
  <c r="AX32" i="1"/>
  <c r="AW32" i="1"/>
  <c r="AR32" i="1"/>
  <c r="AQ32" i="1"/>
  <c r="AL32" i="1"/>
  <c r="AK32" i="1"/>
  <c r="AE32" i="1"/>
  <c r="AF32" i="1" s="1"/>
  <c r="Z32" i="1"/>
  <c r="Y32" i="1"/>
  <c r="T32" i="1"/>
  <c r="S32" i="1"/>
  <c r="N32" i="1"/>
  <c r="M32" i="1"/>
  <c r="DJ31" i="1"/>
  <c r="DI31" i="1"/>
  <c r="DF31" i="1"/>
  <c r="DE31" i="1"/>
  <c r="CY31" i="1"/>
  <c r="CZ31" i="1" s="1"/>
  <c r="CT31" i="1"/>
  <c r="CS31" i="1"/>
  <c r="CN31" i="1"/>
  <c r="CM31" i="1"/>
  <c r="CH31" i="1"/>
  <c r="CG31" i="1"/>
  <c r="CA31" i="1"/>
  <c r="CB31" i="1" s="1"/>
  <c r="BV31" i="1"/>
  <c r="BU31" i="1"/>
  <c r="BP31" i="1"/>
  <c r="BO31" i="1"/>
  <c r="BJ31" i="1"/>
  <c r="BI31" i="1"/>
  <c r="BC31" i="1"/>
  <c r="BD31" i="1" s="1"/>
  <c r="AX31" i="1"/>
  <c r="AW31" i="1"/>
  <c r="AR31" i="1"/>
  <c r="AQ31" i="1"/>
  <c r="AL31" i="1"/>
  <c r="AK31" i="1"/>
  <c r="AE31" i="1"/>
  <c r="AF31" i="1" s="1"/>
  <c r="Z31" i="1"/>
  <c r="Y31" i="1"/>
  <c r="T31" i="1"/>
  <c r="S31" i="1"/>
  <c r="N31" i="1"/>
  <c r="M31" i="1"/>
  <c r="DJ30" i="1"/>
  <c r="DI30" i="1"/>
  <c r="DF30" i="1"/>
  <c r="DE30" i="1"/>
  <c r="CY30" i="1"/>
  <c r="CZ30" i="1" s="1"/>
  <c r="CT30" i="1"/>
  <c r="CS30" i="1"/>
  <c r="CN30" i="1"/>
  <c r="CM30" i="1"/>
  <c r="CH30" i="1"/>
  <c r="CG30" i="1"/>
  <c r="CA30" i="1"/>
  <c r="CB30" i="1" s="1"/>
  <c r="BV30" i="1"/>
  <c r="BU30" i="1"/>
  <c r="BP30" i="1"/>
  <c r="BO30" i="1"/>
  <c r="BJ30" i="1"/>
  <c r="BI30" i="1"/>
  <c r="BC30" i="1"/>
  <c r="BD30" i="1" s="1"/>
  <c r="AX30" i="1"/>
  <c r="AW30" i="1"/>
  <c r="AR30" i="1"/>
  <c r="AQ30" i="1"/>
  <c r="AL30" i="1"/>
  <c r="AK30" i="1"/>
  <c r="AE30" i="1"/>
  <c r="AF30" i="1" s="1"/>
  <c r="Z30" i="1"/>
  <c r="Y30" i="1"/>
  <c r="T30" i="1"/>
  <c r="S30" i="1"/>
  <c r="N30" i="1"/>
  <c r="M30" i="1"/>
  <c r="DJ29" i="1"/>
  <c r="DI29" i="1"/>
  <c r="DF29" i="1"/>
  <c r="DE29" i="1"/>
  <c r="CY29" i="1"/>
  <c r="CZ29" i="1" s="1"/>
  <c r="CT29" i="1"/>
  <c r="CS29" i="1"/>
  <c r="CN29" i="1"/>
  <c r="CM29" i="1"/>
  <c r="CH29" i="1"/>
  <c r="CG29" i="1"/>
  <c r="CA29" i="1"/>
  <c r="CB29" i="1" s="1"/>
  <c r="BV29" i="1"/>
  <c r="BU29" i="1"/>
  <c r="BP29" i="1"/>
  <c r="BO29" i="1"/>
  <c r="BJ29" i="1"/>
  <c r="BI29" i="1"/>
  <c r="BC29" i="1"/>
  <c r="BD29" i="1" s="1"/>
  <c r="AX29" i="1"/>
  <c r="AW29" i="1"/>
  <c r="AR29" i="1"/>
  <c r="AQ29" i="1"/>
  <c r="AL29" i="1"/>
  <c r="AK29" i="1"/>
  <c r="AE29" i="1"/>
  <c r="AF29" i="1" s="1"/>
  <c r="Z29" i="1"/>
  <c r="Y29" i="1"/>
  <c r="T29" i="1"/>
  <c r="S29" i="1"/>
  <c r="N29" i="1"/>
  <c r="M29" i="1"/>
  <c r="DJ28" i="1"/>
  <c r="DI28" i="1"/>
  <c r="DF28" i="1"/>
  <c r="DE28" i="1"/>
  <c r="CY28" i="1"/>
  <c r="CZ28" i="1" s="1"/>
  <c r="CT28" i="1"/>
  <c r="CS28" i="1"/>
  <c r="CN28" i="1"/>
  <c r="CM28" i="1"/>
  <c r="CH28" i="1"/>
  <c r="CG28" i="1"/>
  <c r="CA28" i="1"/>
  <c r="CB28" i="1" s="1"/>
  <c r="BV28" i="1"/>
  <c r="BU28" i="1"/>
  <c r="BP28" i="1"/>
  <c r="BO28" i="1"/>
  <c r="BJ28" i="1"/>
  <c r="BI28" i="1"/>
  <c r="BC28" i="1"/>
  <c r="BD28" i="1" s="1"/>
  <c r="AX28" i="1"/>
  <c r="AW28" i="1"/>
  <c r="AR28" i="1"/>
  <c r="AQ28" i="1"/>
  <c r="AL28" i="1"/>
  <c r="AK28" i="1"/>
  <c r="AE28" i="1"/>
  <c r="AF28" i="1" s="1"/>
  <c r="Z28" i="1"/>
  <c r="Y28" i="1"/>
  <c r="T28" i="1"/>
  <c r="S28" i="1"/>
  <c r="N28" i="1"/>
  <c r="M28" i="1"/>
  <c r="DJ27" i="1"/>
  <c r="DI27" i="1"/>
  <c r="DF27" i="1"/>
  <c r="DE27" i="1"/>
  <c r="CY27" i="1"/>
  <c r="CZ27" i="1" s="1"/>
  <c r="CT27" i="1"/>
  <c r="CS27" i="1"/>
  <c r="CN27" i="1"/>
  <c r="CM27" i="1"/>
  <c r="CH27" i="1"/>
  <c r="CG27" i="1"/>
  <c r="CA27" i="1"/>
  <c r="CB27" i="1" s="1"/>
  <c r="BV27" i="1"/>
  <c r="BU27" i="1"/>
  <c r="BP27" i="1"/>
  <c r="BO27" i="1"/>
  <c r="BJ27" i="1"/>
  <c r="BI27" i="1"/>
  <c r="BC27" i="1"/>
  <c r="BD27" i="1" s="1"/>
  <c r="AX27" i="1"/>
  <c r="AW27" i="1"/>
  <c r="AR27" i="1"/>
  <c r="AQ27" i="1"/>
  <c r="AL27" i="1"/>
  <c r="AK27" i="1"/>
  <c r="AE27" i="1"/>
  <c r="AF27" i="1" s="1"/>
  <c r="Z27" i="1"/>
  <c r="Y27" i="1"/>
  <c r="T27" i="1"/>
  <c r="S27" i="1"/>
  <c r="N27" i="1"/>
  <c r="M27" i="1"/>
  <c r="DJ26" i="1"/>
  <c r="DI26" i="1"/>
  <c r="DF26" i="1"/>
  <c r="DE26" i="1"/>
  <c r="CY26" i="1"/>
  <c r="CZ26" i="1" s="1"/>
  <c r="CT26" i="1"/>
  <c r="CS26" i="1"/>
  <c r="CN26" i="1"/>
  <c r="CM26" i="1"/>
  <c r="CH26" i="1"/>
  <c r="CG26" i="1"/>
  <c r="CA26" i="1"/>
  <c r="CB26" i="1" s="1"/>
  <c r="BV26" i="1"/>
  <c r="BU26" i="1"/>
  <c r="BP26" i="1"/>
  <c r="BO26" i="1"/>
  <c r="BJ26" i="1"/>
  <c r="BI26" i="1"/>
  <c r="BC26" i="1"/>
  <c r="BD26" i="1" s="1"/>
  <c r="AX26" i="1"/>
  <c r="AW26" i="1"/>
  <c r="AR26" i="1"/>
  <c r="AQ26" i="1"/>
  <c r="AL26" i="1"/>
  <c r="AK26" i="1"/>
  <c r="AE26" i="1"/>
  <c r="AF26" i="1" s="1"/>
  <c r="Z26" i="1"/>
  <c r="Y26" i="1"/>
  <c r="T26" i="1"/>
  <c r="S26" i="1"/>
  <c r="N26" i="1"/>
  <c r="M26" i="1"/>
  <c r="DI25" i="1"/>
  <c r="DF25" i="1"/>
  <c r="DE25" i="1"/>
  <c r="CY25" i="1"/>
  <c r="CZ25" i="1" s="1"/>
  <c r="CT25" i="1"/>
  <c r="CS25" i="1"/>
  <c r="CN25" i="1"/>
  <c r="CM25" i="1"/>
  <c r="CH25" i="1"/>
  <c r="CG25" i="1"/>
  <c r="CA25" i="1"/>
  <c r="CB25" i="1" s="1"/>
  <c r="BV25" i="1"/>
  <c r="BU25" i="1"/>
  <c r="BP25" i="1"/>
  <c r="BO25" i="1"/>
  <c r="BJ25" i="1"/>
  <c r="BI25" i="1"/>
  <c r="BC25" i="1"/>
  <c r="BD25" i="1" s="1"/>
  <c r="AW25" i="1"/>
  <c r="AX25" i="1" s="1"/>
  <c r="AR25" i="1"/>
  <c r="AQ25" i="1"/>
  <c r="AL25" i="1"/>
  <c r="AK25" i="1"/>
  <c r="AE25" i="1"/>
  <c r="AF25" i="1" s="1"/>
  <c r="Z25" i="1"/>
  <c r="Y25" i="1"/>
  <c r="DJ25" i="1" s="1"/>
  <c r="T25" i="1"/>
  <c r="S25" i="1"/>
  <c r="N25" i="1"/>
  <c r="M25" i="1"/>
  <c r="DI24" i="1"/>
  <c r="DF24" i="1"/>
  <c r="DE24" i="1"/>
  <c r="CY24" i="1"/>
  <c r="CZ24" i="1" s="1"/>
  <c r="CT24" i="1"/>
  <c r="CS24" i="1"/>
  <c r="CN24" i="1"/>
  <c r="CM24" i="1"/>
  <c r="CH24" i="1"/>
  <c r="CG24" i="1"/>
  <c r="CA24" i="1"/>
  <c r="CB24" i="1" s="1"/>
  <c r="BU24" i="1"/>
  <c r="BV24" i="1" s="1"/>
  <c r="BP24" i="1"/>
  <c r="BO24" i="1"/>
  <c r="BJ24" i="1"/>
  <c r="BI24" i="1"/>
  <c r="BC24" i="1"/>
  <c r="BD24" i="1" s="1"/>
  <c r="AW24" i="1"/>
  <c r="AX24" i="1" s="1"/>
  <c r="AR24" i="1"/>
  <c r="AQ24" i="1"/>
  <c r="AL24" i="1"/>
  <c r="AK24" i="1"/>
  <c r="AE24" i="1"/>
  <c r="AF24" i="1" s="1"/>
  <c r="Y24" i="1"/>
  <c r="DJ24" i="1" s="1"/>
  <c r="T24" i="1"/>
  <c r="S24" i="1"/>
  <c r="N24" i="1"/>
  <c r="M24" i="1"/>
  <c r="DI23" i="1"/>
  <c r="DF23" i="1"/>
  <c r="DE23" i="1"/>
  <c r="CY23" i="1"/>
  <c r="CZ23" i="1" s="1"/>
  <c r="CS23" i="1"/>
  <c r="CT23" i="1" s="1"/>
  <c r="CN23" i="1"/>
  <c r="CM23" i="1"/>
  <c r="CH23" i="1"/>
  <c r="CG23" i="1"/>
  <c r="CA23" i="1"/>
  <c r="CB23" i="1" s="1"/>
  <c r="BV23" i="1"/>
  <c r="BU23" i="1"/>
  <c r="BP23" i="1"/>
  <c r="BO23" i="1"/>
  <c r="BJ23" i="1"/>
  <c r="BI23" i="1"/>
  <c r="BC23" i="1"/>
  <c r="BD23" i="1" s="1"/>
  <c r="AX23" i="1"/>
  <c r="AW23" i="1"/>
  <c r="AR23" i="1"/>
  <c r="AQ23" i="1"/>
  <c r="AL23" i="1"/>
  <c r="AK23" i="1"/>
  <c r="AE23" i="1"/>
  <c r="AF23" i="1" s="1"/>
  <c r="Y23" i="1"/>
  <c r="Z23" i="1" s="1"/>
  <c r="T23" i="1"/>
  <c r="S23" i="1"/>
  <c r="N23" i="1"/>
  <c r="M23" i="1"/>
  <c r="DJ22" i="1"/>
  <c r="DI22" i="1"/>
  <c r="DF22" i="1"/>
  <c r="DE22" i="1"/>
  <c r="CY22" i="1"/>
  <c r="CZ22" i="1" s="1"/>
  <c r="CS22" i="1"/>
  <c r="CT22" i="1" s="1"/>
  <c r="CN22" i="1"/>
  <c r="CM22" i="1"/>
  <c r="CH22" i="1"/>
  <c r="CG22" i="1"/>
  <c r="CA22" i="1"/>
  <c r="CB22" i="1" s="1"/>
  <c r="BV22" i="1"/>
  <c r="BU22" i="1"/>
  <c r="BP22" i="1"/>
  <c r="BO22" i="1"/>
  <c r="BJ22" i="1"/>
  <c r="BI22" i="1"/>
  <c r="BC22" i="1"/>
  <c r="BD22" i="1" s="1"/>
  <c r="AW22" i="1"/>
  <c r="AX22" i="1" s="1"/>
  <c r="AR22" i="1"/>
  <c r="AQ22" i="1"/>
  <c r="AL22" i="1"/>
  <c r="AK22" i="1"/>
  <c r="AE22" i="1"/>
  <c r="AF22" i="1" s="1"/>
  <c r="Z22" i="1"/>
  <c r="Y22" i="1"/>
  <c r="T22" i="1"/>
  <c r="S22" i="1"/>
  <c r="N22" i="1"/>
  <c r="M22" i="1"/>
  <c r="DI21" i="1"/>
  <c r="DF21" i="1"/>
  <c r="DE21" i="1"/>
  <c r="CY21" i="1"/>
  <c r="CZ21" i="1" s="1"/>
  <c r="CS21" i="1"/>
  <c r="CT21" i="1" s="1"/>
  <c r="CN21" i="1"/>
  <c r="CM21" i="1"/>
  <c r="CH21" i="1"/>
  <c r="CG21" i="1"/>
  <c r="CA21" i="1"/>
  <c r="CB21" i="1" s="1"/>
  <c r="BU21" i="1"/>
  <c r="BV21" i="1" s="1"/>
  <c r="BP21" i="1"/>
  <c r="BJ21" i="1"/>
  <c r="BI21" i="1"/>
  <c r="BD21" i="1"/>
  <c r="BC21" i="1"/>
  <c r="AW21" i="1"/>
  <c r="AX21" i="1" s="1"/>
  <c r="AQ21" i="1"/>
  <c r="AR21" i="1" s="1"/>
  <c r="AK21" i="1"/>
  <c r="AL21" i="1" s="1"/>
  <c r="AF21" i="1"/>
  <c r="AE21" i="1"/>
  <c r="Y21" i="1"/>
  <c r="Z21" i="1" s="1"/>
  <c r="S21" i="1"/>
  <c r="T21" i="1" s="1"/>
  <c r="M21" i="1"/>
  <c r="N21" i="1" s="1"/>
  <c r="DI20" i="1"/>
  <c r="DF20" i="1"/>
  <c r="DE20" i="1"/>
  <c r="CZ20" i="1"/>
  <c r="CY20" i="1"/>
  <c r="CS20" i="1"/>
  <c r="CT20" i="1" s="1"/>
  <c r="CM20" i="1"/>
  <c r="CN20" i="1" s="1"/>
  <c r="CH20" i="1"/>
  <c r="CG20" i="1"/>
  <c r="CB20" i="1"/>
  <c r="CA20" i="1"/>
  <c r="BU20" i="1"/>
  <c r="BV20" i="1" s="1"/>
  <c r="BP20" i="1"/>
  <c r="BO20" i="1"/>
  <c r="BI20" i="1"/>
  <c r="BJ20" i="1" s="1"/>
  <c r="BD20" i="1"/>
  <c r="BC20" i="1"/>
  <c r="AW20" i="1"/>
  <c r="AX20" i="1" s="1"/>
  <c r="AQ20" i="1"/>
  <c r="AR20" i="1" s="1"/>
  <c r="AK20" i="1"/>
  <c r="AL20" i="1" s="1"/>
  <c r="AF20" i="1"/>
  <c r="AE20" i="1"/>
  <c r="Y20" i="1"/>
  <c r="Z20" i="1" s="1"/>
  <c r="T20" i="1"/>
  <c r="S20" i="1"/>
  <c r="N20" i="1"/>
  <c r="M20" i="1"/>
  <c r="DI19" i="1"/>
  <c r="DF19" i="1"/>
  <c r="DE19" i="1"/>
  <c r="CZ19" i="1"/>
  <c r="CY19" i="1"/>
  <c r="CS19" i="1"/>
  <c r="CT19" i="1" s="1"/>
  <c r="CN19" i="1"/>
  <c r="CM19" i="1"/>
  <c r="CG19" i="1"/>
  <c r="CH19" i="1" s="1"/>
  <c r="CB19" i="1"/>
  <c r="CA19" i="1"/>
  <c r="BU19" i="1"/>
  <c r="BV19" i="1" s="1"/>
  <c r="BO19" i="1"/>
  <c r="BP19" i="1" s="1"/>
  <c r="BI19" i="1"/>
  <c r="BJ19" i="1" s="1"/>
  <c r="BD19" i="1"/>
  <c r="BC19" i="1"/>
  <c r="AW19" i="1"/>
  <c r="AX19" i="1" s="1"/>
  <c r="AR19" i="1"/>
  <c r="AQ19" i="1"/>
  <c r="AL19" i="1"/>
  <c r="AK19" i="1"/>
  <c r="AF19" i="1"/>
  <c r="AE19" i="1"/>
  <c r="Y19" i="1"/>
  <c r="Z19" i="1" s="1"/>
  <c r="S19" i="1"/>
  <c r="T19" i="1" s="1"/>
  <c r="M19" i="1"/>
  <c r="DJ19" i="1" s="1"/>
  <c r="DJ18" i="1"/>
  <c r="DI18" i="1"/>
  <c r="DF18" i="1"/>
  <c r="DE18" i="1"/>
  <c r="CZ18" i="1"/>
  <c r="CY18" i="1"/>
  <c r="CT18" i="1"/>
  <c r="CS18" i="1"/>
  <c r="CN18" i="1"/>
  <c r="CM18" i="1"/>
  <c r="CH18" i="1"/>
  <c r="CG18" i="1"/>
  <c r="CB18" i="1"/>
  <c r="CA18" i="1"/>
  <c r="BV18" i="1"/>
  <c r="BU18" i="1"/>
  <c r="BP18" i="1"/>
  <c r="BO18" i="1"/>
  <c r="BJ18" i="1"/>
  <c r="BI18" i="1"/>
  <c r="BD18" i="1"/>
  <c r="BC18" i="1"/>
  <c r="AX18" i="1"/>
  <c r="AW18" i="1"/>
  <c r="AR18" i="1"/>
  <c r="AQ18" i="1"/>
  <c r="AL18" i="1"/>
  <c r="AK18" i="1"/>
  <c r="AF18" i="1"/>
  <c r="AE18" i="1"/>
  <c r="Z18" i="1"/>
  <c r="Y18" i="1"/>
  <c r="T18" i="1"/>
  <c r="S18" i="1"/>
  <c r="N18" i="1"/>
  <c r="M18" i="1"/>
  <c r="DI17" i="1"/>
  <c r="DE17" i="1"/>
  <c r="DF17" i="1" s="1"/>
  <c r="CZ17" i="1"/>
  <c r="CY17" i="1"/>
  <c r="CT17" i="1"/>
  <c r="CS17" i="1"/>
  <c r="CN17" i="1"/>
  <c r="CM17" i="1"/>
  <c r="CG17" i="1"/>
  <c r="CH17" i="1" s="1"/>
  <c r="CB17" i="1"/>
  <c r="CA17" i="1"/>
  <c r="BV17" i="1"/>
  <c r="BU17" i="1"/>
  <c r="BP17" i="1"/>
  <c r="BO17" i="1"/>
  <c r="BI17" i="1"/>
  <c r="BJ17" i="1" s="1"/>
  <c r="BD17" i="1"/>
  <c r="BC17" i="1"/>
  <c r="AX17" i="1"/>
  <c r="AW17" i="1"/>
  <c r="AR17" i="1"/>
  <c r="AQ17" i="1"/>
  <c r="AK17" i="1"/>
  <c r="AL17" i="1" s="1"/>
  <c r="AF17" i="1"/>
  <c r="AE17" i="1"/>
  <c r="Z17" i="1"/>
  <c r="Y17" i="1"/>
  <c r="T17" i="1"/>
  <c r="S17" i="1"/>
  <c r="M17" i="1"/>
  <c r="N17" i="1" s="1"/>
  <c r="DI16" i="1"/>
  <c r="DF16" i="1"/>
  <c r="DE16" i="1"/>
  <c r="CZ16" i="1"/>
  <c r="CY16" i="1"/>
  <c r="CT16" i="1"/>
  <c r="CS16" i="1"/>
  <c r="CM16" i="1"/>
  <c r="CN16" i="1" s="1"/>
  <c r="CH16" i="1"/>
  <c r="CG16" i="1"/>
  <c r="CB16" i="1"/>
  <c r="CA16" i="1"/>
  <c r="BV16" i="1"/>
  <c r="BU16" i="1"/>
  <c r="BO16" i="1"/>
  <c r="DJ16" i="1" s="1"/>
  <c r="BJ16" i="1"/>
  <c r="BI16" i="1"/>
  <c r="BD16" i="1"/>
  <c r="BC16" i="1"/>
  <c r="AX16" i="1"/>
  <c r="AW16" i="1"/>
  <c r="AQ16" i="1"/>
  <c r="AR16" i="1" s="1"/>
  <c r="AL16" i="1"/>
  <c r="AK16" i="1"/>
  <c r="AF16" i="1"/>
  <c r="AE16" i="1"/>
  <c r="Z16" i="1"/>
  <c r="Y16" i="1"/>
  <c r="S16" i="1"/>
  <c r="T16" i="1" s="1"/>
  <c r="N16" i="1"/>
  <c r="M16" i="1"/>
  <c r="DK15" i="1"/>
  <c r="DI15" i="1"/>
  <c r="DF15" i="1"/>
  <c r="DE15" i="1"/>
  <c r="CZ15" i="1"/>
  <c r="CY15" i="1"/>
  <c r="CS15" i="1"/>
  <c r="CT15" i="1" s="1"/>
  <c r="CN15" i="1"/>
  <c r="CM15" i="1"/>
  <c r="CH15" i="1"/>
  <c r="CG15" i="1"/>
  <c r="CB15" i="1"/>
  <c r="CA15" i="1"/>
  <c r="BU15" i="1"/>
  <c r="BV15" i="1" s="1"/>
  <c r="BP15" i="1"/>
  <c r="BO15" i="1"/>
  <c r="BJ15" i="1"/>
  <c r="BI15" i="1"/>
  <c r="BD15" i="1"/>
  <c r="BC15" i="1"/>
  <c r="AW15" i="1"/>
  <c r="AX15" i="1" s="1"/>
  <c r="AR15" i="1"/>
  <c r="AQ15" i="1"/>
  <c r="AL15" i="1"/>
  <c r="AK15" i="1"/>
  <c r="AF15" i="1"/>
  <c r="AE15" i="1"/>
  <c r="Y15" i="1"/>
  <c r="Z15" i="1" s="1"/>
  <c r="T15" i="1"/>
  <c r="S15" i="1"/>
  <c r="N15" i="1"/>
  <c r="M15" i="1"/>
  <c r="DI14" i="1"/>
  <c r="DE14" i="1"/>
  <c r="DF14" i="1" s="1"/>
  <c r="CZ14" i="1"/>
  <c r="CY14" i="1"/>
  <c r="CT14" i="1"/>
  <c r="CS14" i="1"/>
  <c r="CM14" i="1"/>
  <c r="CN14" i="1" s="1"/>
  <c r="CG14" i="1"/>
  <c r="CH14" i="1" s="1"/>
  <c r="CB14" i="1"/>
  <c r="CA14" i="1"/>
  <c r="BV14" i="1"/>
  <c r="BU14" i="1"/>
  <c r="BO14" i="1"/>
  <c r="BP14" i="1" s="1"/>
  <c r="BI14" i="1"/>
  <c r="BJ14" i="1" s="1"/>
  <c r="BD14" i="1"/>
  <c r="BC14" i="1"/>
  <c r="AX14" i="1"/>
  <c r="AW14" i="1"/>
  <c r="AQ14" i="1"/>
  <c r="AR14" i="1" s="1"/>
  <c r="AK14" i="1"/>
  <c r="AL14" i="1" s="1"/>
  <c r="AF14" i="1"/>
  <c r="AE14" i="1"/>
  <c r="Z14" i="1"/>
  <c r="Y14" i="1"/>
  <c r="S14" i="1"/>
  <c r="T14" i="1" s="1"/>
  <c r="M14" i="1"/>
  <c r="DJ14" i="1" s="1"/>
  <c r="DJ13" i="1"/>
  <c r="DI13" i="1"/>
  <c r="DF13" i="1"/>
  <c r="DE13" i="1"/>
  <c r="CZ13" i="1"/>
  <c r="CY13" i="1"/>
  <c r="CT13" i="1"/>
  <c r="CS13" i="1"/>
  <c r="CN13" i="1"/>
  <c r="CM13" i="1"/>
  <c r="CH13" i="1"/>
  <c r="CG13" i="1"/>
  <c r="CB13" i="1"/>
  <c r="CA13" i="1"/>
  <c r="BV13" i="1"/>
  <c r="BU13" i="1"/>
  <c r="BP13" i="1"/>
  <c r="BI13" i="1"/>
  <c r="BD13" i="1"/>
  <c r="BC13" i="1"/>
  <c r="AX13" i="1"/>
  <c r="AW13" i="1"/>
  <c r="AR13" i="1"/>
  <c r="AQ13" i="1"/>
  <c r="AL13" i="1"/>
  <c r="AK13" i="1"/>
  <c r="AF13" i="1"/>
  <c r="AE13" i="1"/>
  <c r="Z13" i="1"/>
  <c r="Y13" i="1"/>
  <c r="T13" i="1"/>
  <c r="S13" i="1"/>
  <c r="N13" i="1"/>
  <c r="M13" i="1"/>
  <c r="DI12" i="1"/>
  <c r="DE12" i="1"/>
  <c r="DF12" i="1" s="1"/>
  <c r="CY12" i="1"/>
  <c r="CZ12" i="1" s="1"/>
  <c r="CT12" i="1"/>
  <c r="CS12" i="1"/>
  <c r="CM12" i="1"/>
  <c r="CN12" i="1" s="1"/>
  <c r="CG12" i="1"/>
  <c r="CH12" i="1" s="1"/>
  <c r="CA12" i="1"/>
  <c r="CB12" i="1" s="1"/>
  <c r="BV12" i="1"/>
  <c r="BU12" i="1"/>
  <c r="BO12" i="1"/>
  <c r="BP12" i="1" s="1"/>
  <c r="BI12" i="1"/>
  <c r="BJ12" i="1" s="1"/>
  <c r="BC12" i="1"/>
  <c r="BD12" i="1" s="1"/>
  <c r="AX12" i="1"/>
  <c r="AW12" i="1"/>
  <c r="AQ12" i="1"/>
  <c r="AR12" i="1" s="1"/>
  <c r="AK12" i="1"/>
  <c r="AL12" i="1" s="1"/>
  <c r="AE12" i="1"/>
  <c r="AF12" i="1" s="1"/>
  <c r="Z12" i="1"/>
  <c r="Y12" i="1"/>
  <c r="S12" i="1"/>
  <c r="T12" i="1" s="1"/>
  <c r="M12" i="1"/>
  <c r="DJ12" i="1" s="1"/>
  <c r="DI11" i="1"/>
  <c r="DF11" i="1"/>
  <c r="DE11" i="1"/>
  <c r="CY11" i="1"/>
  <c r="CZ11" i="1" s="1"/>
  <c r="CT11" i="1"/>
  <c r="CS11" i="1"/>
  <c r="CN11" i="1"/>
  <c r="CM11" i="1"/>
  <c r="CH11" i="1"/>
  <c r="CG11" i="1"/>
  <c r="CA11" i="1"/>
  <c r="CB11" i="1" s="1"/>
  <c r="BV11" i="1"/>
  <c r="BU11" i="1"/>
  <c r="BP11" i="1"/>
  <c r="BO11" i="1"/>
  <c r="BJ11" i="1"/>
  <c r="BI11" i="1"/>
  <c r="BC11" i="1"/>
  <c r="BD11" i="1" s="1"/>
  <c r="AX11" i="1"/>
  <c r="AW11" i="1"/>
  <c r="AR11" i="1"/>
  <c r="AQ11" i="1"/>
  <c r="AL11" i="1"/>
  <c r="AK11" i="1"/>
  <c r="AE11" i="1"/>
  <c r="AF11" i="1" s="1"/>
  <c r="Z11" i="1"/>
  <c r="Y11" i="1"/>
  <c r="T11" i="1"/>
  <c r="S11" i="1"/>
  <c r="N11" i="1"/>
  <c r="M11" i="1"/>
  <c r="DI10" i="1"/>
  <c r="DF10" i="1"/>
  <c r="DE10" i="1"/>
  <c r="CY10" i="1"/>
  <c r="CZ10" i="1" s="1"/>
  <c r="CT10" i="1"/>
  <c r="CS10" i="1"/>
  <c r="CN10" i="1"/>
  <c r="CM10" i="1"/>
  <c r="CH10" i="1"/>
  <c r="CG10" i="1"/>
  <c r="CA10" i="1"/>
  <c r="CB10" i="1" s="1"/>
  <c r="BV10" i="1"/>
  <c r="BU10" i="1"/>
  <c r="BP10" i="1"/>
  <c r="BO10" i="1"/>
  <c r="BJ10" i="1"/>
  <c r="BI10" i="1"/>
  <c r="BC10" i="1"/>
  <c r="BD10" i="1" s="1"/>
  <c r="AX10" i="1"/>
  <c r="AW10" i="1"/>
  <c r="AR10" i="1"/>
  <c r="AQ10" i="1"/>
  <c r="AL10" i="1"/>
  <c r="AK10" i="1"/>
  <c r="AE10" i="1"/>
  <c r="AF10" i="1" s="1"/>
  <c r="Z10" i="1"/>
  <c r="Y10" i="1"/>
  <c r="T10" i="1"/>
  <c r="S10" i="1"/>
  <c r="N10" i="1"/>
  <c r="M10" i="1"/>
  <c r="DI9" i="1"/>
  <c r="DF9" i="1"/>
  <c r="DE9" i="1"/>
  <c r="CY9" i="1"/>
  <c r="CZ9" i="1" s="1"/>
  <c r="CT9" i="1"/>
  <c r="CS9" i="1"/>
  <c r="CN9" i="1"/>
  <c r="CM9" i="1"/>
  <c r="CH9" i="1"/>
  <c r="CG9" i="1"/>
  <c r="CA9" i="1"/>
  <c r="CB9" i="1" s="1"/>
  <c r="BV9" i="1"/>
  <c r="BU9" i="1"/>
  <c r="BP9" i="1"/>
  <c r="BO9" i="1"/>
  <c r="BJ9" i="1"/>
  <c r="BI9" i="1"/>
  <c r="BC9" i="1"/>
  <c r="BD9" i="1" s="1"/>
  <c r="AX9" i="1"/>
  <c r="AW9" i="1"/>
  <c r="AR9" i="1"/>
  <c r="AQ9" i="1"/>
  <c r="AL9" i="1"/>
  <c r="AK9" i="1"/>
  <c r="AE9" i="1"/>
  <c r="AF9" i="1" s="1"/>
  <c r="Z9" i="1"/>
  <c r="Y9" i="1"/>
  <c r="T9" i="1"/>
  <c r="S9" i="1"/>
  <c r="N9" i="1"/>
  <c r="M9" i="1"/>
  <c r="DI8" i="1"/>
  <c r="DF8" i="1"/>
  <c r="DE8" i="1"/>
  <c r="CY8" i="1"/>
  <c r="CZ8" i="1" s="1"/>
  <c r="CT8" i="1"/>
  <c r="CS8" i="1"/>
  <c r="CN8" i="1"/>
  <c r="CM8" i="1"/>
  <c r="CH8" i="1"/>
  <c r="CG8" i="1"/>
  <c r="CA8" i="1"/>
  <c r="CB8" i="1" s="1"/>
  <c r="BV8" i="1"/>
  <c r="BU8" i="1"/>
  <c r="BP8" i="1"/>
  <c r="BO8" i="1"/>
  <c r="BJ8" i="1"/>
  <c r="BI8" i="1"/>
  <c r="BC8" i="1"/>
  <c r="BD8" i="1" s="1"/>
  <c r="AX8" i="1"/>
  <c r="AW8" i="1"/>
  <c r="AR8" i="1"/>
  <c r="AQ8" i="1"/>
  <c r="AL8" i="1"/>
  <c r="AK8" i="1"/>
  <c r="AE8" i="1"/>
  <c r="AF8" i="1" s="1"/>
  <c r="Z8" i="1"/>
  <c r="Y8" i="1"/>
  <c r="T8" i="1"/>
  <c r="S8" i="1"/>
  <c r="N8" i="1"/>
  <c r="M8" i="1"/>
  <c r="DI7" i="1"/>
  <c r="DF7" i="1"/>
  <c r="DE7" i="1"/>
  <c r="CY7" i="1"/>
  <c r="CZ7" i="1" s="1"/>
  <c r="CT7" i="1"/>
  <c r="CS7" i="1"/>
  <c r="CN7" i="1"/>
  <c r="CM7" i="1"/>
  <c r="CH7" i="1"/>
  <c r="CG7" i="1"/>
  <c r="CA7" i="1"/>
  <c r="CB7" i="1" s="1"/>
  <c r="BV7" i="1"/>
  <c r="BU7" i="1"/>
  <c r="BP7" i="1"/>
  <c r="BO7" i="1"/>
  <c r="BJ7" i="1"/>
  <c r="BI7" i="1"/>
  <c r="BC7" i="1"/>
  <c r="BD7" i="1" s="1"/>
  <c r="AX7" i="1"/>
  <c r="AW7" i="1"/>
  <c r="AR7" i="1"/>
  <c r="AQ7" i="1"/>
  <c r="AL7" i="1"/>
  <c r="AK7" i="1"/>
  <c r="AE7" i="1"/>
  <c r="AF7" i="1" s="1"/>
  <c r="Z7" i="1"/>
  <c r="Y7" i="1"/>
  <c r="T7" i="1"/>
  <c r="S7" i="1"/>
  <c r="N7" i="1"/>
  <c r="M7" i="1"/>
  <c r="DI6" i="1"/>
  <c r="DF6" i="1"/>
  <c r="DE6" i="1"/>
  <c r="CY6" i="1"/>
  <c r="CZ6" i="1" s="1"/>
  <c r="CT6" i="1"/>
  <c r="CS6" i="1"/>
  <c r="CN6" i="1"/>
  <c r="CM6" i="1"/>
  <c r="CH6" i="1"/>
  <c r="CG6" i="1"/>
  <c r="CA6" i="1"/>
  <c r="CB6" i="1" s="1"/>
  <c r="BV6" i="1"/>
  <c r="BU6" i="1"/>
  <c r="BP6" i="1"/>
  <c r="BO6" i="1"/>
  <c r="BJ6" i="1"/>
  <c r="BI6" i="1"/>
  <c r="BC6" i="1"/>
  <c r="BD6" i="1" s="1"/>
  <c r="AX6" i="1"/>
  <c r="AW6" i="1"/>
  <c r="AR6" i="1"/>
  <c r="AQ6" i="1"/>
  <c r="AL6" i="1"/>
  <c r="AK6" i="1"/>
  <c r="AE6" i="1"/>
  <c r="AF6" i="1" s="1"/>
  <c r="Z6" i="1"/>
  <c r="Y6" i="1"/>
  <c r="T6" i="1"/>
  <c r="S6" i="1"/>
  <c r="N6" i="1"/>
  <c r="M6" i="1"/>
  <c r="DI5" i="1"/>
  <c r="DF5" i="1"/>
  <c r="DE5" i="1"/>
  <c r="CY5" i="1"/>
  <c r="CZ5" i="1" s="1"/>
  <c r="CT5" i="1"/>
  <c r="CS5" i="1"/>
  <c r="CN5" i="1"/>
  <c r="CM5" i="1"/>
  <c r="CH5" i="1"/>
  <c r="CG5" i="1"/>
  <c r="CA5" i="1"/>
  <c r="CB5" i="1" s="1"/>
  <c r="BV5" i="1"/>
  <c r="BU5" i="1"/>
  <c r="BP5" i="1"/>
  <c r="BO5" i="1"/>
  <c r="BJ5" i="1"/>
  <c r="BI5" i="1"/>
  <c r="BC5" i="1"/>
  <c r="BD5" i="1" s="1"/>
  <c r="AX5" i="1"/>
  <c r="AW5" i="1"/>
  <c r="AR5" i="1"/>
  <c r="AQ5" i="1"/>
  <c r="AL5" i="1"/>
  <c r="AK5" i="1"/>
  <c r="AE5" i="1"/>
  <c r="AF5" i="1" s="1"/>
  <c r="Z5" i="1"/>
  <c r="Y5" i="1"/>
  <c r="T5" i="1"/>
  <c r="S5" i="1"/>
  <c r="N5" i="1"/>
  <c r="M5" i="1"/>
  <c r="DI4" i="1"/>
  <c r="DF4" i="1"/>
  <c r="DE4" i="1"/>
  <c r="CY4" i="1"/>
  <c r="CZ4" i="1" s="1"/>
  <c r="CT4" i="1"/>
  <c r="CS4" i="1"/>
  <c r="CN4" i="1"/>
  <c r="CM4" i="1"/>
  <c r="CH4" i="1"/>
  <c r="CG4" i="1"/>
  <c r="CA4" i="1"/>
  <c r="CB4" i="1" s="1"/>
  <c r="BV4" i="1"/>
  <c r="BU4" i="1"/>
  <c r="BP4" i="1"/>
  <c r="BO4" i="1"/>
  <c r="BJ4" i="1"/>
  <c r="BI4" i="1"/>
  <c r="BC4" i="1"/>
  <c r="BD4" i="1" s="1"/>
  <c r="AX4" i="1"/>
  <c r="AW4" i="1"/>
  <c r="AR4" i="1"/>
  <c r="AQ4" i="1"/>
  <c r="AL4" i="1"/>
  <c r="AK4" i="1"/>
  <c r="AE4" i="1"/>
  <c r="AF4" i="1" s="1"/>
  <c r="Z4" i="1"/>
  <c r="Y4" i="1"/>
  <c r="T4" i="1"/>
  <c r="S4" i="1"/>
  <c r="N4" i="1"/>
  <c r="M4" i="1"/>
  <c r="DI3" i="1"/>
  <c r="DF3" i="1"/>
  <c r="DE3" i="1"/>
  <c r="CY3" i="1"/>
  <c r="CZ3" i="1" s="1"/>
  <c r="CT3" i="1"/>
  <c r="CS3" i="1"/>
  <c r="CN3" i="1"/>
  <c r="CM3" i="1"/>
  <c r="CH3" i="1"/>
  <c r="CG3" i="1"/>
  <c r="CA3" i="1"/>
  <c r="CB3" i="1" s="1"/>
  <c r="BV3" i="1"/>
  <c r="BU3" i="1"/>
  <c r="BP3" i="1"/>
  <c r="BO3" i="1"/>
  <c r="BJ3" i="1"/>
  <c r="BI3" i="1"/>
  <c r="BC3" i="1"/>
  <c r="BD3" i="1" s="1"/>
  <c r="AX3" i="1"/>
  <c r="AW3" i="1"/>
  <c r="AR3" i="1"/>
  <c r="AQ3" i="1"/>
  <c r="AL3" i="1"/>
  <c r="AK3" i="1"/>
  <c r="AE3" i="1"/>
  <c r="AF3" i="1" s="1"/>
  <c r="Z3" i="1"/>
  <c r="Y3" i="1"/>
  <c r="T3" i="1"/>
  <c r="S3" i="1"/>
  <c r="N3" i="1"/>
  <c r="M3" i="1"/>
  <c r="FJ2" i="1"/>
  <c r="FJ3" i="1" s="1"/>
  <c r="FJ4" i="1" s="1"/>
  <c r="FJ5" i="1" s="1"/>
  <c r="FJ6" i="1" s="1"/>
  <c r="FJ7" i="1" s="1"/>
  <c r="FJ8" i="1" s="1"/>
  <c r="FJ9" i="1" s="1"/>
  <c r="FJ10" i="1" s="1"/>
  <c r="FJ11" i="1" s="1"/>
  <c r="FJ12" i="1" s="1"/>
  <c r="FJ13" i="1" s="1"/>
  <c r="FJ14" i="1" s="1"/>
  <c r="FJ15" i="1" s="1"/>
  <c r="FI2" i="1"/>
  <c r="FI3" i="1" s="1"/>
  <c r="FI4" i="1" s="1"/>
  <c r="FI5" i="1" s="1"/>
  <c r="FI6" i="1" s="1"/>
  <c r="FI7" i="1" s="1"/>
  <c r="FI8" i="1" s="1"/>
  <c r="FI9" i="1" s="1"/>
  <c r="FI10" i="1" s="1"/>
  <c r="FI11" i="1" s="1"/>
  <c r="FI12" i="1" s="1"/>
  <c r="FI13" i="1" s="1"/>
  <c r="FI14" i="1" s="1"/>
  <c r="FI15" i="1" s="1"/>
  <c r="FH2" i="1"/>
  <c r="FH3" i="1" s="1"/>
  <c r="FH4" i="1" s="1"/>
  <c r="FH5" i="1" s="1"/>
  <c r="FH6" i="1" s="1"/>
  <c r="FH7" i="1" s="1"/>
  <c r="FH8" i="1" s="1"/>
  <c r="FH9" i="1" s="1"/>
  <c r="FH10" i="1" s="1"/>
  <c r="FH11" i="1" s="1"/>
  <c r="FH12" i="1" s="1"/>
  <c r="FH13" i="1" s="1"/>
  <c r="FH14" i="1" s="1"/>
  <c r="FH15" i="1" s="1"/>
  <c r="FG2" i="1"/>
  <c r="FG3" i="1" s="1"/>
  <c r="FG4" i="1" s="1"/>
  <c r="FG5" i="1" s="1"/>
  <c r="FG6" i="1" s="1"/>
  <c r="FG7" i="1" s="1"/>
  <c r="FG8" i="1" s="1"/>
  <c r="FG9" i="1" s="1"/>
  <c r="FG10" i="1" s="1"/>
  <c r="FG11" i="1" s="1"/>
  <c r="FG12" i="1" s="1"/>
  <c r="FG13" i="1" s="1"/>
  <c r="FG14" i="1" s="1"/>
  <c r="FG15" i="1" s="1"/>
  <c r="FF2" i="1"/>
  <c r="FF3" i="1" s="1"/>
  <c r="FF4" i="1" s="1"/>
  <c r="FF5" i="1" s="1"/>
  <c r="FF6" i="1" s="1"/>
  <c r="FF7" i="1" s="1"/>
  <c r="FF8" i="1" s="1"/>
  <c r="FF9" i="1" s="1"/>
  <c r="FF10" i="1" s="1"/>
  <c r="FF11" i="1" s="1"/>
  <c r="FF12" i="1" s="1"/>
  <c r="FF13" i="1" s="1"/>
  <c r="FF14" i="1" s="1"/>
  <c r="FF15" i="1" s="1"/>
  <c r="FE2" i="1"/>
  <c r="FE3" i="1" s="1"/>
  <c r="FE4" i="1" s="1"/>
  <c r="FE5" i="1" s="1"/>
  <c r="FE6" i="1" s="1"/>
  <c r="FE7" i="1" s="1"/>
  <c r="FE8" i="1" s="1"/>
  <c r="FE9" i="1" s="1"/>
  <c r="FE10" i="1" s="1"/>
  <c r="FE11" i="1" s="1"/>
  <c r="FE12" i="1" s="1"/>
  <c r="FE13" i="1" s="1"/>
  <c r="FE14" i="1" s="1"/>
  <c r="FE15" i="1" s="1"/>
  <c r="FD2" i="1"/>
  <c r="FD3" i="1" s="1"/>
  <c r="FD4" i="1" s="1"/>
  <c r="FD5" i="1" s="1"/>
  <c r="FD6" i="1" s="1"/>
  <c r="FD7" i="1" s="1"/>
  <c r="FD8" i="1" s="1"/>
  <c r="FD9" i="1" s="1"/>
  <c r="FD10" i="1" s="1"/>
  <c r="FD11" i="1" s="1"/>
  <c r="FD12" i="1" s="1"/>
  <c r="FD13" i="1" s="1"/>
  <c r="FD14" i="1" s="1"/>
  <c r="FD15" i="1" s="1"/>
  <c r="FC2" i="1"/>
  <c r="FC3" i="1" s="1"/>
  <c r="FC4" i="1" s="1"/>
  <c r="FC5" i="1" s="1"/>
  <c r="FC6" i="1" s="1"/>
  <c r="FC7" i="1" s="1"/>
  <c r="FC8" i="1" s="1"/>
  <c r="FC9" i="1" s="1"/>
  <c r="FC10" i="1" s="1"/>
  <c r="FC11" i="1" s="1"/>
  <c r="FC12" i="1" s="1"/>
  <c r="FC13" i="1" s="1"/>
  <c r="FC14" i="1" s="1"/>
  <c r="FC15" i="1" s="1"/>
  <c r="FB2" i="1"/>
  <c r="FB3" i="1" s="1"/>
  <c r="FB4" i="1" s="1"/>
  <c r="FB5" i="1" s="1"/>
  <c r="FB6" i="1" s="1"/>
  <c r="FB7" i="1" s="1"/>
  <c r="FB8" i="1" s="1"/>
  <c r="FB9" i="1" s="1"/>
  <c r="FB10" i="1" s="1"/>
  <c r="FB11" i="1" s="1"/>
  <c r="FB12" i="1" s="1"/>
  <c r="FB13" i="1" s="1"/>
  <c r="FB14" i="1" s="1"/>
  <c r="FB15" i="1" s="1"/>
  <c r="FA2" i="1"/>
  <c r="FA3" i="1" s="1"/>
  <c r="FA4" i="1" s="1"/>
  <c r="FA5" i="1" s="1"/>
  <c r="FA6" i="1" s="1"/>
  <c r="FA7" i="1" s="1"/>
  <c r="FA8" i="1" s="1"/>
  <c r="FA9" i="1" s="1"/>
  <c r="FA10" i="1" s="1"/>
  <c r="FA11" i="1" s="1"/>
  <c r="FA12" i="1" s="1"/>
  <c r="FA13" i="1" s="1"/>
  <c r="FA14" i="1" s="1"/>
  <c r="FA15" i="1" s="1"/>
  <c r="EZ2" i="1"/>
  <c r="EZ3" i="1" s="1"/>
  <c r="EZ4" i="1" s="1"/>
  <c r="EZ5" i="1" s="1"/>
  <c r="EZ6" i="1" s="1"/>
  <c r="EZ7" i="1" s="1"/>
  <c r="EZ8" i="1" s="1"/>
  <c r="EZ9" i="1" s="1"/>
  <c r="EZ10" i="1" s="1"/>
  <c r="EZ11" i="1" s="1"/>
  <c r="EZ12" i="1" s="1"/>
  <c r="EZ13" i="1" s="1"/>
  <c r="EZ14" i="1" s="1"/>
  <c r="EZ15" i="1" s="1"/>
  <c r="EY2" i="1"/>
  <c r="EY3" i="1" s="1"/>
  <c r="EY4" i="1" s="1"/>
  <c r="EY5" i="1" s="1"/>
  <c r="EY6" i="1" s="1"/>
  <c r="EY7" i="1" s="1"/>
  <c r="EY8" i="1" s="1"/>
  <c r="EY9" i="1" s="1"/>
  <c r="EY10" i="1" s="1"/>
  <c r="EY11" i="1" s="1"/>
  <c r="EY12" i="1" s="1"/>
  <c r="EY13" i="1" s="1"/>
  <c r="EY14" i="1" s="1"/>
  <c r="EY15" i="1" s="1"/>
  <c r="EX2" i="1"/>
  <c r="EX3" i="1" s="1"/>
  <c r="EX4" i="1" s="1"/>
  <c r="EX5" i="1" s="1"/>
  <c r="EX6" i="1" s="1"/>
  <c r="EX7" i="1" s="1"/>
  <c r="EX8" i="1" s="1"/>
  <c r="EX9" i="1" s="1"/>
  <c r="EX10" i="1" s="1"/>
  <c r="EX11" i="1" s="1"/>
  <c r="EX12" i="1" s="1"/>
  <c r="EX13" i="1" s="1"/>
  <c r="EX14" i="1" s="1"/>
  <c r="EX15" i="1" s="1"/>
  <c r="EW2" i="1"/>
  <c r="EW3" i="1" s="1"/>
  <c r="EW4" i="1" s="1"/>
  <c r="EW5" i="1" s="1"/>
  <c r="EW6" i="1" s="1"/>
  <c r="EW7" i="1" s="1"/>
  <c r="EW8" i="1" s="1"/>
  <c r="EW9" i="1" s="1"/>
  <c r="EW10" i="1" s="1"/>
  <c r="EW11" i="1" s="1"/>
  <c r="EW12" i="1" s="1"/>
  <c r="EW13" i="1" s="1"/>
  <c r="EW14" i="1" s="1"/>
  <c r="EW15" i="1" s="1"/>
  <c r="EV2" i="1"/>
  <c r="EV3" i="1" s="1"/>
  <c r="EV4" i="1" s="1"/>
  <c r="EV5" i="1" s="1"/>
  <c r="EV6" i="1" s="1"/>
  <c r="EV7" i="1" s="1"/>
  <c r="EV8" i="1" s="1"/>
  <c r="EV9" i="1" s="1"/>
  <c r="EV10" i="1" s="1"/>
  <c r="EV11" i="1" s="1"/>
  <c r="EV12" i="1" s="1"/>
  <c r="EV13" i="1" s="1"/>
  <c r="EV14" i="1" s="1"/>
  <c r="EV15" i="1" s="1"/>
  <c r="EU2" i="1"/>
  <c r="EU3" i="1" s="1"/>
  <c r="EU4" i="1" s="1"/>
  <c r="EU5" i="1" s="1"/>
  <c r="EU6" i="1" s="1"/>
  <c r="EU7" i="1" s="1"/>
  <c r="EU8" i="1" s="1"/>
  <c r="EU9" i="1" s="1"/>
  <c r="EU10" i="1" s="1"/>
  <c r="EU11" i="1" s="1"/>
  <c r="EU12" i="1" s="1"/>
  <c r="EU13" i="1" s="1"/>
  <c r="EU14" i="1" s="1"/>
  <c r="EU15" i="1" s="1"/>
  <c r="ET2" i="1"/>
  <c r="ET3" i="1" s="1"/>
  <c r="ET4" i="1" s="1"/>
  <c r="ET5" i="1" s="1"/>
  <c r="ET6" i="1" s="1"/>
  <c r="ET7" i="1" s="1"/>
  <c r="ET8" i="1" s="1"/>
  <c r="ET9" i="1" s="1"/>
  <c r="ET10" i="1" s="1"/>
  <c r="ET11" i="1" s="1"/>
  <c r="ET12" i="1" s="1"/>
  <c r="ET13" i="1" s="1"/>
  <c r="ET14" i="1" s="1"/>
  <c r="ET15" i="1" s="1"/>
  <c r="ES2" i="1"/>
  <c r="ES3" i="1" s="1"/>
  <c r="ES4" i="1" s="1"/>
  <c r="ES5" i="1" s="1"/>
  <c r="ES6" i="1" s="1"/>
  <c r="ES7" i="1" s="1"/>
  <c r="ES8" i="1" s="1"/>
  <c r="ES9" i="1" s="1"/>
  <c r="ES10" i="1" s="1"/>
  <c r="ES11" i="1" s="1"/>
  <c r="ES12" i="1" s="1"/>
  <c r="ES13" i="1" s="1"/>
  <c r="ES14" i="1" s="1"/>
  <c r="ES15" i="1" s="1"/>
  <c r="ER2" i="1"/>
  <c r="ER3" i="1" s="1"/>
  <c r="ER4" i="1" s="1"/>
  <c r="ER5" i="1" s="1"/>
  <c r="ER6" i="1" s="1"/>
  <c r="ER7" i="1" s="1"/>
  <c r="ER8" i="1" s="1"/>
  <c r="ER9" i="1" s="1"/>
  <c r="ER10" i="1" s="1"/>
  <c r="ER11" i="1" s="1"/>
  <c r="ER12" i="1" s="1"/>
  <c r="ER13" i="1" s="1"/>
  <c r="ER14" i="1" s="1"/>
  <c r="ER15" i="1" s="1"/>
  <c r="EQ2" i="1"/>
  <c r="EQ3" i="1" s="1"/>
  <c r="EQ4" i="1" s="1"/>
  <c r="EQ5" i="1" s="1"/>
  <c r="EQ6" i="1" s="1"/>
  <c r="EQ7" i="1" s="1"/>
  <c r="EQ8" i="1" s="1"/>
  <c r="EQ9" i="1" s="1"/>
  <c r="EQ10" i="1" s="1"/>
  <c r="EQ11" i="1" s="1"/>
  <c r="EQ12" i="1" s="1"/>
  <c r="EQ13" i="1" s="1"/>
  <c r="EQ14" i="1" s="1"/>
  <c r="EQ15" i="1" s="1"/>
  <c r="EP2" i="1"/>
  <c r="EP3" i="1" s="1"/>
  <c r="EP4" i="1" s="1"/>
  <c r="EP5" i="1" s="1"/>
  <c r="EP6" i="1" s="1"/>
  <c r="EP7" i="1" s="1"/>
  <c r="EP8" i="1" s="1"/>
  <c r="EP9" i="1" s="1"/>
  <c r="EP10" i="1" s="1"/>
  <c r="EP11" i="1" s="1"/>
  <c r="EP12" i="1" s="1"/>
  <c r="EP13" i="1" s="1"/>
  <c r="EP14" i="1" s="1"/>
  <c r="EP15" i="1" s="1"/>
  <c r="EO2" i="1"/>
  <c r="EO3" i="1" s="1"/>
  <c r="EO4" i="1" s="1"/>
  <c r="EO5" i="1" s="1"/>
  <c r="EO6" i="1" s="1"/>
  <c r="EO7" i="1" s="1"/>
  <c r="EO8" i="1" s="1"/>
  <c r="EO9" i="1" s="1"/>
  <c r="EO10" i="1" s="1"/>
  <c r="EO11" i="1" s="1"/>
  <c r="EO12" i="1" s="1"/>
  <c r="EO13" i="1" s="1"/>
  <c r="EO14" i="1" s="1"/>
  <c r="EO15" i="1" s="1"/>
  <c r="EN2" i="1"/>
  <c r="EN3" i="1" s="1"/>
  <c r="EN4" i="1" s="1"/>
  <c r="EN5" i="1" s="1"/>
  <c r="EN6" i="1" s="1"/>
  <c r="EN7" i="1" s="1"/>
  <c r="EN8" i="1" s="1"/>
  <c r="EN9" i="1" s="1"/>
  <c r="EN10" i="1" s="1"/>
  <c r="EN11" i="1" s="1"/>
  <c r="EN12" i="1" s="1"/>
  <c r="EN13" i="1" s="1"/>
  <c r="EN14" i="1" s="1"/>
  <c r="EN15" i="1" s="1"/>
  <c r="EM2" i="1"/>
  <c r="EM3" i="1" s="1"/>
  <c r="EM4" i="1" s="1"/>
  <c r="EM5" i="1" s="1"/>
  <c r="EM6" i="1" s="1"/>
  <c r="EM7" i="1" s="1"/>
  <c r="EM8" i="1" s="1"/>
  <c r="EM9" i="1" s="1"/>
  <c r="EM10" i="1" s="1"/>
  <c r="EM11" i="1" s="1"/>
  <c r="EM12" i="1" s="1"/>
  <c r="EM13" i="1" s="1"/>
  <c r="EM14" i="1" s="1"/>
  <c r="EM15" i="1" s="1"/>
  <c r="EL2" i="1"/>
  <c r="EL3" i="1" s="1"/>
  <c r="EL4" i="1" s="1"/>
  <c r="EL5" i="1" s="1"/>
  <c r="EL6" i="1" s="1"/>
  <c r="EL7" i="1" s="1"/>
  <c r="EL8" i="1" s="1"/>
  <c r="EL9" i="1" s="1"/>
  <c r="EL10" i="1" s="1"/>
  <c r="EL11" i="1" s="1"/>
  <c r="EL12" i="1" s="1"/>
  <c r="EL13" i="1" s="1"/>
  <c r="EL14" i="1" s="1"/>
  <c r="EL15" i="1" s="1"/>
  <c r="EK2" i="1"/>
  <c r="EK3" i="1" s="1"/>
  <c r="EK4" i="1" s="1"/>
  <c r="EK5" i="1" s="1"/>
  <c r="EK6" i="1" s="1"/>
  <c r="EK7" i="1" s="1"/>
  <c r="EK8" i="1" s="1"/>
  <c r="EK9" i="1" s="1"/>
  <c r="EK10" i="1" s="1"/>
  <c r="EK11" i="1" s="1"/>
  <c r="EK12" i="1" s="1"/>
  <c r="EK13" i="1" s="1"/>
  <c r="EK14" i="1" s="1"/>
  <c r="EK15" i="1" s="1"/>
  <c r="EJ2" i="1"/>
  <c r="EJ3" i="1" s="1"/>
  <c r="EJ4" i="1" s="1"/>
  <c r="EJ5" i="1" s="1"/>
  <c r="EJ6" i="1" s="1"/>
  <c r="EJ7" i="1" s="1"/>
  <c r="EJ8" i="1" s="1"/>
  <c r="EJ9" i="1" s="1"/>
  <c r="EJ10" i="1" s="1"/>
  <c r="EJ11" i="1" s="1"/>
  <c r="EJ12" i="1" s="1"/>
  <c r="EJ13" i="1" s="1"/>
  <c r="EJ14" i="1" s="1"/>
  <c r="EJ15" i="1" s="1"/>
  <c r="EI2" i="1"/>
  <c r="EI3" i="1" s="1"/>
  <c r="EI4" i="1" s="1"/>
  <c r="EI5" i="1" s="1"/>
  <c r="EI6" i="1" s="1"/>
  <c r="EI7" i="1" s="1"/>
  <c r="EI8" i="1" s="1"/>
  <c r="EI9" i="1" s="1"/>
  <c r="EI10" i="1" s="1"/>
  <c r="EI11" i="1" s="1"/>
  <c r="EI12" i="1" s="1"/>
  <c r="EI13" i="1" s="1"/>
  <c r="EI14" i="1" s="1"/>
  <c r="EI15" i="1" s="1"/>
  <c r="EH2" i="1"/>
  <c r="EH3" i="1" s="1"/>
  <c r="EH4" i="1" s="1"/>
  <c r="EH5" i="1" s="1"/>
  <c r="EH6" i="1" s="1"/>
  <c r="EH7" i="1" s="1"/>
  <c r="EH8" i="1" s="1"/>
  <c r="EH9" i="1" s="1"/>
  <c r="EH10" i="1" s="1"/>
  <c r="EH11" i="1" s="1"/>
  <c r="EH12" i="1" s="1"/>
  <c r="EH13" i="1" s="1"/>
  <c r="EH14" i="1" s="1"/>
  <c r="EH15" i="1" s="1"/>
  <c r="EG2" i="1"/>
  <c r="EG3" i="1" s="1"/>
  <c r="EG4" i="1" s="1"/>
  <c r="EG5" i="1" s="1"/>
  <c r="EG6" i="1" s="1"/>
  <c r="EG7" i="1" s="1"/>
  <c r="EG8" i="1" s="1"/>
  <c r="EG9" i="1" s="1"/>
  <c r="EG10" i="1" s="1"/>
  <c r="EG11" i="1" s="1"/>
  <c r="EG12" i="1" s="1"/>
  <c r="EG13" i="1" s="1"/>
  <c r="EG14" i="1" s="1"/>
  <c r="EG15" i="1" s="1"/>
  <c r="EF2" i="1"/>
  <c r="EF3" i="1" s="1"/>
  <c r="EF4" i="1" s="1"/>
  <c r="EF5" i="1" s="1"/>
  <c r="EF6" i="1" s="1"/>
  <c r="EF7" i="1" s="1"/>
  <c r="EF8" i="1" s="1"/>
  <c r="EF9" i="1" s="1"/>
  <c r="EF10" i="1" s="1"/>
  <c r="EF11" i="1" s="1"/>
  <c r="EF12" i="1" s="1"/>
  <c r="EF13" i="1" s="1"/>
  <c r="EF14" i="1" s="1"/>
  <c r="EF15" i="1" s="1"/>
  <c r="EE2" i="1"/>
  <c r="EE3" i="1" s="1"/>
  <c r="EE4" i="1" s="1"/>
  <c r="EE5" i="1" s="1"/>
  <c r="EE6" i="1" s="1"/>
  <c r="EE7" i="1" s="1"/>
  <c r="EE8" i="1" s="1"/>
  <c r="EE9" i="1" s="1"/>
  <c r="EE10" i="1" s="1"/>
  <c r="EE11" i="1" s="1"/>
  <c r="EE12" i="1" s="1"/>
  <c r="EE13" i="1" s="1"/>
  <c r="EE14" i="1" s="1"/>
  <c r="EE15" i="1" s="1"/>
  <c r="ED2" i="1"/>
  <c r="ED3" i="1" s="1"/>
  <c r="ED4" i="1" s="1"/>
  <c r="ED5" i="1" s="1"/>
  <c r="ED6" i="1" s="1"/>
  <c r="ED7" i="1" s="1"/>
  <c r="ED8" i="1" s="1"/>
  <c r="ED9" i="1" s="1"/>
  <c r="ED10" i="1" s="1"/>
  <c r="ED11" i="1" s="1"/>
  <c r="ED12" i="1" s="1"/>
  <c r="ED13" i="1" s="1"/>
  <c r="ED14" i="1" s="1"/>
  <c r="ED15" i="1" s="1"/>
  <c r="EC2" i="1"/>
  <c r="EC3" i="1" s="1"/>
  <c r="EC4" i="1" s="1"/>
  <c r="EC5" i="1" s="1"/>
  <c r="EC6" i="1" s="1"/>
  <c r="EC7" i="1" s="1"/>
  <c r="EC8" i="1" s="1"/>
  <c r="EC9" i="1" s="1"/>
  <c r="EC10" i="1" s="1"/>
  <c r="EC11" i="1" s="1"/>
  <c r="EC12" i="1" s="1"/>
  <c r="EC13" i="1" s="1"/>
  <c r="EC14" i="1" s="1"/>
  <c r="EC15" i="1" s="1"/>
  <c r="EB2" i="1"/>
  <c r="EB3" i="1" s="1"/>
  <c r="EB4" i="1" s="1"/>
  <c r="EB5" i="1" s="1"/>
  <c r="EB6" i="1" s="1"/>
  <c r="EB7" i="1" s="1"/>
  <c r="EB8" i="1" s="1"/>
  <c r="EB9" i="1" s="1"/>
  <c r="EB10" i="1" s="1"/>
  <c r="EB11" i="1" s="1"/>
  <c r="EB12" i="1" s="1"/>
  <c r="EB13" i="1" s="1"/>
  <c r="EB14" i="1" s="1"/>
  <c r="EB15" i="1" s="1"/>
  <c r="EA2" i="1"/>
  <c r="EA3" i="1" s="1"/>
  <c r="EA4" i="1" s="1"/>
  <c r="EA5" i="1" s="1"/>
  <c r="EA6" i="1" s="1"/>
  <c r="EA7" i="1" s="1"/>
  <c r="EA8" i="1" s="1"/>
  <c r="EA9" i="1" s="1"/>
  <c r="EA10" i="1" s="1"/>
  <c r="EA11" i="1" s="1"/>
  <c r="EA12" i="1" s="1"/>
  <c r="EA13" i="1" s="1"/>
  <c r="EA14" i="1" s="1"/>
  <c r="EA15" i="1" s="1"/>
  <c r="DZ2" i="1"/>
  <c r="DZ3" i="1" s="1"/>
  <c r="DZ4" i="1" s="1"/>
  <c r="DZ5" i="1" s="1"/>
  <c r="DZ6" i="1" s="1"/>
  <c r="DZ7" i="1" s="1"/>
  <c r="DZ8" i="1" s="1"/>
  <c r="DZ9" i="1" s="1"/>
  <c r="DZ10" i="1" s="1"/>
  <c r="DZ11" i="1" s="1"/>
  <c r="DZ12" i="1" s="1"/>
  <c r="DZ13" i="1" s="1"/>
  <c r="DZ14" i="1" s="1"/>
  <c r="DZ15" i="1" s="1"/>
  <c r="DY2" i="1"/>
  <c r="DY3" i="1" s="1"/>
  <c r="DY4" i="1" s="1"/>
  <c r="DY5" i="1" s="1"/>
  <c r="DY6" i="1" s="1"/>
  <c r="DY7" i="1" s="1"/>
  <c r="DY8" i="1" s="1"/>
  <c r="DY9" i="1" s="1"/>
  <c r="DY10" i="1" s="1"/>
  <c r="DY11" i="1" s="1"/>
  <c r="DY12" i="1" s="1"/>
  <c r="DY13" i="1" s="1"/>
  <c r="DY14" i="1" s="1"/>
  <c r="DY15" i="1" s="1"/>
  <c r="DX2" i="1"/>
  <c r="DX3" i="1" s="1"/>
  <c r="DX4" i="1" s="1"/>
  <c r="DX5" i="1" s="1"/>
  <c r="DX6" i="1" s="1"/>
  <c r="DX7" i="1" s="1"/>
  <c r="DX8" i="1" s="1"/>
  <c r="DX9" i="1" s="1"/>
  <c r="DX10" i="1" s="1"/>
  <c r="DX11" i="1" s="1"/>
  <c r="DX12" i="1" s="1"/>
  <c r="DX13" i="1" s="1"/>
  <c r="DX14" i="1" s="1"/>
  <c r="DX15" i="1" s="1"/>
  <c r="DW2" i="1"/>
  <c r="DW3" i="1" s="1"/>
  <c r="DW4" i="1" s="1"/>
  <c r="DW5" i="1" s="1"/>
  <c r="DW6" i="1" s="1"/>
  <c r="DW7" i="1" s="1"/>
  <c r="DW8" i="1" s="1"/>
  <c r="DW9" i="1" s="1"/>
  <c r="DW10" i="1" s="1"/>
  <c r="DW11" i="1" s="1"/>
  <c r="DW12" i="1" s="1"/>
  <c r="DW13" i="1" s="1"/>
  <c r="DW14" i="1" s="1"/>
  <c r="DW15" i="1" s="1"/>
  <c r="DV2" i="1"/>
  <c r="DV3" i="1" s="1"/>
  <c r="DV4" i="1" s="1"/>
  <c r="DV5" i="1" s="1"/>
  <c r="DV6" i="1" s="1"/>
  <c r="DV7" i="1" s="1"/>
  <c r="DV8" i="1" s="1"/>
  <c r="DV9" i="1" s="1"/>
  <c r="DV10" i="1" s="1"/>
  <c r="DV11" i="1" s="1"/>
  <c r="DV12" i="1" s="1"/>
  <c r="DV13" i="1" s="1"/>
  <c r="DV14" i="1" s="1"/>
  <c r="DV15" i="1" s="1"/>
  <c r="DU2" i="1"/>
  <c r="DU3" i="1" s="1"/>
  <c r="DU4" i="1" s="1"/>
  <c r="DU5" i="1" s="1"/>
  <c r="DU6" i="1" s="1"/>
  <c r="DU7" i="1" s="1"/>
  <c r="DU8" i="1" s="1"/>
  <c r="DU9" i="1" s="1"/>
  <c r="DU10" i="1" s="1"/>
  <c r="DU11" i="1" s="1"/>
  <c r="DU12" i="1" s="1"/>
  <c r="DU13" i="1" s="1"/>
  <c r="DU14" i="1" s="1"/>
  <c r="DU15" i="1" s="1"/>
  <c r="DT2" i="1"/>
  <c r="DT3" i="1" s="1"/>
  <c r="DT4" i="1" s="1"/>
  <c r="DT5" i="1" s="1"/>
  <c r="DT6" i="1" s="1"/>
  <c r="DT7" i="1" s="1"/>
  <c r="DT8" i="1" s="1"/>
  <c r="DT9" i="1" s="1"/>
  <c r="DT10" i="1" s="1"/>
  <c r="DT11" i="1" s="1"/>
  <c r="DT12" i="1" s="1"/>
  <c r="DT13" i="1" s="1"/>
  <c r="DT14" i="1" s="1"/>
  <c r="DT15" i="1" s="1"/>
  <c r="DS2" i="1"/>
  <c r="DS3" i="1" s="1"/>
  <c r="DS4" i="1" s="1"/>
  <c r="DS5" i="1" s="1"/>
  <c r="DS6" i="1" s="1"/>
  <c r="DS7" i="1" s="1"/>
  <c r="DS8" i="1" s="1"/>
  <c r="DS9" i="1" s="1"/>
  <c r="DS10" i="1" s="1"/>
  <c r="DS11" i="1" s="1"/>
  <c r="DS12" i="1" s="1"/>
  <c r="DS13" i="1" s="1"/>
  <c r="DS14" i="1" s="1"/>
  <c r="DS15" i="1" s="1"/>
  <c r="DR2" i="1"/>
  <c r="DR3" i="1" s="1"/>
  <c r="DR4" i="1" s="1"/>
  <c r="DR5" i="1" s="1"/>
  <c r="DR6" i="1" s="1"/>
  <c r="DR7" i="1" s="1"/>
  <c r="DR8" i="1" s="1"/>
  <c r="DR9" i="1" s="1"/>
  <c r="DR10" i="1" s="1"/>
  <c r="DR11" i="1" s="1"/>
  <c r="DR12" i="1" s="1"/>
  <c r="DR13" i="1" s="1"/>
  <c r="DR14" i="1" s="1"/>
  <c r="DR15" i="1" s="1"/>
  <c r="DQ2" i="1"/>
  <c r="DQ3" i="1" s="1"/>
  <c r="DQ4" i="1" s="1"/>
  <c r="DQ5" i="1" s="1"/>
  <c r="DQ6" i="1" s="1"/>
  <c r="DQ7" i="1" s="1"/>
  <c r="DQ8" i="1" s="1"/>
  <c r="DQ9" i="1" s="1"/>
  <c r="DQ10" i="1" s="1"/>
  <c r="DQ11" i="1" s="1"/>
  <c r="DQ12" i="1" s="1"/>
  <c r="DQ13" i="1" s="1"/>
  <c r="DQ14" i="1" s="1"/>
  <c r="DQ15" i="1" s="1"/>
  <c r="DP2" i="1"/>
  <c r="DP3" i="1" s="1"/>
  <c r="DP4" i="1" s="1"/>
  <c r="DP5" i="1" s="1"/>
  <c r="DP6" i="1" s="1"/>
  <c r="DP7" i="1" s="1"/>
  <c r="DP8" i="1" s="1"/>
  <c r="DP9" i="1" s="1"/>
  <c r="DP10" i="1" s="1"/>
  <c r="DP11" i="1" s="1"/>
  <c r="DP12" i="1" s="1"/>
  <c r="DP13" i="1" s="1"/>
  <c r="DP14" i="1" s="1"/>
  <c r="DP15" i="1" s="1"/>
  <c r="DO2" i="1"/>
  <c r="DO3" i="1" s="1"/>
  <c r="DO4" i="1" s="1"/>
  <c r="DO5" i="1" s="1"/>
  <c r="DO6" i="1" s="1"/>
  <c r="DO7" i="1" s="1"/>
  <c r="DO8" i="1" s="1"/>
  <c r="DO9" i="1" s="1"/>
  <c r="DO10" i="1" s="1"/>
  <c r="DO11" i="1" s="1"/>
  <c r="DO12" i="1" s="1"/>
  <c r="DO13" i="1" s="1"/>
  <c r="DO14" i="1" s="1"/>
  <c r="DO15" i="1" s="1"/>
  <c r="DN2" i="1"/>
  <c r="DN3" i="1" s="1"/>
  <c r="DN4" i="1" s="1"/>
  <c r="DN5" i="1" s="1"/>
  <c r="DN6" i="1" s="1"/>
  <c r="DN7" i="1" s="1"/>
  <c r="DN8" i="1" s="1"/>
  <c r="DN9" i="1" s="1"/>
  <c r="DN10" i="1" s="1"/>
  <c r="DN11" i="1" s="1"/>
  <c r="DN12" i="1" s="1"/>
  <c r="DN13" i="1" s="1"/>
  <c r="DN14" i="1" s="1"/>
  <c r="DN15" i="1" s="1"/>
  <c r="DM2" i="1"/>
  <c r="DM3" i="1" s="1"/>
  <c r="DM4" i="1" s="1"/>
  <c r="DM5" i="1" s="1"/>
  <c r="DM6" i="1" s="1"/>
  <c r="DM7" i="1" s="1"/>
  <c r="DM8" i="1" s="1"/>
  <c r="DM9" i="1" s="1"/>
  <c r="DM10" i="1" s="1"/>
  <c r="DM11" i="1" s="1"/>
  <c r="DM12" i="1" s="1"/>
  <c r="DM13" i="1" s="1"/>
  <c r="DM14" i="1" s="1"/>
  <c r="DM15" i="1" s="1"/>
  <c r="DL2" i="1"/>
  <c r="DL3" i="1" s="1"/>
  <c r="DL4" i="1" s="1"/>
  <c r="DL5" i="1" s="1"/>
  <c r="DL6" i="1" s="1"/>
  <c r="DL7" i="1" s="1"/>
  <c r="DL8" i="1" s="1"/>
  <c r="DL9" i="1" s="1"/>
  <c r="DL10" i="1" s="1"/>
  <c r="DL11" i="1" s="1"/>
  <c r="DL12" i="1" s="1"/>
  <c r="DL13" i="1" s="1"/>
  <c r="DL14" i="1" s="1"/>
  <c r="DL15" i="1" s="1"/>
  <c r="DK2" i="1"/>
  <c r="DK34" i="1" s="1"/>
  <c r="DI2" i="1"/>
  <c r="DF2" i="1"/>
  <c r="DE2" i="1"/>
  <c r="CY2" i="1"/>
  <c r="CZ2" i="1" s="1"/>
  <c r="CT2" i="1"/>
  <c r="CS2" i="1"/>
  <c r="CN2" i="1"/>
  <c r="CM2" i="1"/>
  <c r="CH2" i="1"/>
  <c r="CG2" i="1"/>
  <c r="CA2" i="1"/>
  <c r="CB2" i="1" s="1"/>
  <c r="BV2" i="1"/>
  <c r="BU2" i="1"/>
  <c r="BP2" i="1"/>
  <c r="BO2" i="1"/>
  <c r="BJ2" i="1"/>
  <c r="BI2" i="1"/>
  <c r="BC2" i="1"/>
  <c r="BD2" i="1" s="1"/>
  <c r="AX2" i="1"/>
  <c r="AW2" i="1"/>
  <c r="AR2" i="1"/>
  <c r="AQ2" i="1"/>
  <c r="AL2" i="1"/>
  <c r="AK2" i="1"/>
  <c r="AE2" i="1"/>
  <c r="AF2" i="1" s="1"/>
  <c r="Z2" i="1"/>
  <c r="Y2" i="1"/>
  <c r="T2" i="1"/>
  <c r="S2" i="1"/>
  <c r="N2" i="1"/>
  <c r="M2" i="1"/>
  <c r="DR17" i="1" l="1"/>
  <c r="DR16" i="1"/>
  <c r="DR18" i="1" s="1"/>
  <c r="DR19" i="1" s="1"/>
  <c r="DR20" i="1" s="1"/>
  <c r="DR21" i="1" s="1"/>
  <c r="DR22" i="1" s="1"/>
  <c r="DR23" i="1" s="1"/>
  <c r="DR24" i="1" s="1"/>
  <c r="DR25" i="1" s="1"/>
  <c r="DR26" i="1" s="1"/>
  <c r="DR27" i="1" s="1"/>
  <c r="DR28" i="1" s="1"/>
  <c r="DR29" i="1" s="1"/>
  <c r="DR30" i="1" s="1"/>
  <c r="DR31" i="1" s="1"/>
  <c r="DR32" i="1" s="1"/>
  <c r="DR33" i="1" s="1"/>
  <c r="DR34" i="1" s="1"/>
  <c r="DR35" i="1" s="1"/>
  <c r="DR36" i="1" s="1"/>
  <c r="DR37" i="1" s="1"/>
  <c r="DR38" i="1" s="1"/>
  <c r="DR39" i="1" s="1"/>
  <c r="DR40" i="1" s="1"/>
  <c r="DR41" i="1" s="1"/>
  <c r="DR42" i="1" s="1"/>
  <c r="DZ17" i="1"/>
  <c r="DZ16" i="1"/>
  <c r="DZ18" i="1" s="1"/>
  <c r="DZ19" i="1" s="1"/>
  <c r="DZ20" i="1" s="1"/>
  <c r="DZ21" i="1" s="1"/>
  <c r="DZ22" i="1" s="1"/>
  <c r="DZ23" i="1" s="1"/>
  <c r="DZ24" i="1" s="1"/>
  <c r="DZ25" i="1" s="1"/>
  <c r="DZ26" i="1" s="1"/>
  <c r="DZ27" i="1" s="1"/>
  <c r="DZ28" i="1" s="1"/>
  <c r="DZ29" i="1" s="1"/>
  <c r="DZ30" i="1" s="1"/>
  <c r="DZ31" i="1" s="1"/>
  <c r="DZ32" i="1" s="1"/>
  <c r="DZ33" i="1" s="1"/>
  <c r="DZ34" i="1" s="1"/>
  <c r="DZ35" i="1" s="1"/>
  <c r="DZ36" i="1" s="1"/>
  <c r="DZ37" i="1" s="1"/>
  <c r="DZ38" i="1" s="1"/>
  <c r="DZ39" i="1" s="1"/>
  <c r="DZ40" i="1" s="1"/>
  <c r="DZ41" i="1" s="1"/>
  <c r="DZ42" i="1" s="1"/>
  <c r="EH17" i="1"/>
  <c r="EH16" i="1"/>
  <c r="EH18" i="1" s="1"/>
  <c r="EH19" i="1" s="1"/>
  <c r="EH20" i="1" s="1"/>
  <c r="EH21" i="1" s="1"/>
  <c r="EH22" i="1" s="1"/>
  <c r="EH23" i="1" s="1"/>
  <c r="EH24" i="1" s="1"/>
  <c r="EH25" i="1" s="1"/>
  <c r="EH26" i="1" s="1"/>
  <c r="EH27" i="1" s="1"/>
  <c r="EH28" i="1" s="1"/>
  <c r="EH29" i="1" s="1"/>
  <c r="EH30" i="1" s="1"/>
  <c r="EH31" i="1" s="1"/>
  <c r="EH32" i="1" s="1"/>
  <c r="EH33" i="1" s="1"/>
  <c r="EH34" i="1" s="1"/>
  <c r="EH35" i="1" s="1"/>
  <c r="EH36" i="1" s="1"/>
  <c r="EH37" i="1" s="1"/>
  <c r="EH38" i="1" s="1"/>
  <c r="EH39" i="1" s="1"/>
  <c r="EH40" i="1" s="1"/>
  <c r="EH41" i="1" s="1"/>
  <c r="EH42" i="1" s="1"/>
  <c r="EP16" i="1"/>
  <c r="EP18" i="1" s="1"/>
  <c r="EP19" i="1" s="1"/>
  <c r="EP20" i="1" s="1"/>
  <c r="EP21" i="1" s="1"/>
  <c r="EP22" i="1" s="1"/>
  <c r="EP23" i="1" s="1"/>
  <c r="EP24" i="1" s="1"/>
  <c r="EP25" i="1" s="1"/>
  <c r="EP26" i="1" s="1"/>
  <c r="EP27" i="1" s="1"/>
  <c r="EP28" i="1" s="1"/>
  <c r="EP29" i="1" s="1"/>
  <c r="EP30" i="1" s="1"/>
  <c r="EP31" i="1" s="1"/>
  <c r="EP32" i="1" s="1"/>
  <c r="EP33" i="1" s="1"/>
  <c r="EP34" i="1" s="1"/>
  <c r="EP35" i="1" s="1"/>
  <c r="EP36" i="1" s="1"/>
  <c r="EP37" i="1" s="1"/>
  <c r="EP38" i="1" s="1"/>
  <c r="EP39" i="1" s="1"/>
  <c r="EP40" i="1" s="1"/>
  <c r="EP41" i="1" s="1"/>
  <c r="EP42" i="1" s="1"/>
  <c r="EP17" i="1"/>
  <c r="EX17" i="1"/>
  <c r="EX16" i="1"/>
  <c r="EX18" i="1" s="1"/>
  <c r="EX19" i="1" s="1"/>
  <c r="EX20" i="1" s="1"/>
  <c r="EX21" i="1" s="1"/>
  <c r="EX22" i="1" s="1"/>
  <c r="EX23" i="1" s="1"/>
  <c r="EX24" i="1" s="1"/>
  <c r="EX25" i="1" s="1"/>
  <c r="EX26" i="1" s="1"/>
  <c r="EX27" i="1" s="1"/>
  <c r="EX28" i="1" s="1"/>
  <c r="EX29" i="1" s="1"/>
  <c r="EX30" i="1" s="1"/>
  <c r="EX31" i="1" s="1"/>
  <c r="EX32" i="1" s="1"/>
  <c r="EX33" i="1" s="1"/>
  <c r="EX34" i="1" s="1"/>
  <c r="EX35" i="1" s="1"/>
  <c r="EX36" i="1" s="1"/>
  <c r="EX37" i="1" s="1"/>
  <c r="EX38" i="1" s="1"/>
  <c r="EX39" i="1" s="1"/>
  <c r="EX40" i="1" s="1"/>
  <c r="EX41" i="1" s="1"/>
  <c r="EX42" i="1" s="1"/>
  <c r="FF17" i="1"/>
  <c r="FF16" i="1"/>
  <c r="FF18" i="1" s="1"/>
  <c r="FF19" i="1" s="1"/>
  <c r="FF20" i="1" s="1"/>
  <c r="FF21" i="1" s="1"/>
  <c r="FF22" i="1" s="1"/>
  <c r="FF23" i="1" s="1"/>
  <c r="FF24" i="1" s="1"/>
  <c r="FF25" i="1" s="1"/>
  <c r="FF26" i="1" s="1"/>
  <c r="FF27" i="1" s="1"/>
  <c r="FF28" i="1" s="1"/>
  <c r="FF29" i="1" s="1"/>
  <c r="FF30" i="1" s="1"/>
  <c r="FF31" i="1" s="1"/>
  <c r="FF32" i="1" s="1"/>
  <c r="FF33" i="1" s="1"/>
  <c r="FF34" i="1" s="1"/>
  <c r="FF35" i="1" s="1"/>
  <c r="FF36" i="1" s="1"/>
  <c r="FF37" i="1" s="1"/>
  <c r="FF38" i="1" s="1"/>
  <c r="FF39" i="1" s="1"/>
  <c r="FF40" i="1" s="1"/>
  <c r="FF41" i="1" s="1"/>
  <c r="FF42" i="1" s="1"/>
  <c r="EI17" i="1"/>
  <c r="EI16" i="1"/>
  <c r="EI18" i="1" s="1"/>
  <c r="EI19" i="1" s="1"/>
  <c r="EI20" i="1" s="1"/>
  <c r="EI21" i="1" s="1"/>
  <c r="EI22" i="1" s="1"/>
  <c r="EI23" i="1" s="1"/>
  <c r="EI24" i="1" s="1"/>
  <c r="EI25" i="1" s="1"/>
  <c r="EI26" i="1" s="1"/>
  <c r="EI27" i="1" s="1"/>
  <c r="EI28" i="1" s="1"/>
  <c r="EI29" i="1" s="1"/>
  <c r="EI30" i="1" s="1"/>
  <c r="EI31" i="1" s="1"/>
  <c r="EI32" i="1" s="1"/>
  <c r="EI33" i="1" s="1"/>
  <c r="EI34" i="1" s="1"/>
  <c r="EI35" i="1" s="1"/>
  <c r="EI36" i="1" s="1"/>
  <c r="EI37" i="1" s="1"/>
  <c r="EI38" i="1" s="1"/>
  <c r="EI39" i="1" s="1"/>
  <c r="EI40" i="1" s="1"/>
  <c r="EI41" i="1" s="1"/>
  <c r="EI42" i="1" s="1"/>
  <c r="DT16" i="1"/>
  <c r="DT18" i="1" s="1"/>
  <c r="DT19" i="1" s="1"/>
  <c r="DT20" i="1" s="1"/>
  <c r="DT21" i="1" s="1"/>
  <c r="DT22" i="1" s="1"/>
  <c r="DT23" i="1" s="1"/>
  <c r="DT24" i="1" s="1"/>
  <c r="DT25" i="1" s="1"/>
  <c r="DT26" i="1" s="1"/>
  <c r="DT27" i="1" s="1"/>
  <c r="DT28" i="1" s="1"/>
  <c r="DT29" i="1" s="1"/>
  <c r="DT30" i="1" s="1"/>
  <c r="DT31" i="1" s="1"/>
  <c r="DT32" i="1" s="1"/>
  <c r="DT33" i="1" s="1"/>
  <c r="DT34" i="1" s="1"/>
  <c r="DT35" i="1" s="1"/>
  <c r="DT36" i="1" s="1"/>
  <c r="DT37" i="1" s="1"/>
  <c r="DT38" i="1" s="1"/>
  <c r="DT39" i="1" s="1"/>
  <c r="DT40" i="1" s="1"/>
  <c r="DT41" i="1" s="1"/>
  <c r="DT42" i="1" s="1"/>
  <c r="DT17" i="1"/>
  <c r="EB17" i="1"/>
  <c r="EB16" i="1"/>
  <c r="EB18" i="1" s="1"/>
  <c r="EB19" i="1" s="1"/>
  <c r="EB20" i="1" s="1"/>
  <c r="EB21" i="1" s="1"/>
  <c r="EB22" i="1" s="1"/>
  <c r="EB23" i="1" s="1"/>
  <c r="EB24" i="1" s="1"/>
  <c r="EB25" i="1" s="1"/>
  <c r="EB26" i="1" s="1"/>
  <c r="EB27" i="1" s="1"/>
  <c r="EB28" i="1" s="1"/>
  <c r="EB29" i="1" s="1"/>
  <c r="EB30" i="1" s="1"/>
  <c r="EB31" i="1" s="1"/>
  <c r="EB32" i="1" s="1"/>
  <c r="EB33" i="1" s="1"/>
  <c r="EB34" i="1" s="1"/>
  <c r="EB35" i="1" s="1"/>
  <c r="EB36" i="1" s="1"/>
  <c r="EB37" i="1" s="1"/>
  <c r="EB38" i="1" s="1"/>
  <c r="EB39" i="1" s="1"/>
  <c r="EB40" i="1" s="1"/>
  <c r="EB41" i="1" s="1"/>
  <c r="EB42" i="1" s="1"/>
  <c r="EJ17" i="1"/>
  <c r="EJ16" i="1"/>
  <c r="EJ18" i="1" s="1"/>
  <c r="EJ19" i="1" s="1"/>
  <c r="EJ20" i="1" s="1"/>
  <c r="EJ21" i="1" s="1"/>
  <c r="EJ22" i="1" s="1"/>
  <c r="EJ23" i="1" s="1"/>
  <c r="EJ24" i="1" s="1"/>
  <c r="EJ25" i="1" s="1"/>
  <c r="EJ26" i="1" s="1"/>
  <c r="EJ27" i="1" s="1"/>
  <c r="EJ28" i="1" s="1"/>
  <c r="EJ29" i="1" s="1"/>
  <c r="EJ30" i="1" s="1"/>
  <c r="EJ31" i="1" s="1"/>
  <c r="EJ32" i="1" s="1"/>
  <c r="EJ33" i="1" s="1"/>
  <c r="EJ34" i="1" s="1"/>
  <c r="EJ35" i="1" s="1"/>
  <c r="EJ36" i="1" s="1"/>
  <c r="EJ37" i="1" s="1"/>
  <c r="EJ38" i="1" s="1"/>
  <c r="EJ39" i="1" s="1"/>
  <c r="EJ40" i="1" s="1"/>
  <c r="EJ41" i="1" s="1"/>
  <c r="EJ42" i="1" s="1"/>
  <c r="ER17" i="1"/>
  <c r="ER16" i="1"/>
  <c r="ER18" i="1" s="1"/>
  <c r="ER19" i="1" s="1"/>
  <c r="ER20" i="1" s="1"/>
  <c r="ER21" i="1" s="1"/>
  <c r="ER22" i="1" s="1"/>
  <c r="ER23" i="1" s="1"/>
  <c r="ER24" i="1" s="1"/>
  <c r="ER25" i="1" s="1"/>
  <c r="ER26" i="1" s="1"/>
  <c r="ER27" i="1" s="1"/>
  <c r="ER28" i="1" s="1"/>
  <c r="ER29" i="1" s="1"/>
  <c r="ER30" i="1" s="1"/>
  <c r="ER31" i="1" s="1"/>
  <c r="ER32" i="1" s="1"/>
  <c r="ER33" i="1" s="1"/>
  <c r="ER34" i="1" s="1"/>
  <c r="ER35" i="1" s="1"/>
  <c r="ER36" i="1" s="1"/>
  <c r="ER37" i="1" s="1"/>
  <c r="ER38" i="1" s="1"/>
  <c r="ER39" i="1" s="1"/>
  <c r="ER40" i="1" s="1"/>
  <c r="ER41" i="1" s="1"/>
  <c r="ER42" i="1" s="1"/>
  <c r="EZ16" i="1"/>
  <c r="EZ18" i="1" s="1"/>
  <c r="EZ19" i="1" s="1"/>
  <c r="EZ20" i="1" s="1"/>
  <c r="EZ21" i="1" s="1"/>
  <c r="EZ22" i="1" s="1"/>
  <c r="EZ23" i="1" s="1"/>
  <c r="EZ24" i="1" s="1"/>
  <c r="EZ25" i="1" s="1"/>
  <c r="EZ26" i="1" s="1"/>
  <c r="EZ27" i="1" s="1"/>
  <c r="EZ28" i="1" s="1"/>
  <c r="EZ29" i="1" s="1"/>
  <c r="EZ30" i="1" s="1"/>
  <c r="EZ31" i="1" s="1"/>
  <c r="EZ32" i="1" s="1"/>
  <c r="EZ33" i="1" s="1"/>
  <c r="EZ34" i="1" s="1"/>
  <c r="EZ35" i="1" s="1"/>
  <c r="EZ36" i="1" s="1"/>
  <c r="EZ37" i="1" s="1"/>
  <c r="EZ38" i="1" s="1"/>
  <c r="EZ39" i="1" s="1"/>
  <c r="EZ40" i="1" s="1"/>
  <c r="EZ41" i="1" s="1"/>
  <c r="EZ42" i="1" s="1"/>
  <c r="EZ17" i="1"/>
  <c r="FH17" i="1"/>
  <c r="FH16" i="1"/>
  <c r="FH18" i="1" s="1"/>
  <c r="FH19" i="1" s="1"/>
  <c r="FH20" i="1" s="1"/>
  <c r="FH21" i="1" s="1"/>
  <c r="FH22" i="1" s="1"/>
  <c r="FH23" i="1" s="1"/>
  <c r="FH24" i="1" s="1"/>
  <c r="FH25" i="1" s="1"/>
  <c r="FH26" i="1" s="1"/>
  <c r="FH27" i="1" s="1"/>
  <c r="FH28" i="1" s="1"/>
  <c r="FH29" i="1" s="1"/>
  <c r="FH30" i="1" s="1"/>
  <c r="FH31" i="1" s="1"/>
  <c r="FH32" i="1" s="1"/>
  <c r="FH33" i="1" s="1"/>
  <c r="FH34" i="1" s="1"/>
  <c r="FH35" i="1" s="1"/>
  <c r="FH36" i="1" s="1"/>
  <c r="FH37" i="1" s="1"/>
  <c r="FH38" i="1" s="1"/>
  <c r="FH39" i="1" s="1"/>
  <c r="FH40" i="1" s="1"/>
  <c r="FH41" i="1" s="1"/>
  <c r="FH42" i="1" s="1"/>
  <c r="EQ16" i="1"/>
  <c r="EQ18" i="1" s="1"/>
  <c r="EQ19" i="1" s="1"/>
  <c r="EQ20" i="1" s="1"/>
  <c r="EQ21" i="1" s="1"/>
  <c r="EQ22" i="1" s="1"/>
  <c r="EQ23" i="1" s="1"/>
  <c r="EQ24" i="1" s="1"/>
  <c r="EQ25" i="1" s="1"/>
  <c r="EQ26" i="1" s="1"/>
  <c r="EQ27" i="1" s="1"/>
  <c r="EQ28" i="1" s="1"/>
  <c r="EQ29" i="1" s="1"/>
  <c r="EQ30" i="1" s="1"/>
  <c r="EQ31" i="1" s="1"/>
  <c r="EQ32" i="1" s="1"/>
  <c r="EQ33" i="1" s="1"/>
  <c r="EQ34" i="1" s="1"/>
  <c r="EQ35" i="1" s="1"/>
  <c r="EQ36" i="1" s="1"/>
  <c r="EQ37" i="1" s="1"/>
  <c r="EQ38" i="1" s="1"/>
  <c r="EQ39" i="1" s="1"/>
  <c r="EQ40" i="1" s="1"/>
  <c r="EQ41" i="1" s="1"/>
  <c r="EQ42" i="1" s="1"/>
  <c r="EQ17" i="1"/>
  <c r="DU17" i="1"/>
  <c r="DU16" i="1"/>
  <c r="DU18" i="1" s="1"/>
  <c r="DU19" i="1" s="1"/>
  <c r="DU20" i="1" s="1"/>
  <c r="DU21" i="1" s="1"/>
  <c r="DU22" i="1" s="1"/>
  <c r="DU23" i="1" s="1"/>
  <c r="DU24" i="1" s="1"/>
  <c r="DU25" i="1" s="1"/>
  <c r="DU26" i="1" s="1"/>
  <c r="DU27" i="1" s="1"/>
  <c r="DU28" i="1" s="1"/>
  <c r="DU29" i="1" s="1"/>
  <c r="DU30" i="1" s="1"/>
  <c r="DU31" i="1" s="1"/>
  <c r="DU32" i="1" s="1"/>
  <c r="DU33" i="1" s="1"/>
  <c r="DU34" i="1" s="1"/>
  <c r="DU35" i="1" s="1"/>
  <c r="DU36" i="1" s="1"/>
  <c r="DU37" i="1" s="1"/>
  <c r="DU38" i="1" s="1"/>
  <c r="DU39" i="1" s="1"/>
  <c r="DU40" i="1" s="1"/>
  <c r="DU41" i="1" s="1"/>
  <c r="DU42" i="1" s="1"/>
  <c r="EK17" i="1"/>
  <c r="EK16" i="1"/>
  <c r="EK18" i="1" s="1"/>
  <c r="EK19" i="1" s="1"/>
  <c r="EK20" i="1" s="1"/>
  <c r="EK21" i="1" s="1"/>
  <c r="EK22" i="1" s="1"/>
  <c r="EK23" i="1" s="1"/>
  <c r="EK24" i="1" s="1"/>
  <c r="EK25" i="1" s="1"/>
  <c r="EK26" i="1" s="1"/>
  <c r="EK27" i="1" s="1"/>
  <c r="EK28" i="1" s="1"/>
  <c r="EK29" i="1" s="1"/>
  <c r="EK30" i="1" s="1"/>
  <c r="EK31" i="1" s="1"/>
  <c r="EK32" i="1" s="1"/>
  <c r="EK33" i="1" s="1"/>
  <c r="EK34" i="1" s="1"/>
  <c r="EK35" i="1" s="1"/>
  <c r="EK36" i="1" s="1"/>
  <c r="EK37" i="1" s="1"/>
  <c r="EK38" i="1" s="1"/>
  <c r="EK39" i="1" s="1"/>
  <c r="EK40" i="1" s="1"/>
  <c r="EK41" i="1" s="1"/>
  <c r="EK42" i="1" s="1"/>
  <c r="ES17" i="1"/>
  <c r="ES16" i="1"/>
  <c r="ES18" i="1" s="1"/>
  <c r="ES19" i="1" s="1"/>
  <c r="ES20" i="1" s="1"/>
  <c r="ES21" i="1" s="1"/>
  <c r="ES22" i="1" s="1"/>
  <c r="ES23" i="1" s="1"/>
  <c r="ES24" i="1" s="1"/>
  <c r="ES25" i="1" s="1"/>
  <c r="ES26" i="1" s="1"/>
  <c r="ES27" i="1" s="1"/>
  <c r="ES28" i="1" s="1"/>
  <c r="ES29" i="1" s="1"/>
  <c r="ES30" i="1" s="1"/>
  <c r="ES31" i="1" s="1"/>
  <c r="ES32" i="1" s="1"/>
  <c r="ES33" i="1" s="1"/>
  <c r="ES34" i="1" s="1"/>
  <c r="ES35" i="1" s="1"/>
  <c r="ES36" i="1" s="1"/>
  <c r="ES37" i="1" s="1"/>
  <c r="ES38" i="1" s="1"/>
  <c r="ES39" i="1" s="1"/>
  <c r="ES40" i="1" s="1"/>
  <c r="ES41" i="1" s="1"/>
  <c r="ES42" i="1" s="1"/>
  <c r="FA17" i="1"/>
  <c r="FA16" i="1"/>
  <c r="FA18" i="1" s="1"/>
  <c r="FA19" i="1" s="1"/>
  <c r="FA20" i="1" s="1"/>
  <c r="FA21" i="1" s="1"/>
  <c r="FA22" i="1" s="1"/>
  <c r="FA23" i="1" s="1"/>
  <c r="FA24" i="1" s="1"/>
  <c r="FA25" i="1" s="1"/>
  <c r="FA26" i="1" s="1"/>
  <c r="FA27" i="1" s="1"/>
  <c r="FA28" i="1" s="1"/>
  <c r="FA29" i="1" s="1"/>
  <c r="FA30" i="1" s="1"/>
  <c r="FA31" i="1" s="1"/>
  <c r="FA32" i="1" s="1"/>
  <c r="FA33" i="1" s="1"/>
  <c r="FA34" i="1" s="1"/>
  <c r="FA35" i="1" s="1"/>
  <c r="FA36" i="1" s="1"/>
  <c r="FA37" i="1" s="1"/>
  <c r="FA38" i="1" s="1"/>
  <c r="FA39" i="1" s="1"/>
  <c r="FA40" i="1" s="1"/>
  <c r="FA41" i="1" s="1"/>
  <c r="FA42" i="1" s="1"/>
  <c r="FI17" i="1"/>
  <c r="FI16" i="1"/>
  <c r="FI18" i="1" s="1"/>
  <c r="FI19" i="1" s="1"/>
  <c r="FI20" i="1" s="1"/>
  <c r="FI21" i="1" s="1"/>
  <c r="FI22" i="1" s="1"/>
  <c r="FI23" i="1" s="1"/>
  <c r="FI24" i="1" s="1"/>
  <c r="FI25" i="1" s="1"/>
  <c r="FI26" i="1" s="1"/>
  <c r="FI27" i="1" s="1"/>
  <c r="FI28" i="1" s="1"/>
  <c r="FI29" i="1" s="1"/>
  <c r="FI30" i="1" s="1"/>
  <c r="FI31" i="1" s="1"/>
  <c r="FI32" i="1" s="1"/>
  <c r="FI33" i="1" s="1"/>
  <c r="FI34" i="1" s="1"/>
  <c r="FI35" i="1" s="1"/>
  <c r="FI36" i="1" s="1"/>
  <c r="FI37" i="1" s="1"/>
  <c r="FI38" i="1" s="1"/>
  <c r="FI39" i="1" s="1"/>
  <c r="FI40" i="1" s="1"/>
  <c r="FI41" i="1" s="1"/>
  <c r="FI42" i="1" s="1"/>
  <c r="EA17" i="1"/>
  <c r="EA16" i="1"/>
  <c r="EA18" i="1" s="1"/>
  <c r="EA19" i="1" s="1"/>
  <c r="EA20" i="1" s="1"/>
  <c r="EA21" i="1" s="1"/>
  <c r="EA22" i="1" s="1"/>
  <c r="EA23" i="1" s="1"/>
  <c r="EA24" i="1" s="1"/>
  <c r="EA25" i="1" s="1"/>
  <c r="EA26" i="1" s="1"/>
  <c r="EA27" i="1" s="1"/>
  <c r="EA28" i="1" s="1"/>
  <c r="EA29" i="1" s="1"/>
  <c r="EA30" i="1" s="1"/>
  <c r="EA31" i="1" s="1"/>
  <c r="EA32" i="1" s="1"/>
  <c r="EA33" i="1" s="1"/>
  <c r="EA34" i="1" s="1"/>
  <c r="EA35" i="1" s="1"/>
  <c r="EA36" i="1" s="1"/>
  <c r="EA37" i="1" s="1"/>
  <c r="EA38" i="1" s="1"/>
  <c r="EA39" i="1" s="1"/>
  <c r="EA40" i="1" s="1"/>
  <c r="EA41" i="1" s="1"/>
  <c r="EA42" i="1" s="1"/>
  <c r="FG17" i="1"/>
  <c r="FG16" i="1"/>
  <c r="FG18" i="1" s="1"/>
  <c r="FG19" i="1" s="1"/>
  <c r="FG20" i="1" s="1"/>
  <c r="FG21" i="1" s="1"/>
  <c r="FG22" i="1" s="1"/>
  <c r="FG23" i="1" s="1"/>
  <c r="FG24" i="1" s="1"/>
  <c r="FG25" i="1" s="1"/>
  <c r="FG26" i="1" s="1"/>
  <c r="FG27" i="1" s="1"/>
  <c r="FG28" i="1" s="1"/>
  <c r="FG29" i="1" s="1"/>
  <c r="FG30" i="1" s="1"/>
  <c r="FG31" i="1" s="1"/>
  <c r="FG32" i="1" s="1"/>
  <c r="FG33" i="1" s="1"/>
  <c r="FG34" i="1" s="1"/>
  <c r="FG35" i="1" s="1"/>
  <c r="FG36" i="1" s="1"/>
  <c r="FG37" i="1" s="1"/>
  <c r="FG38" i="1" s="1"/>
  <c r="FG39" i="1" s="1"/>
  <c r="FG40" i="1" s="1"/>
  <c r="FG41" i="1" s="1"/>
  <c r="FG42" i="1" s="1"/>
  <c r="DL17" i="1"/>
  <c r="DL16" i="1"/>
  <c r="DL18" i="1" s="1"/>
  <c r="DL19" i="1" s="1"/>
  <c r="DL20" i="1" s="1"/>
  <c r="DL21" i="1" s="1"/>
  <c r="DL22" i="1" s="1"/>
  <c r="DL23" i="1" s="1"/>
  <c r="DL24" i="1" s="1"/>
  <c r="DL25" i="1" s="1"/>
  <c r="DL26" i="1" s="1"/>
  <c r="DL27" i="1" s="1"/>
  <c r="DL28" i="1" s="1"/>
  <c r="DL29" i="1" s="1"/>
  <c r="DL30" i="1" s="1"/>
  <c r="DL31" i="1" s="1"/>
  <c r="DL32" i="1" s="1"/>
  <c r="DL33" i="1" s="1"/>
  <c r="DL34" i="1" s="1"/>
  <c r="DL35" i="1" s="1"/>
  <c r="DL36" i="1" s="1"/>
  <c r="DL37" i="1" s="1"/>
  <c r="DL38" i="1" s="1"/>
  <c r="DL39" i="1" s="1"/>
  <c r="DL40" i="1" s="1"/>
  <c r="DL41" i="1" s="1"/>
  <c r="DL42" i="1" s="1"/>
  <c r="DN17" i="1"/>
  <c r="DN16" i="1"/>
  <c r="DN18" i="1" s="1"/>
  <c r="DN19" i="1" s="1"/>
  <c r="DN20" i="1" s="1"/>
  <c r="DN21" i="1" s="1"/>
  <c r="DN22" i="1" s="1"/>
  <c r="DN23" i="1" s="1"/>
  <c r="DN24" i="1" s="1"/>
  <c r="DN25" i="1" s="1"/>
  <c r="DN26" i="1" s="1"/>
  <c r="DN27" i="1" s="1"/>
  <c r="DN28" i="1" s="1"/>
  <c r="DN29" i="1" s="1"/>
  <c r="DN30" i="1" s="1"/>
  <c r="DN31" i="1" s="1"/>
  <c r="DN32" i="1" s="1"/>
  <c r="DN33" i="1" s="1"/>
  <c r="DN34" i="1" s="1"/>
  <c r="DN35" i="1" s="1"/>
  <c r="DN36" i="1" s="1"/>
  <c r="DN37" i="1" s="1"/>
  <c r="DN38" i="1" s="1"/>
  <c r="DN39" i="1" s="1"/>
  <c r="DN40" i="1" s="1"/>
  <c r="DN41" i="1" s="1"/>
  <c r="DN42" i="1" s="1"/>
  <c r="DV17" i="1"/>
  <c r="DV16" i="1"/>
  <c r="DV18" i="1" s="1"/>
  <c r="DV19" i="1" s="1"/>
  <c r="DV20" i="1" s="1"/>
  <c r="DV21" i="1" s="1"/>
  <c r="DV22" i="1" s="1"/>
  <c r="DV23" i="1" s="1"/>
  <c r="DV24" i="1" s="1"/>
  <c r="DV25" i="1" s="1"/>
  <c r="DV26" i="1" s="1"/>
  <c r="DV27" i="1" s="1"/>
  <c r="DV28" i="1" s="1"/>
  <c r="DV29" i="1" s="1"/>
  <c r="DV30" i="1" s="1"/>
  <c r="DV31" i="1" s="1"/>
  <c r="DV32" i="1" s="1"/>
  <c r="DV33" i="1" s="1"/>
  <c r="DV34" i="1" s="1"/>
  <c r="DV35" i="1" s="1"/>
  <c r="DV36" i="1" s="1"/>
  <c r="DV37" i="1" s="1"/>
  <c r="DV38" i="1" s="1"/>
  <c r="DV39" i="1" s="1"/>
  <c r="DV40" i="1" s="1"/>
  <c r="DV41" i="1" s="1"/>
  <c r="DV42" i="1" s="1"/>
  <c r="ED17" i="1"/>
  <c r="ED16" i="1"/>
  <c r="ED18" i="1" s="1"/>
  <c r="ED19" i="1" s="1"/>
  <c r="ED20" i="1" s="1"/>
  <c r="ED21" i="1" s="1"/>
  <c r="ED22" i="1" s="1"/>
  <c r="ED23" i="1" s="1"/>
  <c r="ED24" i="1" s="1"/>
  <c r="ED25" i="1" s="1"/>
  <c r="ED26" i="1" s="1"/>
  <c r="ED27" i="1" s="1"/>
  <c r="ED28" i="1" s="1"/>
  <c r="ED29" i="1" s="1"/>
  <c r="ED30" i="1" s="1"/>
  <c r="ED31" i="1" s="1"/>
  <c r="ED32" i="1" s="1"/>
  <c r="ED33" i="1" s="1"/>
  <c r="ED34" i="1" s="1"/>
  <c r="ED35" i="1" s="1"/>
  <c r="ED36" i="1" s="1"/>
  <c r="ED37" i="1" s="1"/>
  <c r="ED38" i="1" s="1"/>
  <c r="ED39" i="1" s="1"/>
  <c r="ED40" i="1" s="1"/>
  <c r="ED41" i="1" s="1"/>
  <c r="ED42" i="1" s="1"/>
  <c r="EL17" i="1"/>
  <c r="EL16" i="1"/>
  <c r="EL18" i="1" s="1"/>
  <c r="EL19" i="1" s="1"/>
  <c r="EL20" i="1" s="1"/>
  <c r="EL21" i="1" s="1"/>
  <c r="EL22" i="1" s="1"/>
  <c r="EL23" i="1" s="1"/>
  <c r="EL24" i="1" s="1"/>
  <c r="EL25" i="1" s="1"/>
  <c r="EL26" i="1" s="1"/>
  <c r="EL27" i="1" s="1"/>
  <c r="EL28" i="1" s="1"/>
  <c r="EL29" i="1" s="1"/>
  <c r="EL30" i="1" s="1"/>
  <c r="EL31" i="1" s="1"/>
  <c r="EL32" i="1" s="1"/>
  <c r="EL33" i="1" s="1"/>
  <c r="EL34" i="1" s="1"/>
  <c r="EL35" i="1" s="1"/>
  <c r="EL36" i="1" s="1"/>
  <c r="EL37" i="1" s="1"/>
  <c r="EL38" i="1" s="1"/>
  <c r="EL39" i="1" s="1"/>
  <c r="EL40" i="1" s="1"/>
  <c r="EL41" i="1" s="1"/>
  <c r="EL42" i="1" s="1"/>
  <c r="ET17" i="1"/>
  <c r="ET16" i="1"/>
  <c r="ET18" i="1" s="1"/>
  <c r="ET19" i="1" s="1"/>
  <c r="ET20" i="1" s="1"/>
  <c r="ET21" i="1" s="1"/>
  <c r="ET22" i="1" s="1"/>
  <c r="ET23" i="1" s="1"/>
  <c r="ET24" i="1" s="1"/>
  <c r="ET25" i="1" s="1"/>
  <c r="ET26" i="1" s="1"/>
  <c r="ET27" i="1" s="1"/>
  <c r="ET28" i="1" s="1"/>
  <c r="ET29" i="1" s="1"/>
  <c r="ET30" i="1" s="1"/>
  <c r="ET31" i="1" s="1"/>
  <c r="ET32" i="1" s="1"/>
  <c r="ET33" i="1" s="1"/>
  <c r="ET34" i="1" s="1"/>
  <c r="ET35" i="1" s="1"/>
  <c r="ET36" i="1" s="1"/>
  <c r="ET37" i="1" s="1"/>
  <c r="ET38" i="1" s="1"/>
  <c r="ET39" i="1" s="1"/>
  <c r="ET40" i="1" s="1"/>
  <c r="ET41" i="1" s="1"/>
  <c r="ET42" i="1" s="1"/>
  <c r="FB17" i="1"/>
  <c r="FB16" i="1"/>
  <c r="FB18" i="1" s="1"/>
  <c r="FB19" i="1" s="1"/>
  <c r="FB20" i="1" s="1"/>
  <c r="FB21" i="1" s="1"/>
  <c r="FB22" i="1" s="1"/>
  <c r="FB23" i="1" s="1"/>
  <c r="FB24" i="1" s="1"/>
  <c r="FB25" i="1" s="1"/>
  <c r="FB26" i="1" s="1"/>
  <c r="FB27" i="1" s="1"/>
  <c r="FB28" i="1" s="1"/>
  <c r="FB29" i="1" s="1"/>
  <c r="FB30" i="1" s="1"/>
  <c r="FB31" i="1" s="1"/>
  <c r="FB32" i="1" s="1"/>
  <c r="FB33" i="1" s="1"/>
  <c r="FB34" i="1" s="1"/>
  <c r="FB35" i="1" s="1"/>
  <c r="FB36" i="1" s="1"/>
  <c r="FB37" i="1" s="1"/>
  <c r="FB38" i="1" s="1"/>
  <c r="FB39" i="1" s="1"/>
  <c r="FB40" i="1" s="1"/>
  <c r="FB41" i="1" s="1"/>
  <c r="FB42" i="1" s="1"/>
  <c r="FJ17" i="1"/>
  <c r="FJ16" i="1"/>
  <c r="FJ18" i="1" s="1"/>
  <c r="FJ19" i="1" s="1"/>
  <c r="FJ20" i="1" s="1"/>
  <c r="FJ21" i="1" s="1"/>
  <c r="FJ22" i="1" s="1"/>
  <c r="FJ23" i="1" s="1"/>
  <c r="FJ24" i="1" s="1"/>
  <c r="FJ25" i="1" s="1"/>
  <c r="FJ26" i="1" s="1"/>
  <c r="FJ27" i="1" s="1"/>
  <c r="FJ28" i="1" s="1"/>
  <c r="FJ29" i="1" s="1"/>
  <c r="FJ30" i="1" s="1"/>
  <c r="FJ31" i="1" s="1"/>
  <c r="FJ32" i="1" s="1"/>
  <c r="FJ33" i="1" s="1"/>
  <c r="FJ34" i="1" s="1"/>
  <c r="FJ35" i="1" s="1"/>
  <c r="FJ36" i="1" s="1"/>
  <c r="FJ37" i="1" s="1"/>
  <c r="FJ38" i="1" s="1"/>
  <c r="FJ39" i="1" s="1"/>
  <c r="FJ40" i="1" s="1"/>
  <c r="FJ41" i="1" s="1"/>
  <c r="FJ42" i="1" s="1"/>
  <c r="DW16" i="1"/>
  <c r="DW18" i="1" s="1"/>
  <c r="DW19" i="1" s="1"/>
  <c r="DW20" i="1" s="1"/>
  <c r="DW21" i="1" s="1"/>
  <c r="DW22" i="1" s="1"/>
  <c r="DW23" i="1" s="1"/>
  <c r="DW24" i="1" s="1"/>
  <c r="DW25" i="1" s="1"/>
  <c r="DW26" i="1" s="1"/>
  <c r="DW27" i="1" s="1"/>
  <c r="DW28" i="1" s="1"/>
  <c r="DW29" i="1" s="1"/>
  <c r="DW30" i="1" s="1"/>
  <c r="DW31" i="1" s="1"/>
  <c r="DW32" i="1" s="1"/>
  <c r="DW33" i="1" s="1"/>
  <c r="DW34" i="1" s="1"/>
  <c r="DW35" i="1" s="1"/>
  <c r="DW36" i="1" s="1"/>
  <c r="DW37" i="1" s="1"/>
  <c r="DW38" i="1" s="1"/>
  <c r="DW39" i="1" s="1"/>
  <c r="DW40" i="1" s="1"/>
  <c r="DW41" i="1" s="1"/>
  <c r="DW42" i="1" s="1"/>
  <c r="DW17" i="1"/>
  <c r="EE17" i="1"/>
  <c r="EE16" i="1"/>
  <c r="EE18" i="1" s="1"/>
  <c r="EE19" i="1" s="1"/>
  <c r="EE20" i="1" s="1"/>
  <c r="EE21" i="1" s="1"/>
  <c r="EE22" i="1" s="1"/>
  <c r="EE23" i="1" s="1"/>
  <c r="EE24" i="1" s="1"/>
  <c r="EE25" i="1" s="1"/>
  <c r="EE26" i="1" s="1"/>
  <c r="EE27" i="1" s="1"/>
  <c r="EE28" i="1" s="1"/>
  <c r="EE29" i="1" s="1"/>
  <c r="EE30" i="1" s="1"/>
  <c r="EE31" i="1" s="1"/>
  <c r="EE32" i="1" s="1"/>
  <c r="EE33" i="1" s="1"/>
  <c r="EE34" i="1" s="1"/>
  <c r="EE35" i="1" s="1"/>
  <c r="EE36" i="1" s="1"/>
  <c r="EE37" i="1" s="1"/>
  <c r="EE38" i="1" s="1"/>
  <c r="EE39" i="1" s="1"/>
  <c r="EE40" i="1" s="1"/>
  <c r="EE41" i="1" s="1"/>
  <c r="EE42" i="1" s="1"/>
  <c r="EM17" i="1"/>
  <c r="EM16" i="1"/>
  <c r="EM18" i="1" s="1"/>
  <c r="EM19" i="1" s="1"/>
  <c r="EM20" i="1" s="1"/>
  <c r="EM21" i="1" s="1"/>
  <c r="EM22" i="1" s="1"/>
  <c r="EM23" i="1" s="1"/>
  <c r="EM24" i="1" s="1"/>
  <c r="EM25" i="1" s="1"/>
  <c r="EM26" i="1" s="1"/>
  <c r="EM27" i="1" s="1"/>
  <c r="EM28" i="1" s="1"/>
  <c r="EM29" i="1" s="1"/>
  <c r="EM30" i="1" s="1"/>
  <c r="EM31" i="1" s="1"/>
  <c r="EM32" i="1" s="1"/>
  <c r="EM33" i="1" s="1"/>
  <c r="EM34" i="1" s="1"/>
  <c r="EM35" i="1" s="1"/>
  <c r="EM36" i="1" s="1"/>
  <c r="EM37" i="1" s="1"/>
  <c r="EM38" i="1" s="1"/>
  <c r="EM39" i="1" s="1"/>
  <c r="EM40" i="1" s="1"/>
  <c r="EM41" i="1" s="1"/>
  <c r="EM42" i="1" s="1"/>
  <c r="EU17" i="1"/>
  <c r="EU16" i="1"/>
  <c r="EU18" i="1" s="1"/>
  <c r="EU19" i="1" s="1"/>
  <c r="EU20" i="1" s="1"/>
  <c r="EU21" i="1" s="1"/>
  <c r="EU22" i="1" s="1"/>
  <c r="EU23" i="1" s="1"/>
  <c r="EU24" i="1" s="1"/>
  <c r="EU25" i="1" s="1"/>
  <c r="EU26" i="1" s="1"/>
  <c r="EU27" i="1" s="1"/>
  <c r="EU28" i="1" s="1"/>
  <c r="EU29" i="1" s="1"/>
  <c r="EU30" i="1" s="1"/>
  <c r="EU31" i="1" s="1"/>
  <c r="EU32" i="1" s="1"/>
  <c r="EU33" i="1" s="1"/>
  <c r="EU34" i="1" s="1"/>
  <c r="EU35" i="1" s="1"/>
  <c r="EU36" i="1" s="1"/>
  <c r="EU37" i="1" s="1"/>
  <c r="EU38" i="1" s="1"/>
  <c r="EU39" i="1" s="1"/>
  <c r="EU40" i="1" s="1"/>
  <c r="EU41" i="1" s="1"/>
  <c r="EU42" i="1" s="1"/>
  <c r="FC16" i="1"/>
  <c r="FC18" i="1" s="1"/>
  <c r="FC19" i="1" s="1"/>
  <c r="FC20" i="1" s="1"/>
  <c r="FC21" i="1" s="1"/>
  <c r="FC22" i="1" s="1"/>
  <c r="FC23" i="1" s="1"/>
  <c r="FC24" i="1" s="1"/>
  <c r="FC25" i="1" s="1"/>
  <c r="FC26" i="1" s="1"/>
  <c r="FC27" i="1" s="1"/>
  <c r="FC28" i="1" s="1"/>
  <c r="FC29" i="1" s="1"/>
  <c r="FC30" i="1" s="1"/>
  <c r="FC31" i="1" s="1"/>
  <c r="FC32" i="1" s="1"/>
  <c r="FC33" i="1" s="1"/>
  <c r="FC34" i="1" s="1"/>
  <c r="FC35" i="1" s="1"/>
  <c r="FC36" i="1" s="1"/>
  <c r="FC37" i="1" s="1"/>
  <c r="FC38" i="1" s="1"/>
  <c r="FC39" i="1" s="1"/>
  <c r="FC40" i="1" s="1"/>
  <c r="FC41" i="1" s="1"/>
  <c r="FC42" i="1" s="1"/>
  <c r="FC17" i="1"/>
  <c r="DS17" i="1"/>
  <c r="DS16" i="1"/>
  <c r="DS18" i="1" s="1"/>
  <c r="DS19" i="1" s="1"/>
  <c r="DS20" i="1" s="1"/>
  <c r="DS21" i="1" s="1"/>
  <c r="DS22" i="1" s="1"/>
  <c r="DS23" i="1" s="1"/>
  <c r="DS24" i="1" s="1"/>
  <c r="DS25" i="1" s="1"/>
  <c r="DS26" i="1" s="1"/>
  <c r="DS27" i="1" s="1"/>
  <c r="DS28" i="1" s="1"/>
  <c r="DS29" i="1" s="1"/>
  <c r="DS30" i="1" s="1"/>
  <c r="DS31" i="1" s="1"/>
  <c r="DS32" i="1" s="1"/>
  <c r="DS33" i="1" s="1"/>
  <c r="DS34" i="1" s="1"/>
  <c r="DS35" i="1" s="1"/>
  <c r="DS36" i="1" s="1"/>
  <c r="DS37" i="1" s="1"/>
  <c r="DS38" i="1" s="1"/>
  <c r="DS39" i="1" s="1"/>
  <c r="DS40" i="1" s="1"/>
  <c r="DS41" i="1" s="1"/>
  <c r="DS42" i="1" s="1"/>
  <c r="EY17" i="1"/>
  <c r="EY16" i="1"/>
  <c r="EY18" i="1" s="1"/>
  <c r="EY19" i="1" s="1"/>
  <c r="EY20" i="1" s="1"/>
  <c r="EY21" i="1" s="1"/>
  <c r="EY22" i="1" s="1"/>
  <c r="EY23" i="1" s="1"/>
  <c r="EY24" i="1" s="1"/>
  <c r="EY25" i="1" s="1"/>
  <c r="EY26" i="1" s="1"/>
  <c r="EY27" i="1" s="1"/>
  <c r="EY28" i="1" s="1"/>
  <c r="EY29" i="1" s="1"/>
  <c r="EY30" i="1" s="1"/>
  <c r="EY31" i="1" s="1"/>
  <c r="EY32" i="1" s="1"/>
  <c r="EY33" i="1" s="1"/>
  <c r="EY34" i="1" s="1"/>
  <c r="EY35" i="1" s="1"/>
  <c r="EY36" i="1" s="1"/>
  <c r="EY37" i="1" s="1"/>
  <c r="EY38" i="1" s="1"/>
  <c r="EY39" i="1" s="1"/>
  <c r="EY40" i="1" s="1"/>
  <c r="EY41" i="1" s="1"/>
  <c r="EY42" i="1" s="1"/>
  <c r="EC17" i="1"/>
  <c r="EC16" i="1"/>
  <c r="EC18" i="1" s="1"/>
  <c r="EC19" i="1" s="1"/>
  <c r="EC20" i="1" s="1"/>
  <c r="EC21" i="1" s="1"/>
  <c r="EC22" i="1" s="1"/>
  <c r="EC23" i="1" s="1"/>
  <c r="EC24" i="1" s="1"/>
  <c r="EC25" i="1" s="1"/>
  <c r="EC26" i="1" s="1"/>
  <c r="EC27" i="1" s="1"/>
  <c r="EC28" i="1" s="1"/>
  <c r="EC29" i="1" s="1"/>
  <c r="EC30" i="1" s="1"/>
  <c r="EC31" i="1" s="1"/>
  <c r="EC32" i="1" s="1"/>
  <c r="EC33" i="1" s="1"/>
  <c r="EC34" i="1" s="1"/>
  <c r="EC35" i="1" s="1"/>
  <c r="EC36" i="1" s="1"/>
  <c r="EC37" i="1" s="1"/>
  <c r="EC38" i="1" s="1"/>
  <c r="EC39" i="1" s="1"/>
  <c r="EC40" i="1" s="1"/>
  <c r="EC41" i="1" s="1"/>
  <c r="EC42" i="1" s="1"/>
  <c r="DX17" i="1"/>
  <c r="DX16" i="1"/>
  <c r="DX18" i="1" s="1"/>
  <c r="DX19" i="1" s="1"/>
  <c r="DX20" i="1" s="1"/>
  <c r="DX21" i="1" s="1"/>
  <c r="DX22" i="1" s="1"/>
  <c r="DX23" i="1" s="1"/>
  <c r="DX24" i="1" s="1"/>
  <c r="DX25" i="1" s="1"/>
  <c r="DX26" i="1" s="1"/>
  <c r="DX27" i="1" s="1"/>
  <c r="DX28" i="1" s="1"/>
  <c r="DX29" i="1" s="1"/>
  <c r="DX30" i="1" s="1"/>
  <c r="DX31" i="1" s="1"/>
  <c r="DX32" i="1" s="1"/>
  <c r="DX33" i="1" s="1"/>
  <c r="DX34" i="1" s="1"/>
  <c r="DX35" i="1" s="1"/>
  <c r="DX36" i="1" s="1"/>
  <c r="DX37" i="1" s="1"/>
  <c r="DX38" i="1" s="1"/>
  <c r="DX39" i="1" s="1"/>
  <c r="DX40" i="1" s="1"/>
  <c r="DX41" i="1" s="1"/>
  <c r="DX42" i="1" s="1"/>
  <c r="EF16" i="1"/>
  <c r="EF18" i="1" s="1"/>
  <c r="EF19" i="1" s="1"/>
  <c r="EF20" i="1" s="1"/>
  <c r="EF21" i="1" s="1"/>
  <c r="EF22" i="1" s="1"/>
  <c r="EF23" i="1" s="1"/>
  <c r="EF24" i="1" s="1"/>
  <c r="EF25" i="1" s="1"/>
  <c r="EF26" i="1" s="1"/>
  <c r="EF27" i="1" s="1"/>
  <c r="EF28" i="1" s="1"/>
  <c r="EF29" i="1" s="1"/>
  <c r="EF30" i="1" s="1"/>
  <c r="EF31" i="1" s="1"/>
  <c r="EF32" i="1" s="1"/>
  <c r="EF33" i="1" s="1"/>
  <c r="EF34" i="1" s="1"/>
  <c r="EF35" i="1" s="1"/>
  <c r="EF36" i="1" s="1"/>
  <c r="EF37" i="1" s="1"/>
  <c r="EF38" i="1" s="1"/>
  <c r="EF39" i="1" s="1"/>
  <c r="EF40" i="1" s="1"/>
  <c r="EF41" i="1" s="1"/>
  <c r="EF42" i="1" s="1"/>
  <c r="EF17" i="1"/>
  <c r="EN17" i="1"/>
  <c r="EN16" i="1"/>
  <c r="EN18" i="1" s="1"/>
  <c r="EN19" i="1" s="1"/>
  <c r="EN20" i="1" s="1"/>
  <c r="EN21" i="1" s="1"/>
  <c r="EN22" i="1" s="1"/>
  <c r="EN23" i="1" s="1"/>
  <c r="EN24" i="1" s="1"/>
  <c r="EN25" i="1" s="1"/>
  <c r="EN26" i="1" s="1"/>
  <c r="EN27" i="1" s="1"/>
  <c r="EN28" i="1" s="1"/>
  <c r="EN29" i="1" s="1"/>
  <c r="EN30" i="1" s="1"/>
  <c r="EN31" i="1" s="1"/>
  <c r="EN32" i="1" s="1"/>
  <c r="EN33" i="1" s="1"/>
  <c r="EN34" i="1" s="1"/>
  <c r="EN35" i="1" s="1"/>
  <c r="EN36" i="1" s="1"/>
  <c r="EN37" i="1" s="1"/>
  <c r="EN38" i="1" s="1"/>
  <c r="EN39" i="1" s="1"/>
  <c r="EN40" i="1" s="1"/>
  <c r="EN41" i="1" s="1"/>
  <c r="EN42" i="1" s="1"/>
  <c r="EV17" i="1"/>
  <c r="EV16" i="1"/>
  <c r="EV18" i="1" s="1"/>
  <c r="EV19" i="1" s="1"/>
  <c r="EV20" i="1" s="1"/>
  <c r="EV21" i="1" s="1"/>
  <c r="EV22" i="1" s="1"/>
  <c r="EV23" i="1" s="1"/>
  <c r="EV24" i="1" s="1"/>
  <c r="EV25" i="1" s="1"/>
  <c r="EV26" i="1" s="1"/>
  <c r="EV27" i="1" s="1"/>
  <c r="EV28" i="1" s="1"/>
  <c r="EV29" i="1" s="1"/>
  <c r="EV30" i="1" s="1"/>
  <c r="EV31" i="1" s="1"/>
  <c r="EV32" i="1" s="1"/>
  <c r="EV33" i="1" s="1"/>
  <c r="EV34" i="1" s="1"/>
  <c r="EV35" i="1" s="1"/>
  <c r="EV36" i="1" s="1"/>
  <c r="EV37" i="1" s="1"/>
  <c r="EV38" i="1" s="1"/>
  <c r="EV39" i="1" s="1"/>
  <c r="EV40" i="1" s="1"/>
  <c r="EV41" i="1" s="1"/>
  <c r="EV42" i="1" s="1"/>
  <c r="FD17" i="1"/>
  <c r="FD16" i="1"/>
  <c r="FD18" i="1" s="1"/>
  <c r="FD19" i="1" s="1"/>
  <c r="FD20" i="1" s="1"/>
  <c r="FD21" i="1" s="1"/>
  <c r="FD22" i="1" s="1"/>
  <c r="FD23" i="1" s="1"/>
  <c r="FD24" i="1" s="1"/>
  <c r="FD25" i="1" s="1"/>
  <c r="FD26" i="1" s="1"/>
  <c r="FD27" i="1" s="1"/>
  <c r="FD28" i="1" s="1"/>
  <c r="FD29" i="1" s="1"/>
  <c r="FD30" i="1" s="1"/>
  <c r="FD31" i="1" s="1"/>
  <c r="FD32" i="1" s="1"/>
  <c r="FD33" i="1" s="1"/>
  <c r="FD34" i="1" s="1"/>
  <c r="FD35" i="1" s="1"/>
  <c r="FD36" i="1" s="1"/>
  <c r="FD37" i="1" s="1"/>
  <c r="FD38" i="1" s="1"/>
  <c r="FD39" i="1" s="1"/>
  <c r="FD40" i="1" s="1"/>
  <c r="FD41" i="1" s="1"/>
  <c r="FD42" i="1" s="1"/>
  <c r="DM17" i="1"/>
  <c r="DM16" i="1"/>
  <c r="DM18" i="1" s="1"/>
  <c r="DM19" i="1" s="1"/>
  <c r="DM20" i="1" s="1"/>
  <c r="DM21" i="1" s="1"/>
  <c r="DM22" i="1" s="1"/>
  <c r="DM23" i="1" s="1"/>
  <c r="DM24" i="1" s="1"/>
  <c r="DM25" i="1" s="1"/>
  <c r="DM26" i="1" s="1"/>
  <c r="DM27" i="1" s="1"/>
  <c r="DM28" i="1" s="1"/>
  <c r="DM29" i="1" s="1"/>
  <c r="DM30" i="1" s="1"/>
  <c r="DM31" i="1" s="1"/>
  <c r="DM32" i="1" s="1"/>
  <c r="DM33" i="1" s="1"/>
  <c r="DM34" i="1" s="1"/>
  <c r="DM35" i="1" s="1"/>
  <c r="DM36" i="1" s="1"/>
  <c r="DM37" i="1" s="1"/>
  <c r="DM38" i="1" s="1"/>
  <c r="DM39" i="1" s="1"/>
  <c r="DM40" i="1" s="1"/>
  <c r="DM41" i="1" s="1"/>
  <c r="DM42" i="1" s="1"/>
  <c r="DO17" i="1"/>
  <c r="DO16" i="1"/>
  <c r="DO18" i="1" s="1"/>
  <c r="DO19" i="1" s="1"/>
  <c r="DO20" i="1" s="1"/>
  <c r="DO21" i="1" s="1"/>
  <c r="DO22" i="1" s="1"/>
  <c r="DO23" i="1" s="1"/>
  <c r="DO24" i="1" s="1"/>
  <c r="DO25" i="1" s="1"/>
  <c r="DO26" i="1" s="1"/>
  <c r="DO27" i="1" s="1"/>
  <c r="DO28" i="1" s="1"/>
  <c r="DO29" i="1" s="1"/>
  <c r="DO30" i="1" s="1"/>
  <c r="DO31" i="1" s="1"/>
  <c r="DO32" i="1" s="1"/>
  <c r="DO33" i="1" s="1"/>
  <c r="DO34" i="1" s="1"/>
  <c r="DO35" i="1" s="1"/>
  <c r="DO36" i="1" s="1"/>
  <c r="DO37" i="1" s="1"/>
  <c r="DO38" i="1" s="1"/>
  <c r="DO39" i="1" s="1"/>
  <c r="DO40" i="1" s="1"/>
  <c r="DO41" i="1" s="1"/>
  <c r="DO42" i="1" s="1"/>
  <c r="DP17" i="1"/>
  <c r="DP16" i="1"/>
  <c r="DP18" i="1" s="1"/>
  <c r="DP19" i="1" s="1"/>
  <c r="DP20" i="1" s="1"/>
  <c r="DP21" i="1" s="1"/>
  <c r="DP22" i="1" s="1"/>
  <c r="DP23" i="1" s="1"/>
  <c r="DP24" i="1" s="1"/>
  <c r="DP25" i="1" s="1"/>
  <c r="DP26" i="1" s="1"/>
  <c r="DP27" i="1" s="1"/>
  <c r="DP28" i="1" s="1"/>
  <c r="DP29" i="1" s="1"/>
  <c r="DP30" i="1" s="1"/>
  <c r="DP31" i="1" s="1"/>
  <c r="DP32" i="1" s="1"/>
  <c r="DP33" i="1" s="1"/>
  <c r="DP34" i="1" s="1"/>
  <c r="DP35" i="1" s="1"/>
  <c r="DP36" i="1" s="1"/>
  <c r="DP37" i="1" s="1"/>
  <c r="DP38" i="1" s="1"/>
  <c r="DP39" i="1" s="1"/>
  <c r="DP40" i="1" s="1"/>
  <c r="DP41" i="1" s="1"/>
  <c r="DP42" i="1" s="1"/>
  <c r="DQ17" i="1"/>
  <c r="DQ16" i="1"/>
  <c r="DQ18" i="1" s="1"/>
  <c r="DQ19" i="1" s="1"/>
  <c r="DQ20" i="1" s="1"/>
  <c r="DQ21" i="1" s="1"/>
  <c r="DQ22" i="1" s="1"/>
  <c r="DQ23" i="1" s="1"/>
  <c r="DQ24" i="1" s="1"/>
  <c r="DQ25" i="1" s="1"/>
  <c r="DQ26" i="1" s="1"/>
  <c r="DQ27" i="1" s="1"/>
  <c r="DQ28" i="1" s="1"/>
  <c r="DQ29" i="1" s="1"/>
  <c r="DQ30" i="1" s="1"/>
  <c r="DQ31" i="1" s="1"/>
  <c r="DQ32" i="1" s="1"/>
  <c r="DQ33" i="1" s="1"/>
  <c r="DQ34" i="1" s="1"/>
  <c r="DQ35" i="1" s="1"/>
  <c r="DQ36" i="1" s="1"/>
  <c r="DQ37" i="1" s="1"/>
  <c r="DQ38" i="1" s="1"/>
  <c r="DQ39" i="1" s="1"/>
  <c r="DQ40" i="1" s="1"/>
  <c r="DQ41" i="1" s="1"/>
  <c r="DQ42" i="1" s="1"/>
  <c r="DY17" i="1"/>
  <c r="DY16" i="1"/>
  <c r="DY18" i="1" s="1"/>
  <c r="DY19" i="1" s="1"/>
  <c r="DY20" i="1" s="1"/>
  <c r="DY21" i="1" s="1"/>
  <c r="DY22" i="1" s="1"/>
  <c r="DY23" i="1" s="1"/>
  <c r="DY24" i="1" s="1"/>
  <c r="DY25" i="1" s="1"/>
  <c r="DY26" i="1" s="1"/>
  <c r="DY27" i="1" s="1"/>
  <c r="DY28" i="1" s="1"/>
  <c r="DY29" i="1" s="1"/>
  <c r="DY30" i="1" s="1"/>
  <c r="DY31" i="1" s="1"/>
  <c r="DY32" i="1" s="1"/>
  <c r="DY33" i="1" s="1"/>
  <c r="DY34" i="1" s="1"/>
  <c r="DY35" i="1" s="1"/>
  <c r="DY36" i="1" s="1"/>
  <c r="DY37" i="1" s="1"/>
  <c r="DY38" i="1" s="1"/>
  <c r="DY39" i="1" s="1"/>
  <c r="DY40" i="1" s="1"/>
  <c r="DY41" i="1" s="1"/>
  <c r="DY42" i="1" s="1"/>
  <c r="EG16" i="1"/>
  <c r="EG18" i="1" s="1"/>
  <c r="EG19" i="1" s="1"/>
  <c r="EG20" i="1" s="1"/>
  <c r="EG21" i="1" s="1"/>
  <c r="EG22" i="1" s="1"/>
  <c r="EG23" i="1" s="1"/>
  <c r="EG24" i="1" s="1"/>
  <c r="EG25" i="1" s="1"/>
  <c r="EG26" i="1" s="1"/>
  <c r="EG27" i="1" s="1"/>
  <c r="EG28" i="1" s="1"/>
  <c r="EG29" i="1" s="1"/>
  <c r="EG30" i="1" s="1"/>
  <c r="EG31" i="1" s="1"/>
  <c r="EG32" i="1" s="1"/>
  <c r="EG33" i="1" s="1"/>
  <c r="EG34" i="1" s="1"/>
  <c r="EG35" i="1" s="1"/>
  <c r="EG36" i="1" s="1"/>
  <c r="EG37" i="1" s="1"/>
  <c r="EG38" i="1" s="1"/>
  <c r="EG39" i="1" s="1"/>
  <c r="EG40" i="1" s="1"/>
  <c r="EG41" i="1" s="1"/>
  <c r="EG42" i="1" s="1"/>
  <c r="EG17" i="1"/>
  <c r="EO17" i="1"/>
  <c r="EO16" i="1"/>
  <c r="EO18" i="1" s="1"/>
  <c r="EO19" i="1" s="1"/>
  <c r="EO20" i="1" s="1"/>
  <c r="EO21" i="1" s="1"/>
  <c r="EO22" i="1" s="1"/>
  <c r="EO23" i="1" s="1"/>
  <c r="EO24" i="1" s="1"/>
  <c r="EO25" i="1" s="1"/>
  <c r="EO26" i="1" s="1"/>
  <c r="EO27" i="1" s="1"/>
  <c r="EO28" i="1" s="1"/>
  <c r="EO29" i="1" s="1"/>
  <c r="EO30" i="1" s="1"/>
  <c r="EO31" i="1" s="1"/>
  <c r="EO32" i="1" s="1"/>
  <c r="EO33" i="1" s="1"/>
  <c r="EO34" i="1" s="1"/>
  <c r="EO35" i="1" s="1"/>
  <c r="EO36" i="1" s="1"/>
  <c r="EO37" i="1" s="1"/>
  <c r="EO38" i="1" s="1"/>
  <c r="EO39" i="1" s="1"/>
  <c r="EO40" i="1" s="1"/>
  <c r="EO41" i="1" s="1"/>
  <c r="EO42" i="1" s="1"/>
  <c r="EW17" i="1"/>
  <c r="EW16" i="1"/>
  <c r="EW18" i="1" s="1"/>
  <c r="EW19" i="1" s="1"/>
  <c r="EW20" i="1" s="1"/>
  <c r="EW21" i="1" s="1"/>
  <c r="EW22" i="1" s="1"/>
  <c r="EW23" i="1" s="1"/>
  <c r="EW24" i="1" s="1"/>
  <c r="EW25" i="1" s="1"/>
  <c r="EW26" i="1" s="1"/>
  <c r="EW27" i="1" s="1"/>
  <c r="EW28" i="1" s="1"/>
  <c r="EW29" i="1" s="1"/>
  <c r="EW30" i="1" s="1"/>
  <c r="EW31" i="1" s="1"/>
  <c r="EW32" i="1" s="1"/>
  <c r="EW33" i="1" s="1"/>
  <c r="EW34" i="1" s="1"/>
  <c r="EW35" i="1" s="1"/>
  <c r="EW36" i="1" s="1"/>
  <c r="EW37" i="1" s="1"/>
  <c r="EW38" i="1" s="1"/>
  <c r="EW39" i="1" s="1"/>
  <c r="EW40" i="1" s="1"/>
  <c r="EW41" i="1" s="1"/>
  <c r="EW42" i="1" s="1"/>
  <c r="FE17" i="1"/>
  <c r="FE16" i="1"/>
  <c r="FE18" i="1" s="1"/>
  <c r="FE19" i="1" s="1"/>
  <c r="FE20" i="1" s="1"/>
  <c r="FE21" i="1" s="1"/>
  <c r="FE22" i="1" s="1"/>
  <c r="FE23" i="1" s="1"/>
  <c r="FE24" i="1" s="1"/>
  <c r="FE25" i="1" s="1"/>
  <c r="FE26" i="1" s="1"/>
  <c r="FE27" i="1" s="1"/>
  <c r="FE28" i="1" s="1"/>
  <c r="FE29" i="1" s="1"/>
  <c r="FE30" i="1" s="1"/>
  <c r="FE31" i="1" s="1"/>
  <c r="FE32" i="1" s="1"/>
  <c r="FE33" i="1" s="1"/>
  <c r="FE34" i="1" s="1"/>
  <c r="FE35" i="1" s="1"/>
  <c r="FE36" i="1" s="1"/>
  <c r="FE37" i="1" s="1"/>
  <c r="FE38" i="1" s="1"/>
  <c r="FE39" i="1" s="1"/>
  <c r="FE40" i="1" s="1"/>
  <c r="FE41" i="1" s="1"/>
  <c r="FE42" i="1" s="1"/>
  <c r="DJ17" i="1"/>
  <c r="DK19" i="1"/>
  <c r="DJ23" i="1"/>
  <c r="Z24" i="1"/>
  <c r="BJ38" i="1"/>
  <c r="DJ38" i="1"/>
  <c r="N12" i="1"/>
  <c r="N14" i="1"/>
  <c r="DK17" i="1"/>
  <c r="N19" i="1"/>
  <c r="DK23" i="1"/>
  <c r="DJ5" i="1"/>
  <c r="DJ6" i="1"/>
  <c r="DJ7" i="1"/>
  <c r="DJ8" i="1"/>
  <c r="DJ9" i="1"/>
  <c r="DJ10" i="1"/>
  <c r="DJ11" i="1"/>
  <c r="DK33" i="1"/>
  <c r="Z34" i="1"/>
  <c r="DJ34" i="1"/>
  <c r="DJ35" i="1"/>
  <c r="Z35" i="1"/>
  <c r="DJ3" i="1"/>
  <c r="DJ4" i="1"/>
  <c r="DK12" i="1"/>
  <c r="DK11" i="1"/>
  <c r="DK39" i="1"/>
  <c r="DK41" i="1"/>
  <c r="DK38" i="1"/>
  <c r="DK32" i="1"/>
  <c r="DK31" i="1"/>
  <c r="DK30" i="1"/>
  <c r="DK29" i="1"/>
  <c r="DK28" i="1"/>
  <c r="DK27" i="1"/>
  <c r="DK26" i="1"/>
  <c r="DK25" i="1"/>
  <c r="DK37" i="1"/>
  <c r="DK42" i="1"/>
  <c r="DK40" i="1"/>
  <c r="DK36" i="1"/>
  <c r="DK3" i="1"/>
  <c r="DK4" i="1"/>
  <c r="DK5" i="1"/>
  <c r="DK6" i="1"/>
  <c r="DK7" i="1"/>
  <c r="DK8" i="1"/>
  <c r="DK9" i="1"/>
  <c r="DK10" i="1"/>
  <c r="DK13" i="1"/>
  <c r="DK18" i="1"/>
  <c r="DK24" i="1"/>
  <c r="DJ2" i="1"/>
  <c r="DK14" i="1"/>
  <c r="DJ15" i="1"/>
  <c r="DJ21" i="1"/>
  <c r="DK35" i="1"/>
  <c r="DK21" i="1"/>
  <c r="DR17" i="2"/>
  <c r="DR16" i="2"/>
  <c r="DR18" i="2" s="1"/>
  <c r="DR19" i="2" s="1"/>
  <c r="DR20" i="2" s="1"/>
  <c r="DR21" i="2" s="1"/>
  <c r="DR22" i="2" s="1"/>
  <c r="DR23" i="2" s="1"/>
  <c r="DR24" i="2" s="1"/>
  <c r="DR25" i="2" s="1"/>
  <c r="DR26" i="2" s="1"/>
  <c r="DR27" i="2" s="1"/>
  <c r="DR28" i="2" s="1"/>
  <c r="DR29" i="2" s="1"/>
  <c r="DR30" i="2" s="1"/>
  <c r="DR31" i="2" s="1"/>
  <c r="DR32" i="2" s="1"/>
  <c r="DR33" i="2" s="1"/>
  <c r="DR34" i="2" s="1"/>
  <c r="DR35" i="2" s="1"/>
  <c r="DR36" i="2" s="1"/>
  <c r="DR37" i="2" s="1"/>
  <c r="DR38" i="2" s="1"/>
  <c r="DR39" i="2" s="1"/>
  <c r="DR40" i="2" s="1"/>
  <c r="DZ17" i="2"/>
  <c r="DZ16" i="2"/>
  <c r="DZ18" i="2" s="1"/>
  <c r="DZ19" i="2" s="1"/>
  <c r="DZ20" i="2" s="1"/>
  <c r="DZ21" i="2" s="1"/>
  <c r="DZ22" i="2" s="1"/>
  <c r="DZ23" i="2" s="1"/>
  <c r="DZ24" i="2" s="1"/>
  <c r="DZ25" i="2" s="1"/>
  <c r="DZ26" i="2" s="1"/>
  <c r="DZ27" i="2" s="1"/>
  <c r="DZ28" i="2" s="1"/>
  <c r="DZ29" i="2" s="1"/>
  <c r="DZ30" i="2" s="1"/>
  <c r="DZ31" i="2" s="1"/>
  <c r="DZ32" i="2" s="1"/>
  <c r="DZ33" i="2" s="1"/>
  <c r="DZ34" i="2" s="1"/>
  <c r="DZ35" i="2" s="1"/>
  <c r="DZ36" i="2" s="1"/>
  <c r="DZ37" i="2" s="1"/>
  <c r="DZ38" i="2" s="1"/>
  <c r="DZ39" i="2" s="1"/>
  <c r="DZ40" i="2" s="1"/>
  <c r="EH17" i="2"/>
  <c r="EH16" i="2"/>
  <c r="EH18" i="2" s="1"/>
  <c r="EH19" i="2" s="1"/>
  <c r="EH20" i="2" s="1"/>
  <c r="EH21" i="2" s="1"/>
  <c r="EH22" i="2" s="1"/>
  <c r="EH23" i="2" s="1"/>
  <c r="EH24" i="2" s="1"/>
  <c r="EH25" i="2" s="1"/>
  <c r="EH26" i="2" s="1"/>
  <c r="EH27" i="2" s="1"/>
  <c r="EH28" i="2" s="1"/>
  <c r="EH29" i="2" s="1"/>
  <c r="EH30" i="2" s="1"/>
  <c r="EH31" i="2" s="1"/>
  <c r="EH32" i="2" s="1"/>
  <c r="EH33" i="2" s="1"/>
  <c r="EH34" i="2" s="1"/>
  <c r="EH35" i="2" s="1"/>
  <c r="EH36" i="2" s="1"/>
  <c r="EH37" i="2" s="1"/>
  <c r="EH38" i="2" s="1"/>
  <c r="EH39" i="2" s="1"/>
  <c r="EH40" i="2" s="1"/>
  <c r="EP17" i="2"/>
  <c r="EP16" i="2"/>
  <c r="EP18" i="2" s="1"/>
  <c r="EP19" i="2" s="1"/>
  <c r="EP20" i="2" s="1"/>
  <c r="EP21" i="2" s="1"/>
  <c r="EP22" i="2" s="1"/>
  <c r="EP23" i="2" s="1"/>
  <c r="EP24" i="2" s="1"/>
  <c r="EP25" i="2" s="1"/>
  <c r="EP26" i="2" s="1"/>
  <c r="EP27" i="2" s="1"/>
  <c r="EP28" i="2" s="1"/>
  <c r="EP29" i="2" s="1"/>
  <c r="EP30" i="2" s="1"/>
  <c r="EP31" i="2" s="1"/>
  <c r="EP32" i="2" s="1"/>
  <c r="EP33" i="2" s="1"/>
  <c r="EP34" i="2" s="1"/>
  <c r="EP35" i="2" s="1"/>
  <c r="EP36" i="2" s="1"/>
  <c r="EP37" i="2" s="1"/>
  <c r="EP38" i="2" s="1"/>
  <c r="EP39" i="2" s="1"/>
  <c r="EP40" i="2" s="1"/>
  <c r="EX17" i="2"/>
  <c r="EX16" i="2"/>
  <c r="EX18" i="2" s="1"/>
  <c r="EX19" i="2" s="1"/>
  <c r="EX20" i="2" s="1"/>
  <c r="EX21" i="2" s="1"/>
  <c r="EX22" i="2" s="1"/>
  <c r="EX23" i="2" s="1"/>
  <c r="EX24" i="2" s="1"/>
  <c r="EX25" i="2" s="1"/>
  <c r="EX26" i="2" s="1"/>
  <c r="EX27" i="2" s="1"/>
  <c r="EX28" i="2" s="1"/>
  <c r="EX29" i="2" s="1"/>
  <c r="EX30" i="2" s="1"/>
  <c r="EX31" i="2" s="1"/>
  <c r="EX32" i="2" s="1"/>
  <c r="EX33" i="2" s="1"/>
  <c r="EX34" i="2" s="1"/>
  <c r="EX35" i="2" s="1"/>
  <c r="EX36" i="2" s="1"/>
  <c r="EX37" i="2" s="1"/>
  <c r="EX38" i="2" s="1"/>
  <c r="EX39" i="2" s="1"/>
  <c r="EX40" i="2" s="1"/>
  <c r="FF17" i="2"/>
  <c r="FF16" i="2"/>
  <c r="FF18" i="2" s="1"/>
  <c r="FF19" i="2" s="1"/>
  <c r="FF20" i="2" s="1"/>
  <c r="FF21" i="2" s="1"/>
  <c r="FF22" i="2" s="1"/>
  <c r="FF23" i="2" s="1"/>
  <c r="FF24" i="2" s="1"/>
  <c r="FF25" i="2" s="1"/>
  <c r="FF26" i="2" s="1"/>
  <c r="FF27" i="2" s="1"/>
  <c r="FF28" i="2" s="1"/>
  <c r="FF29" i="2" s="1"/>
  <c r="FF30" i="2" s="1"/>
  <c r="FF31" i="2" s="1"/>
  <c r="FF32" i="2" s="1"/>
  <c r="FF33" i="2" s="1"/>
  <c r="FF34" i="2" s="1"/>
  <c r="FF35" i="2" s="1"/>
  <c r="FF36" i="2" s="1"/>
  <c r="FF37" i="2" s="1"/>
  <c r="FF38" i="2" s="1"/>
  <c r="FF39" i="2" s="1"/>
  <c r="FF40" i="2" s="1"/>
  <c r="BP16" i="1"/>
  <c r="DJ20" i="1"/>
  <c r="N40" i="1"/>
  <c r="DJ40" i="1"/>
  <c r="BJ41" i="1"/>
  <c r="DJ41" i="1"/>
  <c r="DK16" i="1"/>
  <c r="DK20" i="1"/>
  <c r="DK22" i="1"/>
  <c r="DM17" i="2"/>
  <c r="DM16" i="2"/>
  <c r="DM18" i="2" s="1"/>
  <c r="DM19" i="2" s="1"/>
  <c r="DM20" i="2" s="1"/>
  <c r="DM21" i="2" s="1"/>
  <c r="DM22" i="2" s="1"/>
  <c r="DM23" i="2" s="1"/>
  <c r="DM24" i="2" s="1"/>
  <c r="DM25" i="2" s="1"/>
  <c r="DM26" i="2" s="1"/>
  <c r="DM27" i="2" s="1"/>
  <c r="DM28" i="2" s="1"/>
  <c r="DM29" i="2" s="1"/>
  <c r="DM30" i="2" s="1"/>
  <c r="DM31" i="2" s="1"/>
  <c r="DM32" i="2" s="1"/>
  <c r="DM33" i="2" s="1"/>
  <c r="DM34" i="2" s="1"/>
  <c r="DM35" i="2" s="1"/>
  <c r="DM36" i="2" s="1"/>
  <c r="DM37" i="2" s="1"/>
  <c r="DM38" i="2" s="1"/>
  <c r="DM39" i="2" s="1"/>
  <c r="DM40" i="2" s="1"/>
  <c r="DU16" i="2"/>
  <c r="DU18" i="2" s="1"/>
  <c r="DU19" i="2" s="1"/>
  <c r="DU20" i="2" s="1"/>
  <c r="DU21" i="2" s="1"/>
  <c r="DU22" i="2" s="1"/>
  <c r="DU23" i="2" s="1"/>
  <c r="DU24" i="2" s="1"/>
  <c r="DU25" i="2" s="1"/>
  <c r="DU26" i="2" s="1"/>
  <c r="DU27" i="2" s="1"/>
  <c r="DU28" i="2" s="1"/>
  <c r="DU29" i="2" s="1"/>
  <c r="DU30" i="2" s="1"/>
  <c r="DU31" i="2" s="1"/>
  <c r="DU32" i="2" s="1"/>
  <c r="DU33" i="2" s="1"/>
  <c r="DU34" i="2" s="1"/>
  <c r="DU35" i="2" s="1"/>
  <c r="DU36" i="2" s="1"/>
  <c r="DU37" i="2" s="1"/>
  <c r="DU38" i="2" s="1"/>
  <c r="DU39" i="2" s="1"/>
  <c r="DU40" i="2" s="1"/>
  <c r="DU17" i="2"/>
  <c r="EC16" i="2"/>
  <c r="EC18" i="2" s="1"/>
  <c r="EC19" i="2" s="1"/>
  <c r="EC20" i="2" s="1"/>
  <c r="EC21" i="2" s="1"/>
  <c r="EC22" i="2" s="1"/>
  <c r="EC23" i="2" s="1"/>
  <c r="EC24" i="2" s="1"/>
  <c r="EC25" i="2" s="1"/>
  <c r="EC26" i="2" s="1"/>
  <c r="EC27" i="2" s="1"/>
  <c r="EC28" i="2" s="1"/>
  <c r="EC29" i="2" s="1"/>
  <c r="EC30" i="2" s="1"/>
  <c r="EC31" i="2" s="1"/>
  <c r="EC32" i="2" s="1"/>
  <c r="EC33" i="2" s="1"/>
  <c r="EC34" i="2" s="1"/>
  <c r="EC35" i="2" s="1"/>
  <c r="EC36" i="2" s="1"/>
  <c r="EC37" i="2" s="1"/>
  <c r="EC38" i="2" s="1"/>
  <c r="EC39" i="2" s="1"/>
  <c r="EC40" i="2" s="1"/>
  <c r="EC17" i="2"/>
  <c r="EK17" i="2"/>
  <c r="EK16" i="2"/>
  <c r="EK18" i="2" s="1"/>
  <c r="EK19" i="2" s="1"/>
  <c r="EK20" i="2" s="1"/>
  <c r="EK21" i="2" s="1"/>
  <c r="EK22" i="2" s="1"/>
  <c r="EK23" i="2" s="1"/>
  <c r="EK24" i="2" s="1"/>
  <c r="EK25" i="2" s="1"/>
  <c r="EK26" i="2" s="1"/>
  <c r="EK27" i="2" s="1"/>
  <c r="EK28" i="2" s="1"/>
  <c r="EK29" i="2" s="1"/>
  <c r="EK30" i="2" s="1"/>
  <c r="EK31" i="2" s="1"/>
  <c r="EK32" i="2" s="1"/>
  <c r="EK33" i="2" s="1"/>
  <c r="EK34" i="2" s="1"/>
  <c r="EK35" i="2" s="1"/>
  <c r="EK36" i="2" s="1"/>
  <c r="EK37" i="2" s="1"/>
  <c r="EK38" i="2" s="1"/>
  <c r="EK39" i="2" s="1"/>
  <c r="EK40" i="2" s="1"/>
  <c r="ES17" i="2"/>
  <c r="ES16" i="2"/>
  <c r="ES18" i="2" s="1"/>
  <c r="ES19" i="2" s="1"/>
  <c r="ES20" i="2" s="1"/>
  <c r="ES21" i="2" s="1"/>
  <c r="ES22" i="2" s="1"/>
  <c r="ES23" i="2" s="1"/>
  <c r="ES24" i="2" s="1"/>
  <c r="ES25" i="2" s="1"/>
  <c r="ES26" i="2" s="1"/>
  <c r="ES27" i="2" s="1"/>
  <c r="ES28" i="2" s="1"/>
  <c r="ES29" i="2" s="1"/>
  <c r="ES30" i="2" s="1"/>
  <c r="ES31" i="2" s="1"/>
  <c r="ES32" i="2" s="1"/>
  <c r="ES33" i="2" s="1"/>
  <c r="ES34" i="2" s="1"/>
  <c r="ES35" i="2" s="1"/>
  <c r="ES36" i="2" s="1"/>
  <c r="ES37" i="2" s="1"/>
  <c r="ES38" i="2" s="1"/>
  <c r="ES39" i="2" s="1"/>
  <c r="ES40" i="2" s="1"/>
  <c r="FA17" i="2"/>
  <c r="FA16" i="2"/>
  <c r="FA18" i="2" s="1"/>
  <c r="FA19" i="2" s="1"/>
  <c r="FA20" i="2" s="1"/>
  <c r="FA21" i="2" s="1"/>
  <c r="FA22" i="2" s="1"/>
  <c r="FA23" i="2" s="1"/>
  <c r="FA24" i="2" s="1"/>
  <c r="FA25" i="2" s="1"/>
  <c r="FA26" i="2" s="1"/>
  <c r="FA27" i="2" s="1"/>
  <c r="FA28" i="2" s="1"/>
  <c r="FA29" i="2" s="1"/>
  <c r="FA30" i="2" s="1"/>
  <c r="FA31" i="2" s="1"/>
  <c r="FA32" i="2" s="1"/>
  <c r="FA33" i="2" s="1"/>
  <c r="FA34" i="2" s="1"/>
  <c r="FA35" i="2" s="1"/>
  <c r="FA36" i="2" s="1"/>
  <c r="FA37" i="2" s="1"/>
  <c r="FA38" i="2" s="1"/>
  <c r="FA39" i="2" s="1"/>
  <c r="FA40" i="2" s="1"/>
  <c r="FI16" i="2"/>
  <c r="FI18" i="2" s="1"/>
  <c r="FI19" i="2" s="1"/>
  <c r="FI20" i="2" s="1"/>
  <c r="FI21" i="2" s="1"/>
  <c r="FI22" i="2" s="1"/>
  <c r="FI23" i="2" s="1"/>
  <c r="FI24" i="2" s="1"/>
  <c r="FI25" i="2" s="1"/>
  <c r="FI26" i="2" s="1"/>
  <c r="FI27" i="2" s="1"/>
  <c r="FI28" i="2" s="1"/>
  <c r="FI29" i="2" s="1"/>
  <c r="FI30" i="2" s="1"/>
  <c r="FI31" i="2" s="1"/>
  <c r="FI32" i="2" s="1"/>
  <c r="FI33" i="2" s="1"/>
  <c r="FI34" i="2" s="1"/>
  <c r="FI35" i="2" s="1"/>
  <c r="FI36" i="2" s="1"/>
  <c r="FI37" i="2" s="1"/>
  <c r="FI38" i="2" s="1"/>
  <c r="FI39" i="2" s="1"/>
  <c r="FI40" i="2" s="1"/>
  <c r="FI17" i="2"/>
  <c r="DJ37" i="1"/>
  <c r="DN17" i="2"/>
  <c r="DN16" i="2"/>
  <c r="DN18" i="2" s="1"/>
  <c r="DN19" i="2" s="1"/>
  <c r="DN20" i="2" s="1"/>
  <c r="DN21" i="2" s="1"/>
  <c r="DN22" i="2" s="1"/>
  <c r="DN23" i="2" s="1"/>
  <c r="DN24" i="2" s="1"/>
  <c r="DN25" i="2" s="1"/>
  <c r="DN26" i="2" s="1"/>
  <c r="DN27" i="2" s="1"/>
  <c r="DN28" i="2" s="1"/>
  <c r="DN29" i="2" s="1"/>
  <c r="DN30" i="2" s="1"/>
  <c r="DN31" i="2" s="1"/>
  <c r="DN32" i="2" s="1"/>
  <c r="DN33" i="2" s="1"/>
  <c r="DN34" i="2" s="1"/>
  <c r="DN35" i="2" s="1"/>
  <c r="DN36" i="2" s="1"/>
  <c r="DN37" i="2" s="1"/>
  <c r="DN38" i="2" s="1"/>
  <c r="DN39" i="2" s="1"/>
  <c r="DN40" i="2" s="1"/>
  <c r="DV17" i="2"/>
  <c r="DV16" i="2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DV30" i="2" s="1"/>
  <c r="DV31" i="2" s="1"/>
  <c r="DV32" i="2" s="1"/>
  <c r="DV33" i="2" s="1"/>
  <c r="DV34" i="2" s="1"/>
  <c r="DV35" i="2" s="1"/>
  <c r="DV36" i="2" s="1"/>
  <c r="DV37" i="2" s="1"/>
  <c r="DV38" i="2" s="1"/>
  <c r="DV39" i="2" s="1"/>
  <c r="DV40" i="2" s="1"/>
  <c r="ED17" i="2"/>
  <c r="ED16" i="2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D35" i="2" s="1"/>
  <c r="ED36" i="2" s="1"/>
  <c r="ED37" i="2" s="1"/>
  <c r="ED38" i="2" s="1"/>
  <c r="ED39" i="2" s="1"/>
  <c r="ED40" i="2" s="1"/>
  <c r="EL17" i="2"/>
  <c r="EL16" i="2"/>
  <c r="EL18" i="2" s="1"/>
  <c r="EL19" i="2" s="1"/>
  <c r="EL20" i="2" s="1"/>
  <c r="EL21" i="2" s="1"/>
  <c r="EL22" i="2" s="1"/>
  <c r="EL23" i="2" s="1"/>
  <c r="EL24" i="2" s="1"/>
  <c r="EL25" i="2" s="1"/>
  <c r="EL26" i="2" s="1"/>
  <c r="EL27" i="2" s="1"/>
  <c r="EL28" i="2" s="1"/>
  <c r="EL29" i="2" s="1"/>
  <c r="EL30" i="2" s="1"/>
  <c r="EL31" i="2" s="1"/>
  <c r="EL32" i="2" s="1"/>
  <c r="EL33" i="2" s="1"/>
  <c r="EL34" i="2" s="1"/>
  <c r="EL35" i="2" s="1"/>
  <c r="EL36" i="2" s="1"/>
  <c r="EL37" i="2" s="1"/>
  <c r="EL38" i="2" s="1"/>
  <c r="EL39" i="2" s="1"/>
  <c r="EL40" i="2" s="1"/>
  <c r="ET17" i="2"/>
  <c r="ET16" i="2"/>
  <c r="ET18" i="2" s="1"/>
  <c r="ET19" i="2" s="1"/>
  <c r="ET20" i="2" s="1"/>
  <c r="ET21" i="2" s="1"/>
  <c r="ET22" i="2" s="1"/>
  <c r="ET23" i="2" s="1"/>
  <c r="ET24" i="2" s="1"/>
  <c r="ET25" i="2" s="1"/>
  <c r="ET26" i="2" s="1"/>
  <c r="ET27" i="2" s="1"/>
  <c r="ET28" i="2" s="1"/>
  <c r="ET29" i="2" s="1"/>
  <c r="ET30" i="2" s="1"/>
  <c r="ET31" i="2" s="1"/>
  <c r="ET32" i="2" s="1"/>
  <c r="ET33" i="2" s="1"/>
  <c r="ET34" i="2" s="1"/>
  <c r="ET35" i="2" s="1"/>
  <c r="ET36" i="2" s="1"/>
  <c r="ET37" i="2" s="1"/>
  <c r="ET38" i="2" s="1"/>
  <c r="ET39" i="2" s="1"/>
  <c r="ET40" i="2" s="1"/>
  <c r="FB17" i="2"/>
  <c r="FB16" i="2"/>
  <c r="FB18" i="2" s="1"/>
  <c r="FB19" i="2" s="1"/>
  <c r="FB20" i="2" s="1"/>
  <c r="FB21" i="2" s="1"/>
  <c r="FB22" i="2" s="1"/>
  <c r="FB23" i="2" s="1"/>
  <c r="FB24" i="2" s="1"/>
  <c r="FB25" i="2" s="1"/>
  <c r="FB26" i="2" s="1"/>
  <c r="FB27" i="2" s="1"/>
  <c r="FB28" i="2" s="1"/>
  <c r="FB29" i="2" s="1"/>
  <c r="FB30" i="2" s="1"/>
  <c r="FB31" i="2" s="1"/>
  <c r="FB32" i="2" s="1"/>
  <c r="FB33" i="2" s="1"/>
  <c r="FB34" i="2" s="1"/>
  <c r="FB35" i="2" s="1"/>
  <c r="FB36" i="2" s="1"/>
  <c r="FB37" i="2" s="1"/>
  <c r="FB38" i="2" s="1"/>
  <c r="FB39" i="2" s="1"/>
  <c r="FB40" i="2" s="1"/>
  <c r="FJ17" i="2"/>
  <c r="FJ16" i="2"/>
  <c r="FJ18" i="2" s="1"/>
  <c r="FJ19" i="2" s="1"/>
  <c r="FJ20" i="2" s="1"/>
  <c r="FJ21" i="2" s="1"/>
  <c r="FJ22" i="2" s="1"/>
  <c r="FJ23" i="2" s="1"/>
  <c r="FJ24" i="2" s="1"/>
  <c r="FJ25" i="2" s="1"/>
  <c r="FJ26" i="2" s="1"/>
  <c r="FJ27" i="2" s="1"/>
  <c r="FJ28" i="2" s="1"/>
  <c r="FJ29" i="2" s="1"/>
  <c r="FJ30" i="2" s="1"/>
  <c r="FJ31" i="2" s="1"/>
  <c r="FJ32" i="2" s="1"/>
  <c r="FJ33" i="2" s="1"/>
  <c r="FJ34" i="2" s="1"/>
  <c r="FJ35" i="2" s="1"/>
  <c r="FJ36" i="2" s="1"/>
  <c r="FJ37" i="2" s="1"/>
  <c r="FJ38" i="2" s="1"/>
  <c r="FJ39" i="2" s="1"/>
  <c r="FJ40" i="2" s="1"/>
  <c r="DO17" i="2"/>
  <c r="DO16" i="2"/>
  <c r="DO18" i="2" s="1"/>
  <c r="DO19" i="2" s="1"/>
  <c r="DO20" i="2" s="1"/>
  <c r="DO21" i="2" s="1"/>
  <c r="DO22" i="2" s="1"/>
  <c r="DO23" i="2" s="1"/>
  <c r="DO24" i="2" s="1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s="1"/>
  <c r="DO36" i="2" s="1"/>
  <c r="DO37" i="2" s="1"/>
  <c r="DO38" i="2" s="1"/>
  <c r="DO39" i="2" s="1"/>
  <c r="DO40" i="2" s="1"/>
  <c r="DW17" i="2"/>
  <c r="DW16" i="2"/>
  <c r="DW18" i="2" s="1"/>
  <c r="DW19" i="2" s="1"/>
  <c r="DW20" i="2" s="1"/>
  <c r="DW21" i="2" s="1"/>
  <c r="DW22" i="2" s="1"/>
  <c r="DW23" i="2" s="1"/>
  <c r="DW24" i="2" s="1"/>
  <c r="DW25" i="2" s="1"/>
  <c r="DW26" i="2" s="1"/>
  <c r="DW27" i="2" s="1"/>
  <c r="DW28" i="2" s="1"/>
  <c r="DW29" i="2" s="1"/>
  <c r="DW30" i="2" s="1"/>
  <c r="DW31" i="2" s="1"/>
  <c r="DW32" i="2" s="1"/>
  <c r="DW33" i="2" s="1"/>
  <c r="DW34" i="2" s="1"/>
  <c r="DW35" i="2" s="1"/>
  <c r="DW36" i="2" s="1"/>
  <c r="DW37" i="2" s="1"/>
  <c r="DW38" i="2" s="1"/>
  <c r="DW39" i="2" s="1"/>
  <c r="DW40" i="2" s="1"/>
  <c r="EE17" i="2"/>
  <c r="EE16" i="2"/>
  <c r="EE18" i="2" s="1"/>
  <c r="EE19" i="2" s="1"/>
  <c r="EE20" i="2" s="1"/>
  <c r="EE21" i="2" s="1"/>
  <c r="EE22" i="2" s="1"/>
  <c r="EE23" i="2" s="1"/>
  <c r="EE24" i="2" s="1"/>
  <c r="EE25" i="2" s="1"/>
  <c r="EE26" i="2" s="1"/>
  <c r="EE27" i="2" s="1"/>
  <c r="EE28" i="2" s="1"/>
  <c r="EE29" i="2" s="1"/>
  <c r="EE30" i="2" s="1"/>
  <c r="EE31" i="2" s="1"/>
  <c r="EE32" i="2" s="1"/>
  <c r="EE33" i="2" s="1"/>
  <c r="EE34" i="2" s="1"/>
  <c r="EE35" i="2" s="1"/>
  <c r="EE36" i="2" s="1"/>
  <c r="EE37" i="2" s="1"/>
  <c r="EE38" i="2" s="1"/>
  <c r="EE39" i="2" s="1"/>
  <c r="EE40" i="2" s="1"/>
  <c r="EM17" i="2"/>
  <c r="EM16" i="2"/>
  <c r="EM18" i="2" s="1"/>
  <c r="EM19" i="2" s="1"/>
  <c r="EM20" i="2" s="1"/>
  <c r="EM21" i="2" s="1"/>
  <c r="EM22" i="2" s="1"/>
  <c r="EM23" i="2" s="1"/>
  <c r="EM24" i="2" s="1"/>
  <c r="EM25" i="2" s="1"/>
  <c r="EM26" i="2" s="1"/>
  <c r="EM27" i="2" s="1"/>
  <c r="EM28" i="2" s="1"/>
  <c r="EM29" i="2" s="1"/>
  <c r="EM30" i="2" s="1"/>
  <c r="EM31" i="2" s="1"/>
  <c r="EM32" i="2" s="1"/>
  <c r="EM33" i="2" s="1"/>
  <c r="EM34" i="2" s="1"/>
  <c r="EM35" i="2" s="1"/>
  <c r="EM36" i="2" s="1"/>
  <c r="EM37" i="2" s="1"/>
  <c r="EM38" i="2" s="1"/>
  <c r="EM39" i="2" s="1"/>
  <c r="EM40" i="2" s="1"/>
  <c r="EU16" i="2"/>
  <c r="EU18" i="2" s="1"/>
  <c r="EU19" i="2" s="1"/>
  <c r="EU20" i="2" s="1"/>
  <c r="EU21" i="2" s="1"/>
  <c r="EU22" i="2" s="1"/>
  <c r="EU23" i="2" s="1"/>
  <c r="EU24" i="2" s="1"/>
  <c r="EU25" i="2" s="1"/>
  <c r="EU26" i="2" s="1"/>
  <c r="EU27" i="2" s="1"/>
  <c r="EU28" i="2" s="1"/>
  <c r="EU29" i="2" s="1"/>
  <c r="EU30" i="2" s="1"/>
  <c r="EU31" i="2" s="1"/>
  <c r="EU32" i="2" s="1"/>
  <c r="EU33" i="2" s="1"/>
  <c r="EU34" i="2" s="1"/>
  <c r="EU35" i="2" s="1"/>
  <c r="EU36" i="2" s="1"/>
  <c r="EU37" i="2" s="1"/>
  <c r="EU38" i="2" s="1"/>
  <c r="EU39" i="2" s="1"/>
  <c r="EU40" i="2" s="1"/>
  <c r="EU17" i="2"/>
  <c r="FC16" i="2"/>
  <c r="FC18" i="2" s="1"/>
  <c r="FC19" i="2" s="1"/>
  <c r="FC20" i="2" s="1"/>
  <c r="FC21" i="2" s="1"/>
  <c r="FC22" i="2" s="1"/>
  <c r="FC23" i="2" s="1"/>
  <c r="FC24" i="2" s="1"/>
  <c r="FC25" i="2" s="1"/>
  <c r="FC26" i="2" s="1"/>
  <c r="FC27" i="2" s="1"/>
  <c r="FC28" i="2" s="1"/>
  <c r="FC29" i="2" s="1"/>
  <c r="FC30" i="2" s="1"/>
  <c r="FC31" i="2" s="1"/>
  <c r="FC32" i="2" s="1"/>
  <c r="FC33" i="2" s="1"/>
  <c r="FC34" i="2" s="1"/>
  <c r="FC35" i="2" s="1"/>
  <c r="FC36" i="2" s="1"/>
  <c r="FC37" i="2" s="1"/>
  <c r="FC38" i="2" s="1"/>
  <c r="FC39" i="2" s="1"/>
  <c r="FC40" i="2" s="1"/>
  <c r="FC17" i="2"/>
  <c r="N42" i="1"/>
  <c r="DJ42" i="1"/>
  <c r="DP16" i="2"/>
  <c r="DP18" i="2" s="1"/>
  <c r="DP19" i="2" s="1"/>
  <c r="DP20" i="2" s="1"/>
  <c r="DP21" i="2" s="1"/>
  <c r="DP22" i="2" s="1"/>
  <c r="DP23" i="2" s="1"/>
  <c r="DP24" i="2" s="1"/>
  <c r="DP25" i="2" s="1"/>
  <c r="DP26" i="2" s="1"/>
  <c r="DP27" i="2" s="1"/>
  <c r="DP28" i="2" s="1"/>
  <c r="DP29" i="2" s="1"/>
  <c r="DP30" i="2" s="1"/>
  <c r="DP31" i="2" s="1"/>
  <c r="DP32" i="2" s="1"/>
  <c r="DP33" i="2" s="1"/>
  <c r="DP34" i="2" s="1"/>
  <c r="DP35" i="2" s="1"/>
  <c r="DP36" i="2" s="1"/>
  <c r="DP37" i="2" s="1"/>
  <c r="DP38" i="2" s="1"/>
  <c r="DP39" i="2" s="1"/>
  <c r="DP40" i="2" s="1"/>
  <c r="DP17" i="2"/>
  <c r="DX17" i="2"/>
  <c r="DX16" i="2"/>
  <c r="DX18" i="2" s="1"/>
  <c r="DX19" i="2" s="1"/>
  <c r="DX20" i="2" s="1"/>
  <c r="DX21" i="2" s="1"/>
  <c r="DX22" i="2" s="1"/>
  <c r="DX23" i="2" s="1"/>
  <c r="DX24" i="2" s="1"/>
  <c r="DX25" i="2" s="1"/>
  <c r="DX26" i="2" s="1"/>
  <c r="DX27" i="2" s="1"/>
  <c r="DX28" i="2" s="1"/>
  <c r="DX29" i="2" s="1"/>
  <c r="DX30" i="2" s="1"/>
  <c r="DX31" i="2" s="1"/>
  <c r="DX32" i="2" s="1"/>
  <c r="DX33" i="2" s="1"/>
  <c r="DX34" i="2" s="1"/>
  <c r="DX35" i="2" s="1"/>
  <c r="DX36" i="2" s="1"/>
  <c r="DX37" i="2" s="1"/>
  <c r="DX38" i="2" s="1"/>
  <c r="DX39" i="2" s="1"/>
  <c r="DX40" i="2" s="1"/>
  <c r="EF17" i="2"/>
  <c r="EF16" i="2"/>
  <c r="EF18" i="2" s="1"/>
  <c r="EF19" i="2" s="1"/>
  <c r="EF20" i="2" s="1"/>
  <c r="EF21" i="2" s="1"/>
  <c r="EF22" i="2" s="1"/>
  <c r="EF23" i="2" s="1"/>
  <c r="EF24" i="2" s="1"/>
  <c r="EF25" i="2" s="1"/>
  <c r="EF26" i="2" s="1"/>
  <c r="EF27" i="2" s="1"/>
  <c r="EF28" i="2" s="1"/>
  <c r="EF29" i="2" s="1"/>
  <c r="EF30" i="2" s="1"/>
  <c r="EF31" i="2" s="1"/>
  <c r="EF32" i="2" s="1"/>
  <c r="EF33" i="2" s="1"/>
  <c r="EF34" i="2" s="1"/>
  <c r="EF35" i="2" s="1"/>
  <c r="EF36" i="2" s="1"/>
  <c r="EF37" i="2" s="1"/>
  <c r="EF38" i="2" s="1"/>
  <c r="EF39" i="2" s="1"/>
  <c r="EF40" i="2" s="1"/>
  <c r="EN17" i="2"/>
  <c r="EN16" i="2"/>
  <c r="EN18" i="2" s="1"/>
  <c r="EN19" i="2" s="1"/>
  <c r="EN20" i="2" s="1"/>
  <c r="EN21" i="2" s="1"/>
  <c r="EN22" i="2" s="1"/>
  <c r="EN23" i="2" s="1"/>
  <c r="EN24" i="2" s="1"/>
  <c r="EN25" i="2" s="1"/>
  <c r="EN26" i="2" s="1"/>
  <c r="EN27" i="2" s="1"/>
  <c r="EN28" i="2" s="1"/>
  <c r="EN29" i="2" s="1"/>
  <c r="EN30" i="2" s="1"/>
  <c r="EN31" i="2" s="1"/>
  <c r="EN32" i="2" s="1"/>
  <c r="EN33" i="2" s="1"/>
  <c r="EN34" i="2" s="1"/>
  <c r="EN35" i="2" s="1"/>
  <c r="EN36" i="2" s="1"/>
  <c r="EN37" i="2" s="1"/>
  <c r="EN38" i="2" s="1"/>
  <c r="EN39" i="2" s="1"/>
  <c r="EN40" i="2" s="1"/>
  <c r="EV16" i="2"/>
  <c r="EV18" i="2" s="1"/>
  <c r="EV19" i="2" s="1"/>
  <c r="EV20" i="2" s="1"/>
  <c r="EV21" i="2" s="1"/>
  <c r="EV22" i="2" s="1"/>
  <c r="EV23" i="2" s="1"/>
  <c r="EV24" i="2" s="1"/>
  <c r="EV25" i="2" s="1"/>
  <c r="EV26" i="2" s="1"/>
  <c r="EV27" i="2" s="1"/>
  <c r="EV28" i="2" s="1"/>
  <c r="EV29" i="2" s="1"/>
  <c r="EV30" i="2" s="1"/>
  <c r="EV31" i="2" s="1"/>
  <c r="EV32" i="2" s="1"/>
  <c r="EV33" i="2" s="1"/>
  <c r="EV34" i="2" s="1"/>
  <c r="EV35" i="2" s="1"/>
  <c r="EV36" i="2" s="1"/>
  <c r="EV37" i="2" s="1"/>
  <c r="EV38" i="2" s="1"/>
  <c r="EV39" i="2" s="1"/>
  <c r="EV40" i="2" s="1"/>
  <c r="EV17" i="2"/>
  <c r="FD16" i="2"/>
  <c r="FD18" i="2" s="1"/>
  <c r="FD19" i="2" s="1"/>
  <c r="FD20" i="2" s="1"/>
  <c r="FD21" i="2" s="1"/>
  <c r="FD22" i="2" s="1"/>
  <c r="FD23" i="2" s="1"/>
  <c r="FD24" i="2" s="1"/>
  <c r="FD25" i="2" s="1"/>
  <c r="FD26" i="2" s="1"/>
  <c r="FD27" i="2" s="1"/>
  <c r="FD28" i="2" s="1"/>
  <c r="FD29" i="2" s="1"/>
  <c r="FD30" i="2" s="1"/>
  <c r="FD31" i="2" s="1"/>
  <c r="FD32" i="2" s="1"/>
  <c r="FD33" i="2" s="1"/>
  <c r="FD34" i="2" s="1"/>
  <c r="FD35" i="2" s="1"/>
  <c r="FD36" i="2" s="1"/>
  <c r="FD37" i="2" s="1"/>
  <c r="FD38" i="2" s="1"/>
  <c r="FD39" i="2" s="1"/>
  <c r="FD40" i="2" s="1"/>
  <c r="FD17" i="2"/>
  <c r="DQ16" i="2"/>
  <c r="DQ18" i="2" s="1"/>
  <c r="DQ19" i="2" s="1"/>
  <c r="DQ20" i="2" s="1"/>
  <c r="DQ21" i="2" s="1"/>
  <c r="DQ22" i="2" s="1"/>
  <c r="DQ23" i="2" s="1"/>
  <c r="DQ24" i="2" s="1"/>
  <c r="DQ25" i="2" s="1"/>
  <c r="DQ26" i="2" s="1"/>
  <c r="DQ27" i="2" s="1"/>
  <c r="DQ28" i="2" s="1"/>
  <c r="DQ29" i="2" s="1"/>
  <c r="DQ30" i="2" s="1"/>
  <c r="DQ31" i="2" s="1"/>
  <c r="DQ32" i="2" s="1"/>
  <c r="DQ33" i="2" s="1"/>
  <c r="DQ34" i="2" s="1"/>
  <c r="DQ35" i="2" s="1"/>
  <c r="DQ36" i="2" s="1"/>
  <c r="DQ37" i="2" s="1"/>
  <c r="DQ38" i="2" s="1"/>
  <c r="DQ39" i="2" s="1"/>
  <c r="DQ40" i="2" s="1"/>
  <c r="DQ17" i="2"/>
  <c r="DY17" i="2"/>
  <c r="DY16" i="2"/>
  <c r="DY18" i="2" s="1"/>
  <c r="DY19" i="2" s="1"/>
  <c r="DY20" i="2" s="1"/>
  <c r="DY21" i="2" s="1"/>
  <c r="DY22" i="2" s="1"/>
  <c r="DY23" i="2" s="1"/>
  <c r="DY24" i="2" s="1"/>
  <c r="DY25" i="2" s="1"/>
  <c r="DY26" i="2" s="1"/>
  <c r="DY27" i="2" s="1"/>
  <c r="DY28" i="2" s="1"/>
  <c r="DY29" i="2" s="1"/>
  <c r="DY30" i="2" s="1"/>
  <c r="DY31" i="2" s="1"/>
  <c r="DY32" i="2" s="1"/>
  <c r="DY33" i="2" s="1"/>
  <c r="DY34" i="2" s="1"/>
  <c r="DY35" i="2" s="1"/>
  <c r="DY36" i="2" s="1"/>
  <c r="DY37" i="2" s="1"/>
  <c r="DY38" i="2" s="1"/>
  <c r="DY39" i="2" s="1"/>
  <c r="DY40" i="2" s="1"/>
  <c r="EG16" i="2"/>
  <c r="EG18" i="2" s="1"/>
  <c r="EG19" i="2" s="1"/>
  <c r="EG20" i="2" s="1"/>
  <c r="EG21" i="2" s="1"/>
  <c r="EG22" i="2" s="1"/>
  <c r="EG23" i="2" s="1"/>
  <c r="EG24" i="2" s="1"/>
  <c r="EG25" i="2" s="1"/>
  <c r="EG26" i="2" s="1"/>
  <c r="EG27" i="2" s="1"/>
  <c r="EG28" i="2" s="1"/>
  <c r="EG29" i="2" s="1"/>
  <c r="EG30" i="2" s="1"/>
  <c r="EG31" i="2" s="1"/>
  <c r="EG32" i="2" s="1"/>
  <c r="EG33" i="2" s="1"/>
  <c r="EG34" i="2" s="1"/>
  <c r="EG35" i="2" s="1"/>
  <c r="EG36" i="2" s="1"/>
  <c r="EG37" i="2" s="1"/>
  <c r="EG38" i="2" s="1"/>
  <c r="EG39" i="2" s="1"/>
  <c r="EG40" i="2" s="1"/>
  <c r="EG17" i="2"/>
  <c r="EO16" i="2"/>
  <c r="EO18" i="2" s="1"/>
  <c r="EO19" i="2" s="1"/>
  <c r="EO20" i="2" s="1"/>
  <c r="EO21" i="2" s="1"/>
  <c r="EO22" i="2" s="1"/>
  <c r="EO23" i="2" s="1"/>
  <c r="EO24" i="2" s="1"/>
  <c r="EO25" i="2" s="1"/>
  <c r="EO26" i="2" s="1"/>
  <c r="EO27" i="2" s="1"/>
  <c r="EO28" i="2" s="1"/>
  <c r="EO29" i="2" s="1"/>
  <c r="EO30" i="2" s="1"/>
  <c r="EO31" i="2" s="1"/>
  <c r="EO32" i="2" s="1"/>
  <c r="EO33" i="2" s="1"/>
  <c r="EO34" i="2" s="1"/>
  <c r="EO35" i="2" s="1"/>
  <c r="EO36" i="2" s="1"/>
  <c r="EO37" i="2" s="1"/>
  <c r="EO38" i="2" s="1"/>
  <c r="EO39" i="2" s="1"/>
  <c r="EO40" i="2" s="1"/>
  <c r="EO17" i="2"/>
  <c r="EW16" i="2"/>
  <c r="EW18" i="2" s="1"/>
  <c r="EW19" i="2" s="1"/>
  <c r="EW20" i="2" s="1"/>
  <c r="EW21" i="2" s="1"/>
  <c r="EW22" i="2" s="1"/>
  <c r="EW23" i="2" s="1"/>
  <c r="EW24" i="2" s="1"/>
  <c r="EW25" i="2" s="1"/>
  <c r="EW26" i="2" s="1"/>
  <c r="EW27" i="2" s="1"/>
  <c r="EW28" i="2" s="1"/>
  <c r="EW29" i="2" s="1"/>
  <c r="EW30" i="2" s="1"/>
  <c r="EW31" i="2" s="1"/>
  <c r="EW32" i="2" s="1"/>
  <c r="EW33" i="2" s="1"/>
  <c r="EW34" i="2" s="1"/>
  <c r="EW35" i="2" s="1"/>
  <c r="EW36" i="2" s="1"/>
  <c r="EW37" i="2" s="1"/>
  <c r="EW38" i="2" s="1"/>
  <c r="EW39" i="2" s="1"/>
  <c r="EW40" i="2" s="1"/>
  <c r="EW17" i="2"/>
  <c r="FE17" i="2"/>
  <c r="FE16" i="2"/>
  <c r="FE18" i="2" s="1"/>
  <c r="FE19" i="2" s="1"/>
  <c r="FE20" i="2" s="1"/>
  <c r="FE21" i="2" s="1"/>
  <c r="FE22" i="2" s="1"/>
  <c r="FE23" i="2" s="1"/>
  <c r="FE24" i="2" s="1"/>
  <c r="FE25" i="2" s="1"/>
  <c r="FE26" i="2" s="1"/>
  <c r="FE27" i="2" s="1"/>
  <c r="FE28" i="2" s="1"/>
  <c r="FE29" i="2" s="1"/>
  <c r="FE30" i="2" s="1"/>
  <c r="FE31" i="2" s="1"/>
  <c r="FE32" i="2" s="1"/>
  <c r="FE33" i="2" s="1"/>
  <c r="FE34" i="2" s="1"/>
  <c r="FE35" i="2" s="1"/>
  <c r="FE36" i="2" s="1"/>
  <c r="FE37" i="2" s="1"/>
  <c r="FE38" i="2" s="1"/>
  <c r="FE39" i="2" s="1"/>
  <c r="FE40" i="2" s="1"/>
  <c r="DS17" i="2"/>
  <c r="DS16" i="2"/>
  <c r="DS18" i="2" s="1"/>
  <c r="DS19" i="2" s="1"/>
  <c r="DS20" i="2" s="1"/>
  <c r="DS21" i="2" s="1"/>
  <c r="DS22" i="2" s="1"/>
  <c r="DS23" i="2" s="1"/>
  <c r="DS24" i="2" s="1"/>
  <c r="DS25" i="2" s="1"/>
  <c r="DS26" i="2" s="1"/>
  <c r="DS27" i="2" s="1"/>
  <c r="DS28" i="2" s="1"/>
  <c r="DS29" i="2" s="1"/>
  <c r="DS30" i="2" s="1"/>
  <c r="DS31" i="2" s="1"/>
  <c r="DS32" i="2" s="1"/>
  <c r="DS33" i="2" s="1"/>
  <c r="DS34" i="2" s="1"/>
  <c r="DS35" i="2" s="1"/>
  <c r="DS36" i="2" s="1"/>
  <c r="DS37" i="2" s="1"/>
  <c r="DS38" i="2" s="1"/>
  <c r="DS39" i="2" s="1"/>
  <c r="DS40" i="2" s="1"/>
  <c r="EA17" i="2"/>
  <c r="EA16" i="2"/>
  <c r="EA18" i="2" s="1"/>
  <c r="EA19" i="2" s="1"/>
  <c r="EA20" i="2" s="1"/>
  <c r="EA21" i="2" s="1"/>
  <c r="EA22" i="2" s="1"/>
  <c r="EA23" i="2" s="1"/>
  <c r="EA24" i="2" s="1"/>
  <c r="EA25" i="2" s="1"/>
  <c r="EA26" i="2" s="1"/>
  <c r="EA27" i="2" s="1"/>
  <c r="EA28" i="2" s="1"/>
  <c r="EA29" i="2" s="1"/>
  <c r="EA30" i="2" s="1"/>
  <c r="EA31" i="2" s="1"/>
  <c r="EA32" i="2" s="1"/>
  <c r="EA33" i="2" s="1"/>
  <c r="EA34" i="2" s="1"/>
  <c r="EA35" i="2" s="1"/>
  <c r="EA36" i="2" s="1"/>
  <c r="EA37" i="2" s="1"/>
  <c r="EA38" i="2" s="1"/>
  <c r="EA39" i="2" s="1"/>
  <c r="EA40" i="2" s="1"/>
  <c r="EI17" i="2"/>
  <c r="EI16" i="2"/>
  <c r="EI18" i="2" s="1"/>
  <c r="EI19" i="2" s="1"/>
  <c r="EI20" i="2" s="1"/>
  <c r="EI21" i="2" s="1"/>
  <c r="EI22" i="2" s="1"/>
  <c r="EI23" i="2" s="1"/>
  <c r="EI24" i="2" s="1"/>
  <c r="EI25" i="2" s="1"/>
  <c r="EI26" i="2" s="1"/>
  <c r="EI27" i="2" s="1"/>
  <c r="EI28" i="2" s="1"/>
  <c r="EI29" i="2" s="1"/>
  <c r="EI30" i="2" s="1"/>
  <c r="EI31" i="2" s="1"/>
  <c r="EI32" i="2" s="1"/>
  <c r="EI33" i="2" s="1"/>
  <c r="EI34" i="2" s="1"/>
  <c r="EI35" i="2" s="1"/>
  <c r="EI36" i="2" s="1"/>
  <c r="EI37" i="2" s="1"/>
  <c r="EI38" i="2" s="1"/>
  <c r="EI39" i="2" s="1"/>
  <c r="EI40" i="2" s="1"/>
  <c r="EQ16" i="2"/>
  <c r="EQ18" i="2" s="1"/>
  <c r="EQ19" i="2" s="1"/>
  <c r="EQ20" i="2" s="1"/>
  <c r="EQ21" i="2" s="1"/>
  <c r="EQ22" i="2" s="1"/>
  <c r="EQ23" i="2" s="1"/>
  <c r="EQ24" i="2" s="1"/>
  <c r="EQ25" i="2" s="1"/>
  <c r="EQ26" i="2" s="1"/>
  <c r="EQ27" i="2" s="1"/>
  <c r="EQ28" i="2" s="1"/>
  <c r="EQ29" i="2" s="1"/>
  <c r="EQ30" i="2" s="1"/>
  <c r="EQ31" i="2" s="1"/>
  <c r="EQ32" i="2" s="1"/>
  <c r="EQ33" i="2" s="1"/>
  <c r="EQ34" i="2" s="1"/>
  <c r="EQ35" i="2" s="1"/>
  <c r="EQ36" i="2" s="1"/>
  <c r="EQ37" i="2" s="1"/>
  <c r="EQ38" i="2" s="1"/>
  <c r="EQ39" i="2" s="1"/>
  <c r="EQ40" i="2" s="1"/>
  <c r="EQ17" i="2"/>
  <c r="EY16" i="2"/>
  <c r="EY18" i="2" s="1"/>
  <c r="EY19" i="2" s="1"/>
  <c r="EY20" i="2" s="1"/>
  <c r="EY21" i="2" s="1"/>
  <c r="EY22" i="2" s="1"/>
  <c r="EY23" i="2" s="1"/>
  <c r="EY24" i="2" s="1"/>
  <c r="EY25" i="2" s="1"/>
  <c r="EY26" i="2" s="1"/>
  <c r="EY27" i="2" s="1"/>
  <c r="EY28" i="2" s="1"/>
  <c r="EY29" i="2" s="1"/>
  <c r="EY30" i="2" s="1"/>
  <c r="EY31" i="2" s="1"/>
  <c r="EY32" i="2" s="1"/>
  <c r="EY33" i="2" s="1"/>
  <c r="EY34" i="2" s="1"/>
  <c r="EY35" i="2" s="1"/>
  <c r="EY36" i="2" s="1"/>
  <c r="EY37" i="2" s="1"/>
  <c r="EY38" i="2" s="1"/>
  <c r="EY39" i="2" s="1"/>
  <c r="EY40" i="2" s="1"/>
  <c r="EY17" i="2"/>
  <c r="FG16" i="2"/>
  <c r="FG18" i="2" s="1"/>
  <c r="FG19" i="2" s="1"/>
  <c r="FG20" i="2" s="1"/>
  <c r="FG21" i="2" s="1"/>
  <c r="FG22" i="2" s="1"/>
  <c r="FG23" i="2" s="1"/>
  <c r="FG24" i="2" s="1"/>
  <c r="FG25" i="2" s="1"/>
  <c r="FG26" i="2" s="1"/>
  <c r="FG27" i="2" s="1"/>
  <c r="FG28" i="2" s="1"/>
  <c r="FG29" i="2" s="1"/>
  <c r="FG30" i="2" s="1"/>
  <c r="FG31" i="2" s="1"/>
  <c r="FG32" i="2" s="1"/>
  <c r="FG33" i="2" s="1"/>
  <c r="FG34" i="2" s="1"/>
  <c r="FG35" i="2" s="1"/>
  <c r="FG36" i="2" s="1"/>
  <c r="FG37" i="2" s="1"/>
  <c r="FG38" i="2" s="1"/>
  <c r="FG39" i="2" s="1"/>
  <c r="FG40" i="2" s="1"/>
  <c r="FG17" i="2"/>
  <c r="DJ36" i="1"/>
  <c r="DJ2" i="2"/>
  <c r="N2" i="2"/>
  <c r="DL17" i="2"/>
  <c r="DL16" i="2"/>
  <c r="DL18" i="2" s="1"/>
  <c r="DL19" i="2" s="1"/>
  <c r="DL20" i="2" s="1"/>
  <c r="DL21" i="2" s="1"/>
  <c r="DL22" i="2" s="1"/>
  <c r="DL23" i="2" s="1"/>
  <c r="DL24" i="2" s="1"/>
  <c r="DL25" i="2" s="1"/>
  <c r="DL26" i="2" s="1"/>
  <c r="DL27" i="2" s="1"/>
  <c r="DL28" i="2" s="1"/>
  <c r="DL29" i="2" s="1"/>
  <c r="DL30" i="2" s="1"/>
  <c r="DL31" i="2" s="1"/>
  <c r="DL32" i="2" s="1"/>
  <c r="DL33" i="2" s="1"/>
  <c r="DL34" i="2" s="1"/>
  <c r="DL35" i="2" s="1"/>
  <c r="DL36" i="2" s="1"/>
  <c r="DL37" i="2" s="1"/>
  <c r="DL38" i="2" s="1"/>
  <c r="DL39" i="2" s="1"/>
  <c r="DL40" i="2" s="1"/>
  <c r="DT17" i="2"/>
  <c r="DT16" i="2"/>
  <c r="DT18" i="2" s="1"/>
  <c r="DT19" i="2" s="1"/>
  <c r="DT20" i="2" s="1"/>
  <c r="DT21" i="2" s="1"/>
  <c r="DT22" i="2" s="1"/>
  <c r="DT23" i="2" s="1"/>
  <c r="DT24" i="2" s="1"/>
  <c r="DT25" i="2" s="1"/>
  <c r="DT26" i="2" s="1"/>
  <c r="DT27" i="2" s="1"/>
  <c r="DT28" i="2" s="1"/>
  <c r="DT29" i="2" s="1"/>
  <c r="DT30" i="2" s="1"/>
  <c r="DT31" i="2" s="1"/>
  <c r="DT32" i="2" s="1"/>
  <c r="DT33" i="2" s="1"/>
  <c r="DT34" i="2" s="1"/>
  <c r="DT35" i="2" s="1"/>
  <c r="DT36" i="2" s="1"/>
  <c r="DT37" i="2" s="1"/>
  <c r="DT38" i="2" s="1"/>
  <c r="DT39" i="2" s="1"/>
  <c r="DT40" i="2" s="1"/>
  <c r="EB17" i="2"/>
  <c r="EB16" i="2"/>
  <c r="EB18" i="2" s="1"/>
  <c r="EB19" i="2" s="1"/>
  <c r="EB20" i="2" s="1"/>
  <c r="EB21" i="2" s="1"/>
  <c r="EB22" i="2" s="1"/>
  <c r="EB23" i="2" s="1"/>
  <c r="EB24" i="2" s="1"/>
  <c r="EB25" i="2" s="1"/>
  <c r="EB26" i="2" s="1"/>
  <c r="EB27" i="2" s="1"/>
  <c r="EB28" i="2" s="1"/>
  <c r="EB29" i="2" s="1"/>
  <c r="EB30" i="2" s="1"/>
  <c r="EB31" i="2" s="1"/>
  <c r="EB32" i="2" s="1"/>
  <c r="EB33" i="2" s="1"/>
  <c r="EB34" i="2" s="1"/>
  <c r="EB35" i="2" s="1"/>
  <c r="EB36" i="2" s="1"/>
  <c r="EB37" i="2" s="1"/>
  <c r="EB38" i="2" s="1"/>
  <c r="EB39" i="2" s="1"/>
  <c r="EB40" i="2" s="1"/>
  <c r="EJ17" i="2"/>
  <c r="EJ16" i="2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s="1"/>
  <c r="EJ36" i="2" s="1"/>
  <c r="EJ37" i="2" s="1"/>
  <c r="EJ38" i="2" s="1"/>
  <c r="EJ39" i="2" s="1"/>
  <c r="EJ40" i="2" s="1"/>
  <c r="ER17" i="2"/>
  <c r="ER16" i="2"/>
  <c r="ER18" i="2" s="1"/>
  <c r="ER19" i="2" s="1"/>
  <c r="ER20" i="2" s="1"/>
  <c r="ER21" i="2" s="1"/>
  <c r="ER22" i="2" s="1"/>
  <c r="ER23" i="2" s="1"/>
  <c r="ER24" i="2" s="1"/>
  <c r="ER25" i="2" s="1"/>
  <c r="ER26" i="2" s="1"/>
  <c r="ER27" i="2" s="1"/>
  <c r="ER28" i="2" s="1"/>
  <c r="ER29" i="2" s="1"/>
  <c r="ER30" i="2" s="1"/>
  <c r="ER31" i="2" s="1"/>
  <c r="ER32" i="2" s="1"/>
  <c r="ER33" i="2" s="1"/>
  <c r="ER34" i="2" s="1"/>
  <c r="ER35" i="2" s="1"/>
  <c r="ER36" i="2" s="1"/>
  <c r="ER37" i="2" s="1"/>
  <c r="ER38" i="2" s="1"/>
  <c r="ER39" i="2" s="1"/>
  <c r="ER40" i="2" s="1"/>
  <c r="EZ17" i="2"/>
  <c r="EZ16" i="2"/>
  <c r="EZ18" i="2" s="1"/>
  <c r="EZ19" i="2" s="1"/>
  <c r="EZ20" i="2" s="1"/>
  <c r="EZ21" i="2" s="1"/>
  <c r="EZ22" i="2" s="1"/>
  <c r="EZ23" i="2" s="1"/>
  <c r="EZ24" i="2" s="1"/>
  <c r="EZ25" i="2" s="1"/>
  <c r="EZ26" i="2" s="1"/>
  <c r="EZ27" i="2" s="1"/>
  <c r="EZ28" i="2" s="1"/>
  <c r="EZ29" i="2" s="1"/>
  <c r="EZ30" i="2" s="1"/>
  <c r="EZ31" i="2" s="1"/>
  <c r="EZ32" i="2" s="1"/>
  <c r="EZ33" i="2" s="1"/>
  <c r="EZ34" i="2" s="1"/>
  <c r="EZ35" i="2" s="1"/>
  <c r="EZ36" i="2" s="1"/>
  <c r="EZ37" i="2" s="1"/>
  <c r="EZ38" i="2" s="1"/>
  <c r="EZ39" i="2" s="1"/>
  <c r="EZ40" i="2" s="1"/>
  <c r="FH17" i="2"/>
  <c r="FH16" i="2"/>
  <c r="FH18" i="2" s="1"/>
  <c r="FH19" i="2" s="1"/>
  <c r="FH20" i="2" s="1"/>
  <c r="FH21" i="2" s="1"/>
  <c r="FH22" i="2" s="1"/>
  <c r="FH23" i="2" s="1"/>
  <c r="FH24" i="2" s="1"/>
  <c r="FH25" i="2" s="1"/>
  <c r="FH26" i="2" s="1"/>
  <c r="FH27" i="2" s="1"/>
  <c r="FH28" i="2" s="1"/>
  <c r="FH29" i="2" s="1"/>
  <c r="FH30" i="2" s="1"/>
  <c r="FH31" i="2" s="1"/>
  <c r="FH32" i="2" s="1"/>
  <c r="FH33" i="2" s="1"/>
  <c r="FH34" i="2" s="1"/>
  <c r="FH35" i="2" s="1"/>
  <c r="FH36" i="2" s="1"/>
  <c r="FH37" i="2" s="1"/>
  <c r="FH38" i="2" s="1"/>
  <c r="FH39" i="2" s="1"/>
  <c r="FH40" i="2" s="1"/>
  <c r="DJ6" i="2"/>
  <c r="DK6" i="2"/>
  <c r="Z8" i="2"/>
  <c r="DJ14" i="2"/>
  <c r="DJ16" i="2"/>
  <c r="N3" i="2"/>
  <c r="N4" i="2"/>
  <c r="DK5" i="2"/>
  <c r="DJ9" i="2"/>
  <c r="AF9" i="2"/>
  <c r="DJ21" i="2"/>
  <c r="N21" i="2"/>
  <c r="DK7" i="2"/>
  <c r="DK40" i="2"/>
  <c r="DK34" i="2"/>
  <c r="DK30" i="2"/>
  <c r="DK29" i="2"/>
  <c r="DK28" i="2"/>
  <c r="DK27" i="2"/>
  <c r="DK26" i="2"/>
  <c r="DK25" i="2"/>
  <c r="DK24" i="2"/>
  <c r="DK23" i="2"/>
  <c r="DK36" i="2"/>
  <c r="DK31" i="2"/>
  <c r="DK32" i="2"/>
  <c r="DK39" i="2"/>
  <c r="DK37" i="2"/>
  <c r="DK33" i="2"/>
  <c r="DK38" i="2"/>
  <c r="DK20" i="2"/>
  <c r="DK15" i="2"/>
  <c r="DK14" i="2"/>
  <c r="DK13" i="2"/>
  <c r="DK12" i="2"/>
  <c r="DK11" i="2"/>
  <c r="DK10" i="2"/>
  <c r="DK9" i="2"/>
  <c r="DK8" i="2"/>
  <c r="DK35" i="2"/>
  <c r="DK21" i="2"/>
  <c r="DK17" i="2"/>
  <c r="DK18" i="2"/>
  <c r="DK16" i="2"/>
  <c r="DK19" i="2"/>
  <c r="DK3" i="2"/>
  <c r="DK4" i="2"/>
  <c r="DJ10" i="2"/>
  <c r="DJ12" i="2"/>
  <c r="DJ15" i="2"/>
  <c r="DJ22" i="2"/>
  <c r="N22" i="2"/>
  <c r="DJ18" i="2"/>
  <c r="DJ20" i="2"/>
  <c r="N20" i="2"/>
  <c r="DJ17" i="2"/>
  <c r="N18" i="2"/>
  <c r="DJ19" i="2"/>
  <c r="N19" i="2"/>
  <c r="DJ23" i="2"/>
  <c r="N23" i="2"/>
  <c r="DJ32" i="2"/>
  <c r="DJ33" i="2"/>
  <c r="DJ34" i="2"/>
  <c r="DJ37" i="2"/>
  <c r="DP13" i="3"/>
  <c r="DP14" i="3" s="1"/>
  <c r="DP15" i="3" s="1"/>
  <c r="DP16" i="3" s="1"/>
  <c r="DP12" i="3"/>
  <c r="DX13" i="3"/>
  <c r="DX14" i="3" s="1"/>
  <c r="DX15" i="3" s="1"/>
  <c r="DX16" i="3" s="1"/>
  <c r="DX12" i="3"/>
  <c r="EF13" i="3"/>
  <c r="EF14" i="3" s="1"/>
  <c r="EF15" i="3" s="1"/>
  <c r="EF16" i="3" s="1"/>
  <c r="EF12" i="3"/>
  <c r="EN13" i="3"/>
  <c r="EN14" i="3" s="1"/>
  <c r="EN15" i="3" s="1"/>
  <c r="EN16" i="3" s="1"/>
  <c r="EN12" i="3"/>
  <c r="EV13" i="3"/>
  <c r="EV14" i="3" s="1"/>
  <c r="EV15" i="3" s="1"/>
  <c r="EV16" i="3" s="1"/>
  <c r="EV12" i="3"/>
  <c r="FD13" i="3"/>
  <c r="FD14" i="3" s="1"/>
  <c r="FD15" i="3" s="1"/>
  <c r="FD16" i="3" s="1"/>
  <c r="FD12" i="3"/>
  <c r="DJ31" i="2"/>
  <c r="BP35" i="2"/>
  <c r="DR13" i="3"/>
  <c r="DR14" i="3" s="1"/>
  <c r="DR15" i="3" s="1"/>
  <c r="DR16" i="3" s="1"/>
  <c r="DR12" i="3"/>
  <c r="DZ13" i="3"/>
  <c r="DZ14" i="3" s="1"/>
  <c r="DZ15" i="3" s="1"/>
  <c r="DZ16" i="3" s="1"/>
  <c r="DZ12" i="3"/>
  <c r="EH13" i="3"/>
  <c r="EH14" i="3" s="1"/>
  <c r="EH15" i="3" s="1"/>
  <c r="EH16" i="3" s="1"/>
  <c r="EH12" i="3"/>
  <c r="EP13" i="3"/>
  <c r="EP14" i="3" s="1"/>
  <c r="EP15" i="3" s="1"/>
  <c r="EP16" i="3" s="1"/>
  <c r="EP12" i="3"/>
  <c r="EX13" i="3"/>
  <c r="EX14" i="3" s="1"/>
  <c r="EX15" i="3" s="1"/>
  <c r="EX16" i="3" s="1"/>
  <c r="EX12" i="3"/>
  <c r="DJ36" i="2"/>
  <c r="DS13" i="3"/>
  <c r="DS14" i="3" s="1"/>
  <c r="DS15" i="3" s="1"/>
  <c r="DS16" i="3" s="1"/>
  <c r="DS12" i="3"/>
  <c r="EA13" i="3"/>
  <c r="EA14" i="3" s="1"/>
  <c r="EA15" i="3" s="1"/>
  <c r="EA16" i="3" s="1"/>
  <c r="EA12" i="3"/>
  <c r="N39" i="2"/>
  <c r="DN13" i="3"/>
  <c r="DN14" i="3" s="1"/>
  <c r="DN15" i="3" s="1"/>
  <c r="DN16" i="3" s="1"/>
  <c r="DN12" i="3"/>
  <c r="DV13" i="3"/>
  <c r="DV14" i="3" s="1"/>
  <c r="DV15" i="3" s="1"/>
  <c r="DV16" i="3" s="1"/>
  <c r="DV12" i="3"/>
  <c r="ED13" i="3"/>
  <c r="ED14" i="3" s="1"/>
  <c r="ED15" i="3" s="1"/>
  <c r="ED16" i="3" s="1"/>
  <c r="ED12" i="3"/>
  <c r="EL13" i="3"/>
  <c r="EL14" i="3" s="1"/>
  <c r="EL15" i="3" s="1"/>
  <c r="EL16" i="3" s="1"/>
  <c r="EL12" i="3"/>
  <c r="ET13" i="3"/>
  <c r="ET14" i="3" s="1"/>
  <c r="ET15" i="3" s="1"/>
  <c r="ET16" i="3" s="1"/>
  <c r="ET12" i="3"/>
  <c r="FB13" i="3"/>
  <c r="FB14" i="3" s="1"/>
  <c r="FB15" i="3" s="1"/>
  <c r="FB16" i="3" s="1"/>
  <c r="FB12" i="3"/>
  <c r="FJ13" i="3"/>
  <c r="FJ14" i="3" s="1"/>
  <c r="FJ15" i="3" s="1"/>
  <c r="FJ16" i="3" s="1"/>
  <c r="FJ12" i="3"/>
  <c r="DO12" i="3"/>
  <c r="DO13" i="3"/>
  <c r="DO14" i="3" s="1"/>
  <c r="DO15" i="3" s="1"/>
  <c r="DO16" i="3" s="1"/>
  <c r="DW12" i="3"/>
  <c r="DW13" i="3"/>
  <c r="DW14" i="3" s="1"/>
  <c r="DW15" i="3" s="1"/>
  <c r="DW16" i="3" s="1"/>
  <c r="EE13" i="3"/>
  <c r="EE14" i="3" s="1"/>
  <c r="EE15" i="3" s="1"/>
  <c r="EE16" i="3" s="1"/>
  <c r="EE12" i="3"/>
  <c r="EM12" i="3"/>
  <c r="EM13" i="3"/>
  <c r="EM14" i="3" s="1"/>
  <c r="EM15" i="3" s="1"/>
  <c r="EM16" i="3" s="1"/>
  <c r="EU12" i="3"/>
  <c r="EU13" i="3"/>
  <c r="EU14" i="3" s="1"/>
  <c r="EU15" i="3" s="1"/>
  <c r="EU16" i="3" s="1"/>
  <c r="FC12" i="3"/>
  <c r="FC13" i="3"/>
  <c r="FC14" i="3" s="1"/>
  <c r="FC15" i="3" s="1"/>
  <c r="FC16" i="3" s="1"/>
  <c r="DJ2" i="3"/>
  <c r="N2" i="3"/>
  <c r="DQ12" i="3"/>
  <c r="DQ13" i="3"/>
  <c r="DQ14" i="3" s="1"/>
  <c r="DQ15" i="3" s="1"/>
  <c r="DQ16" i="3" s="1"/>
  <c r="DY12" i="3"/>
  <c r="DY13" i="3"/>
  <c r="DY14" i="3" s="1"/>
  <c r="DY15" i="3" s="1"/>
  <c r="DY16" i="3" s="1"/>
  <c r="EG13" i="3"/>
  <c r="EG14" i="3" s="1"/>
  <c r="EG15" i="3" s="1"/>
  <c r="EG16" i="3" s="1"/>
  <c r="EG12" i="3"/>
  <c r="EO12" i="3"/>
  <c r="EO13" i="3"/>
  <c r="EO14" i="3" s="1"/>
  <c r="EO15" i="3" s="1"/>
  <c r="EO16" i="3" s="1"/>
  <c r="EW12" i="3"/>
  <c r="EW13" i="3"/>
  <c r="EW14" i="3" s="1"/>
  <c r="EW15" i="3" s="1"/>
  <c r="EW16" i="3" s="1"/>
  <c r="FE12" i="3"/>
  <c r="FE13" i="3"/>
  <c r="FE14" i="3" s="1"/>
  <c r="FE15" i="3" s="1"/>
  <c r="FE16" i="3" s="1"/>
  <c r="FF13" i="3"/>
  <c r="FF14" i="3" s="1"/>
  <c r="FF15" i="3" s="1"/>
  <c r="FF16" i="3" s="1"/>
  <c r="FF12" i="3"/>
  <c r="EI13" i="3"/>
  <c r="EI14" i="3" s="1"/>
  <c r="EI15" i="3" s="1"/>
  <c r="EI16" i="3" s="1"/>
  <c r="EI12" i="3"/>
  <c r="EQ13" i="3"/>
  <c r="EQ14" i="3" s="1"/>
  <c r="EQ15" i="3" s="1"/>
  <c r="EQ16" i="3" s="1"/>
  <c r="EQ12" i="3"/>
  <c r="EY13" i="3"/>
  <c r="EY14" i="3" s="1"/>
  <c r="EY15" i="3" s="1"/>
  <c r="EY16" i="3" s="1"/>
  <c r="EY12" i="3"/>
  <c r="FG13" i="3"/>
  <c r="FG14" i="3" s="1"/>
  <c r="FG15" i="3" s="1"/>
  <c r="FG16" i="3" s="1"/>
  <c r="FG12" i="3"/>
  <c r="DL13" i="3"/>
  <c r="DL14" i="3" s="1"/>
  <c r="DL15" i="3" s="1"/>
  <c r="DL16" i="3" s="1"/>
  <c r="DL12" i="3"/>
  <c r="DT13" i="3"/>
  <c r="DT14" i="3" s="1"/>
  <c r="DT15" i="3" s="1"/>
  <c r="DT16" i="3" s="1"/>
  <c r="DT12" i="3"/>
  <c r="EB13" i="3"/>
  <c r="EB14" i="3" s="1"/>
  <c r="EB15" i="3" s="1"/>
  <c r="EB16" i="3" s="1"/>
  <c r="EB12" i="3"/>
  <c r="EJ13" i="3"/>
  <c r="EJ14" i="3" s="1"/>
  <c r="EJ15" i="3" s="1"/>
  <c r="EJ16" i="3" s="1"/>
  <c r="EJ12" i="3"/>
  <c r="ER13" i="3"/>
  <c r="ER14" i="3" s="1"/>
  <c r="ER15" i="3" s="1"/>
  <c r="ER16" i="3" s="1"/>
  <c r="ER12" i="3"/>
  <c r="EZ13" i="3"/>
  <c r="EZ14" i="3" s="1"/>
  <c r="EZ15" i="3" s="1"/>
  <c r="EZ16" i="3" s="1"/>
  <c r="EZ12" i="3"/>
  <c r="FH13" i="3"/>
  <c r="FH14" i="3" s="1"/>
  <c r="FH15" i="3" s="1"/>
  <c r="FH16" i="3" s="1"/>
  <c r="FH12" i="3"/>
  <c r="DJ40" i="2"/>
  <c r="N40" i="2"/>
  <c r="DM13" i="3"/>
  <c r="DM14" i="3" s="1"/>
  <c r="DM15" i="3" s="1"/>
  <c r="DM16" i="3" s="1"/>
  <c r="DM12" i="3"/>
  <c r="DU13" i="3"/>
  <c r="DU14" i="3" s="1"/>
  <c r="DU15" i="3" s="1"/>
  <c r="DU16" i="3" s="1"/>
  <c r="DU12" i="3"/>
  <c r="EC13" i="3"/>
  <c r="EC14" i="3" s="1"/>
  <c r="EC15" i="3" s="1"/>
  <c r="EC16" i="3" s="1"/>
  <c r="EC12" i="3"/>
  <c r="EK13" i="3"/>
  <c r="EK14" i="3" s="1"/>
  <c r="EK15" i="3" s="1"/>
  <c r="EK16" i="3" s="1"/>
  <c r="EK12" i="3"/>
  <c r="ES13" i="3"/>
  <c r="ES14" i="3" s="1"/>
  <c r="ES15" i="3" s="1"/>
  <c r="ES16" i="3" s="1"/>
  <c r="ES12" i="3"/>
  <c r="FA13" i="3"/>
  <c r="FA14" i="3" s="1"/>
  <c r="FA15" i="3" s="1"/>
  <c r="FA16" i="3" s="1"/>
  <c r="FA12" i="3"/>
  <c r="FI13" i="3"/>
  <c r="FI14" i="3" s="1"/>
  <c r="FI15" i="3" s="1"/>
  <c r="FI16" i="3" s="1"/>
  <c r="FI12" i="3"/>
  <c r="DJ13" i="3"/>
  <c r="N13" i="3"/>
  <c r="N10" i="3"/>
  <c r="DJ12" i="3"/>
  <c r="N7" i="3"/>
  <c r="N8" i="3"/>
  <c r="N9" i="3"/>
  <c r="N11" i="3"/>
  <c r="DJ6" i="3"/>
  <c r="DK6" i="3"/>
  <c r="DK7" i="3"/>
  <c r="DK8" i="3"/>
  <c r="DK42" i="3"/>
  <c r="DK34" i="3"/>
  <c r="DK33" i="3"/>
  <c r="DK32" i="3"/>
  <c r="DK31" i="3"/>
  <c r="DK30" i="3"/>
  <c r="DK29" i="3"/>
  <c r="DK27" i="3"/>
  <c r="DK39" i="3"/>
  <c r="DK40" i="3"/>
  <c r="DK37" i="3"/>
  <c r="DK28" i="3"/>
  <c r="DK35" i="3"/>
  <c r="DK38" i="3"/>
  <c r="DK26" i="3"/>
  <c r="DK21" i="3"/>
  <c r="DK25" i="3"/>
  <c r="DK24" i="3"/>
  <c r="DK36" i="3"/>
  <c r="DK22" i="3"/>
  <c r="DK41" i="3"/>
  <c r="DK23" i="3"/>
  <c r="DK20" i="3"/>
  <c r="DK19" i="3"/>
  <c r="DK18" i="3"/>
  <c r="DK11" i="3"/>
  <c r="DK10" i="3"/>
  <c r="DK14" i="3"/>
  <c r="DK13" i="3"/>
  <c r="DK12" i="3"/>
  <c r="DK17" i="3"/>
  <c r="DK16" i="3"/>
  <c r="DK15" i="3"/>
  <c r="DK3" i="3"/>
  <c r="DK4" i="3"/>
  <c r="DK5" i="3"/>
  <c r="DJ14" i="3"/>
  <c r="N14" i="3"/>
  <c r="DJ15" i="3"/>
  <c r="N15" i="3"/>
  <c r="N20" i="3"/>
  <c r="DJ20" i="3"/>
  <c r="DJ22" i="3"/>
  <c r="Z22" i="3"/>
  <c r="N21" i="3"/>
  <c r="DJ21" i="3"/>
  <c r="N23" i="3"/>
  <c r="DJ23" i="3"/>
  <c r="DJ19" i="3"/>
  <c r="DJ33" i="3"/>
  <c r="N33" i="3"/>
  <c r="N37" i="3"/>
  <c r="DJ37" i="3"/>
  <c r="DJ32" i="3"/>
  <c r="AF32" i="3"/>
  <c r="Z25" i="3"/>
  <c r="DJ26" i="3"/>
  <c r="N24" i="3"/>
  <c r="N26" i="3"/>
  <c r="DJ27" i="3"/>
  <c r="N27" i="3"/>
  <c r="DJ29" i="3"/>
  <c r="DJ28" i="3"/>
  <c r="N28" i="3"/>
  <c r="DJ30" i="3"/>
  <c r="N30" i="3"/>
  <c r="DJ35" i="3"/>
  <c r="DJ40" i="3"/>
  <c r="N41" i="3"/>
  <c r="DJ41" i="3"/>
  <c r="DJ42" i="3"/>
  <c r="N42" i="3"/>
  <c r="DJ36" i="3"/>
  <c r="Z38" i="3"/>
  <c r="DJ38" i="3"/>
  <c r="DJ39" i="3"/>
  <c r="FG17" i="3" l="1"/>
  <c r="FG19" i="3" s="1"/>
  <c r="FG20" i="3" s="1"/>
  <c r="FG21" i="3" s="1"/>
  <c r="FG22" i="3" s="1"/>
  <c r="FG23" i="3" s="1"/>
  <c r="FG24" i="3" s="1"/>
  <c r="FG25" i="3" s="1"/>
  <c r="FG26" i="3" s="1"/>
  <c r="FG27" i="3" s="1"/>
  <c r="FG28" i="3" s="1"/>
  <c r="FG29" i="3" s="1"/>
  <c r="FG30" i="3" s="1"/>
  <c r="FG31" i="3" s="1"/>
  <c r="FG32" i="3" s="1"/>
  <c r="FG33" i="3" s="1"/>
  <c r="FG34" i="3" s="1"/>
  <c r="FG35" i="3" s="1"/>
  <c r="FG36" i="3" s="1"/>
  <c r="FG37" i="3" s="1"/>
  <c r="FG38" i="3" s="1"/>
  <c r="FG39" i="3" s="1"/>
  <c r="FG40" i="3" s="1"/>
  <c r="FG41" i="3" s="1"/>
  <c r="FG42" i="3" s="1"/>
  <c r="FG18" i="3"/>
  <c r="EG18" i="3"/>
  <c r="EG17" i="3"/>
  <c r="EG19" i="3" s="1"/>
  <c r="EG20" i="3" s="1"/>
  <c r="EG21" i="3" s="1"/>
  <c r="EG22" i="3" s="1"/>
  <c r="EG23" i="3" s="1"/>
  <c r="EG24" i="3" s="1"/>
  <c r="EG25" i="3" s="1"/>
  <c r="EG26" i="3" s="1"/>
  <c r="EG27" i="3" s="1"/>
  <c r="EG28" i="3" s="1"/>
  <c r="EG29" i="3" s="1"/>
  <c r="EG30" i="3" s="1"/>
  <c r="EG31" i="3" s="1"/>
  <c r="EG32" i="3" s="1"/>
  <c r="EG33" i="3" s="1"/>
  <c r="EG34" i="3" s="1"/>
  <c r="EG35" i="3" s="1"/>
  <c r="EG36" i="3" s="1"/>
  <c r="EG37" i="3" s="1"/>
  <c r="EG38" i="3" s="1"/>
  <c r="EG39" i="3" s="1"/>
  <c r="EG40" i="3" s="1"/>
  <c r="EG41" i="3" s="1"/>
  <c r="EG42" i="3" s="1"/>
  <c r="ET18" i="3"/>
  <c r="ET17" i="3"/>
  <c r="ET19" i="3" s="1"/>
  <c r="ET20" i="3" s="1"/>
  <c r="ET21" i="3" s="1"/>
  <c r="ET22" i="3" s="1"/>
  <c r="ET23" i="3" s="1"/>
  <c r="ET24" i="3" s="1"/>
  <c r="ET25" i="3" s="1"/>
  <c r="ET26" i="3" s="1"/>
  <c r="ET27" i="3" s="1"/>
  <c r="ET28" i="3" s="1"/>
  <c r="ET29" i="3" s="1"/>
  <c r="ET30" i="3" s="1"/>
  <c r="ET31" i="3" s="1"/>
  <c r="ET32" i="3" s="1"/>
  <c r="ET33" i="3" s="1"/>
  <c r="ET34" i="3" s="1"/>
  <c r="ET35" i="3" s="1"/>
  <c r="ET36" i="3" s="1"/>
  <c r="ET37" i="3" s="1"/>
  <c r="ET38" i="3" s="1"/>
  <c r="ET39" i="3" s="1"/>
  <c r="ET40" i="3" s="1"/>
  <c r="ET41" i="3" s="1"/>
  <c r="ET42" i="3" s="1"/>
  <c r="EX17" i="3"/>
  <c r="EX19" i="3" s="1"/>
  <c r="EX20" i="3" s="1"/>
  <c r="EX21" i="3" s="1"/>
  <c r="EX22" i="3" s="1"/>
  <c r="EX23" i="3" s="1"/>
  <c r="EX24" i="3" s="1"/>
  <c r="EX25" i="3" s="1"/>
  <c r="EX26" i="3" s="1"/>
  <c r="EX27" i="3" s="1"/>
  <c r="EX28" i="3" s="1"/>
  <c r="EX29" i="3" s="1"/>
  <c r="EX30" i="3" s="1"/>
  <c r="EX31" i="3" s="1"/>
  <c r="EX32" i="3" s="1"/>
  <c r="EX33" i="3" s="1"/>
  <c r="EX34" i="3" s="1"/>
  <c r="EX35" i="3" s="1"/>
  <c r="EX36" i="3" s="1"/>
  <c r="EX37" i="3" s="1"/>
  <c r="EX38" i="3" s="1"/>
  <c r="EX39" i="3" s="1"/>
  <c r="EX40" i="3" s="1"/>
  <c r="EX41" i="3" s="1"/>
  <c r="EX42" i="3" s="1"/>
  <c r="EX18" i="3"/>
  <c r="EN18" i="3"/>
  <c r="EN17" i="3"/>
  <c r="EN19" i="3" s="1"/>
  <c r="EN20" i="3" s="1"/>
  <c r="EN21" i="3" s="1"/>
  <c r="EN22" i="3" s="1"/>
  <c r="EN23" i="3" s="1"/>
  <c r="EN24" i="3" s="1"/>
  <c r="EN25" i="3" s="1"/>
  <c r="EN26" i="3" s="1"/>
  <c r="EN27" i="3" s="1"/>
  <c r="EN28" i="3" s="1"/>
  <c r="EN29" i="3" s="1"/>
  <c r="EN30" i="3" s="1"/>
  <c r="EN31" i="3" s="1"/>
  <c r="EN32" i="3" s="1"/>
  <c r="EN33" i="3" s="1"/>
  <c r="EN34" i="3" s="1"/>
  <c r="EN35" i="3" s="1"/>
  <c r="EN36" i="3" s="1"/>
  <c r="EN37" i="3" s="1"/>
  <c r="EN38" i="3" s="1"/>
  <c r="EN39" i="3" s="1"/>
  <c r="EN40" i="3" s="1"/>
  <c r="EN41" i="3" s="1"/>
  <c r="EN42" i="3" s="1"/>
  <c r="DS18" i="3"/>
  <c r="DS17" i="3"/>
  <c r="DS19" i="3" s="1"/>
  <c r="DS20" i="3" s="1"/>
  <c r="DS21" i="3" s="1"/>
  <c r="DS22" i="3" s="1"/>
  <c r="DS23" i="3" s="1"/>
  <c r="DS24" i="3" s="1"/>
  <c r="DS25" i="3" s="1"/>
  <c r="DS26" i="3" s="1"/>
  <c r="DS27" i="3" s="1"/>
  <c r="DS28" i="3" s="1"/>
  <c r="DS29" i="3" s="1"/>
  <c r="DS30" i="3" s="1"/>
  <c r="DS31" i="3" s="1"/>
  <c r="DS32" i="3" s="1"/>
  <c r="DS33" i="3" s="1"/>
  <c r="DS34" i="3" s="1"/>
  <c r="DS35" i="3" s="1"/>
  <c r="DS36" i="3" s="1"/>
  <c r="DS37" i="3" s="1"/>
  <c r="DS38" i="3" s="1"/>
  <c r="DS39" i="3" s="1"/>
  <c r="DS40" i="3" s="1"/>
  <c r="DS41" i="3" s="1"/>
  <c r="DS42" i="3" s="1"/>
  <c r="ES17" i="3"/>
  <c r="ES19" i="3" s="1"/>
  <c r="ES20" i="3" s="1"/>
  <c r="ES21" i="3" s="1"/>
  <c r="ES22" i="3" s="1"/>
  <c r="ES23" i="3" s="1"/>
  <c r="ES24" i="3" s="1"/>
  <c r="ES25" i="3" s="1"/>
  <c r="ES26" i="3" s="1"/>
  <c r="ES27" i="3" s="1"/>
  <c r="ES28" i="3" s="1"/>
  <c r="ES29" i="3" s="1"/>
  <c r="ES30" i="3" s="1"/>
  <c r="ES31" i="3" s="1"/>
  <c r="ES32" i="3" s="1"/>
  <c r="ES33" i="3" s="1"/>
  <c r="ES34" i="3" s="1"/>
  <c r="ES35" i="3" s="1"/>
  <c r="ES36" i="3" s="1"/>
  <c r="ES37" i="3" s="1"/>
  <c r="ES38" i="3" s="1"/>
  <c r="ES39" i="3" s="1"/>
  <c r="ES40" i="3" s="1"/>
  <c r="ES41" i="3" s="1"/>
  <c r="ES42" i="3" s="1"/>
  <c r="ES18" i="3"/>
  <c r="ER18" i="3"/>
  <c r="ER17" i="3"/>
  <c r="ER19" i="3" s="1"/>
  <c r="ER20" i="3" s="1"/>
  <c r="ER21" i="3" s="1"/>
  <c r="ER22" i="3" s="1"/>
  <c r="ER23" i="3" s="1"/>
  <c r="ER24" i="3" s="1"/>
  <c r="ER25" i="3" s="1"/>
  <c r="ER26" i="3" s="1"/>
  <c r="ER27" i="3" s="1"/>
  <c r="ER28" i="3" s="1"/>
  <c r="ER29" i="3" s="1"/>
  <c r="ER30" i="3" s="1"/>
  <c r="ER31" i="3" s="1"/>
  <c r="ER32" i="3" s="1"/>
  <c r="ER33" i="3" s="1"/>
  <c r="ER34" i="3" s="1"/>
  <c r="ER35" i="3" s="1"/>
  <c r="ER36" i="3" s="1"/>
  <c r="ER37" i="3" s="1"/>
  <c r="ER38" i="3" s="1"/>
  <c r="ER39" i="3" s="1"/>
  <c r="ER40" i="3" s="1"/>
  <c r="ER41" i="3" s="1"/>
  <c r="ER42" i="3" s="1"/>
  <c r="DL18" i="3"/>
  <c r="DL17" i="3"/>
  <c r="DL19" i="3" s="1"/>
  <c r="DL20" i="3" s="1"/>
  <c r="DL21" i="3" s="1"/>
  <c r="DL22" i="3" s="1"/>
  <c r="DL23" i="3" s="1"/>
  <c r="DL24" i="3" s="1"/>
  <c r="DL25" i="3" s="1"/>
  <c r="DL26" i="3" s="1"/>
  <c r="DL27" i="3" s="1"/>
  <c r="DL28" i="3" s="1"/>
  <c r="DL29" i="3" s="1"/>
  <c r="DL30" i="3" s="1"/>
  <c r="DL31" i="3" s="1"/>
  <c r="DL32" i="3" s="1"/>
  <c r="DL33" i="3" s="1"/>
  <c r="DL34" i="3" s="1"/>
  <c r="DL35" i="3" s="1"/>
  <c r="DL36" i="3" s="1"/>
  <c r="DL37" i="3" s="1"/>
  <c r="DL38" i="3" s="1"/>
  <c r="DL39" i="3" s="1"/>
  <c r="DL40" i="3" s="1"/>
  <c r="DL41" i="3" s="1"/>
  <c r="DL42" i="3" s="1"/>
  <c r="EI18" i="3"/>
  <c r="EI17" i="3"/>
  <c r="EI19" i="3" s="1"/>
  <c r="EI20" i="3" s="1"/>
  <c r="EI21" i="3" s="1"/>
  <c r="EI22" i="3" s="1"/>
  <c r="EI23" i="3" s="1"/>
  <c r="EI24" i="3" s="1"/>
  <c r="EI25" i="3" s="1"/>
  <c r="EI26" i="3" s="1"/>
  <c r="EI27" i="3" s="1"/>
  <c r="EI28" i="3" s="1"/>
  <c r="EI29" i="3" s="1"/>
  <c r="EI30" i="3" s="1"/>
  <c r="EI31" i="3" s="1"/>
  <c r="EI32" i="3" s="1"/>
  <c r="EI33" i="3" s="1"/>
  <c r="EI34" i="3" s="1"/>
  <c r="EI35" i="3" s="1"/>
  <c r="EI36" i="3" s="1"/>
  <c r="EI37" i="3" s="1"/>
  <c r="EI38" i="3" s="1"/>
  <c r="EI39" i="3" s="1"/>
  <c r="EI40" i="3" s="1"/>
  <c r="EI41" i="3" s="1"/>
  <c r="EI42" i="3" s="1"/>
  <c r="EE17" i="3"/>
  <c r="EE19" i="3" s="1"/>
  <c r="EE20" i="3" s="1"/>
  <c r="EE21" i="3" s="1"/>
  <c r="EE22" i="3" s="1"/>
  <c r="EE23" i="3" s="1"/>
  <c r="EE24" i="3" s="1"/>
  <c r="EE25" i="3" s="1"/>
  <c r="EE26" i="3" s="1"/>
  <c r="EE27" i="3" s="1"/>
  <c r="EE28" i="3" s="1"/>
  <c r="EE29" i="3" s="1"/>
  <c r="EE30" i="3" s="1"/>
  <c r="EE31" i="3" s="1"/>
  <c r="EE32" i="3" s="1"/>
  <c r="EE33" i="3" s="1"/>
  <c r="EE34" i="3" s="1"/>
  <c r="EE35" i="3" s="1"/>
  <c r="EE36" i="3" s="1"/>
  <c r="EE37" i="3" s="1"/>
  <c r="EE38" i="3" s="1"/>
  <c r="EE39" i="3" s="1"/>
  <c r="EE40" i="3" s="1"/>
  <c r="EE41" i="3" s="1"/>
  <c r="EE42" i="3" s="1"/>
  <c r="EE18" i="3"/>
  <c r="FB18" i="3"/>
  <c r="FB17" i="3"/>
  <c r="FB19" i="3" s="1"/>
  <c r="FB20" i="3" s="1"/>
  <c r="FB21" i="3" s="1"/>
  <c r="FB22" i="3" s="1"/>
  <c r="FB23" i="3" s="1"/>
  <c r="FB24" i="3" s="1"/>
  <c r="FB25" i="3" s="1"/>
  <c r="FB26" i="3" s="1"/>
  <c r="FB27" i="3" s="1"/>
  <c r="FB28" i="3" s="1"/>
  <c r="FB29" i="3" s="1"/>
  <c r="FB30" i="3" s="1"/>
  <c r="FB31" i="3" s="1"/>
  <c r="FB32" i="3" s="1"/>
  <c r="FB33" i="3" s="1"/>
  <c r="FB34" i="3" s="1"/>
  <c r="FB35" i="3" s="1"/>
  <c r="FB36" i="3" s="1"/>
  <c r="FB37" i="3" s="1"/>
  <c r="FB38" i="3" s="1"/>
  <c r="FB39" i="3" s="1"/>
  <c r="FB40" i="3" s="1"/>
  <c r="FB41" i="3" s="1"/>
  <c r="FB42" i="3" s="1"/>
  <c r="DV18" i="3"/>
  <c r="DV17" i="3"/>
  <c r="DV19" i="3" s="1"/>
  <c r="DV20" i="3" s="1"/>
  <c r="DV21" i="3" s="1"/>
  <c r="DV22" i="3" s="1"/>
  <c r="DV23" i="3" s="1"/>
  <c r="DV24" i="3" s="1"/>
  <c r="DV25" i="3" s="1"/>
  <c r="DV26" i="3" s="1"/>
  <c r="DV27" i="3" s="1"/>
  <c r="DV28" i="3" s="1"/>
  <c r="DV29" i="3" s="1"/>
  <c r="DV30" i="3" s="1"/>
  <c r="DV31" i="3" s="1"/>
  <c r="DV32" i="3" s="1"/>
  <c r="DV33" i="3" s="1"/>
  <c r="DV34" i="3" s="1"/>
  <c r="DV35" i="3" s="1"/>
  <c r="DV36" i="3" s="1"/>
  <c r="DV37" i="3" s="1"/>
  <c r="DV38" i="3" s="1"/>
  <c r="DV39" i="3" s="1"/>
  <c r="DV40" i="3" s="1"/>
  <c r="DV41" i="3" s="1"/>
  <c r="DV42" i="3" s="1"/>
  <c r="DZ18" i="3"/>
  <c r="DZ17" i="3"/>
  <c r="DZ19" i="3" s="1"/>
  <c r="DZ20" i="3" s="1"/>
  <c r="DZ21" i="3" s="1"/>
  <c r="DZ22" i="3" s="1"/>
  <c r="DZ23" i="3" s="1"/>
  <c r="DZ24" i="3" s="1"/>
  <c r="DZ25" i="3" s="1"/>
  <c r="DZ26" i="3" s="1"/>
  <c r="DZ27" i="3" s="1"/>
  <c r="DZ28" i="3" s="1"/>
  <c r="DZ29" i="3" s="1"/>
  <c r="DZ30" i="3" s="1"/>
  <c r="DZ31" i="3" s="1"/>
  <c r="DZ32" i="3" s="1"/>
  <c r="DZ33" i="3" s="1"/>
  <c r="DZ34" i="3" s="1"/>
  <c r="DZ35" i="3" s="1"/>
  <c r="DZ36" i="3" s="1"/>
  <c r="DZ37" i="3" s="1"/>
  <c r="DZ38" i="3" s="1"/>
  <c r="DZ39" i="3" s="1"/>
  <c r="DZ40" i="3" s="1"/>
  <c r="DZ41" i="3" s="1"/>
  <c r="DZ42" i="3" s="1"/>
  <c r="EV18" i="3"/>
  <c r="EV17" i="3"/>
  <c r="EV19" i="3" s="1"/>
  <c r="EV20" i="3" s="1"/>
  <c r="EV21" i="3" s="1"/>
  <c r="EV22" i="3" s="1"/>
  <c r="EV23" i="3" s="1"/>
  <c r="EV24" i="3" s="1"/>
  <c r="EV25" i="3" s="1"/>
  <c r="EV26" i="3" s="1"/>
  <c r="EV27" i="3" s="1"/>
  <c r="EV28" i="3" s="1"/>
  <c r="EV29" i="3" s="1"/>
  <c r="EV30" i="3" s="1"/>
  <c r="EV31" i="3" s="1"/>
  <c r="EV32" i="3" s="1"/>
  <c r="EV33" i="3" s="1"/>
  <c r="EV34" i="3" s="1"/>
  <c r="EV35" i="3" s="1"/>
  <c r="EV36" i="3" s="1"/>
  <c r="EV37" i="3" s="1"/>
  <c r="EV38" i="3" s="1"/>
  <c r="EV39" i="3" s="1"/>
  <c r="EV40" i="3" s="1"/>
  <c r="EV41" i="3" s="1"/>
  <c r="EV42" i="3" s="1"/>
  <c r="DP18" i="3"/>
  <c r="DP17" i="3"/>
  <c r="DP19" i="3" s="1"/>
  <c r="DP20" i="3" s="1"/>
  <c r="DP21" i="3" s="1"/>
  <c r="DP22" i="3" s="1"/>
  <c r="DP23" i="3" s="1"/>
  <c r="DP24" i="3" s="1"/>
  <c r="DP25" i="3" s="1"/>
  <c r="DP26" i="3" s="1"/>
  <c r="DP27" i="3" s="1"/>
  <c r="DP28" i="3" s="1"/>
  <c r="DP29" i="3" s="1"/>
  <c r="DP30" i="3" s="1"/>
  <c r="DP31" i="3" s="1"/>
  <c r="DP32" i="3" s="1"/>
  <c r="DP33" i="3" s="1"/>
  <c r="DP34" i="3" s="1"/>
  <c r="DP35" i="3" s="1"/>
  <c r="DP36" i="3" s="1"/>
  <c r="DP37" i="3" s="1"/>
  <c r="DP38" i="3" s="1"/>
  <c r="DP39" i="3" s="1"/>
  <c r="DP40" i="3" s="1"/>
  <c r="DP41" i="3" s="1"/>
  <c r="DP42" i="3" s="1"/>
  <c r="DN18" i="3"/>
  <c r="DN17" i="3"/>
  <c r="DN19" i="3" s="1"/>
  <c r="DN20" i="3" s="1"/>
  <c r="DN21" i="3" s="1"/>
  <c r="DN22" i="3" s="1"/>
  <c r="DN23" i="3" s="1"/>
  <c r="DN24" i="3" s="1"/>
  <c r="DN25" i="3" s="1"/>
  <c r="DN26" i="3" s="1"/>
  <c r="DN27" i="3" s="1"/>
  <c r="DN28" i="3" s="1"/>
  <c r="DN29" i="3" s="1"/>
  <c r="DN30" i="3" s="1"/>
  <c r="DN31" i="3" s="1"/>
  <c r="DN32" i="3" s="1"/>
  <c r="DN33" i="3" s="1"/>
  <c r="DN34" i="3" s="1"/>
  <c r="DN35" i="3" s="1"/>
  <c r="DN36" i="3" s="1"/>
  <c r="DN37" i="3" s="1"/>
  <c r="DN38" i="3" s="1"/>
  <c r="DN39" i="3" s="1"/>
  <c r="DN40" i="3" s="1"/>
  <c r="DN41" i="3" s="1"/>
  <c r="DN42" i="3" s="1"/>
  <c r="DQ18" i="3"/>
  <c r="DQ17" i="3"/>
  <c r="DQ19" i="3" s="1"/>
  <c r="DQ20" i="3" s="1"/>
  <c r="DQ21" i="3" s="1"/>
  <c r="DQ22" i="3" s="1"/>
  <c r="DQ23" i="3" s="1"/>
  <c r="DQ24" i="3" s="1"/>
  <c r="DQ25" i="3" s="1"/>
  <c r="DQ26" i="3" s="1"/>
  <c r="DQ27" i="3" s="1"/>
  <c r="DQ28" i="3" s="1"/>
  <c r="DQ29" i="3" s="1"/>
  <c r="DQ30" i="3" s="1"/>
  <c r="DQ31" i="3" s="1"/>
  <c r="DQ32" i="3" s="1"/>
  <c r="DQ33" i="3" s="1"/>
  <c r="DQ34" i="3" s="1"/>
  <c r="DQ35" i="3" s="1"/>
  <c r="DQ36" i="3" s="1"/>
  <c r="DQ37" i="3" s="1"/>
  <c r="DQ38" i="3" s="1"/>
  <c r="DQ39" i="3" s="1"/>
  <c r="DQ40" i="3" s="1"/>
  <c r="DQ41" i="3" s="1"/>
  <c r="DQ42" i="3" s="1"/>
  <c r="EA18" i="3"/>
  <c r="EA17" i="3"/>
  <c r="EA19" i="3" s="1"/>
  <c r="EA20" i="3" s="1"/>
  <c r="EA21" i="3" s="1"/>
  <c r="EA22" i="3" s="1"/>
  <c r="EA23" i="3" s="1"/>
  <c r="EA24" i="3" s="1"/>
  <c r="EA25" i="3" s="1"/>
  <c r="EA26" i="3" s="1"/>
  <c r="EA27" i="3" s="1"/>
  <c r="EA28" i="3" s="1"/>
  <c r="EA29" i="3" s="1"/>
  <c r="EA30" i="3" s="1"/>
  <c r="EA31" i="3" s="1"/>
  <c r="EA32" i="3" s="1"/>
  <c r="EA33" i="3" s="1"/>
  <c r="EA34" i="3" s="1"/>
  <c r="EA35" i="3" s="1"/>
  <c r="EA36" i="3" s="1"/>
  <c r="EA37" i="3" s="1"/>
  <c r="EA38" i="3" s="1"/>
  <c r="EA39" i="3" s="1"/>
  <c r="EA40" i="3" s="1"/>
  <c r="EA41" i="3" s="1"/>
  <c r="EA42" i="3" s="1"/>
  <c r="DU18" i="3"/>
  <c r="DU17" i="3"/>
  <c r="DU19" i="3" s="1"/>
  <c r="DU20" i="3" s="1"/>
  <c r="DU21" i="3" s="1"/>
  <c r="DU22" i="3" s="1"/>
  <c r="DU23" i="3" s="1"/>
  <c r="DU24" i="3" s="1"/>
  <c r="DU25" i="3" s="1"/>
  <c r="DU26" i="3" s="1"/>
  <c r="DU27" i="3" s="1"/>
  <c r="DU28" i="3" s="1"/>
  <c r="DU29" i="3" s="1"/>
  <c r="DU30" i="3" s="1"/>
  <c r="DU31" i="3" s="1"/>
  <c r="DU32" i="3" s="1"/>
  <c r="DU33" i="3" s="1"/>
  <c r="DU34" i="3" s="1"/>
  <c r="DU35" i="3" s="1"/>
  <c r="DU36" i="3" s="1"/>
  <c r="DU37" i="3" s="1"/>
  <c r="DU38" i="3" s="1"/>
  <c r="DU39" i="3" s="1"/>
  <c r="DU40" i="3" s="1"/>
  <c r="DU41" i="3" s="1"/>
  <c r="DU42" i="3" s="1"/>
  <c r="DT18" i="3"/>
  <c r="DT17" i="3"/>
  <c r="DT19" i="3" s="1"/>
  <c r="DT20" i="3" s="1"/>
  <c r="DT21" i="3" s="1"/>
  <c r="DT22" i="3" s="1"/>
  <c r="DT23" i="3" s="1"/>
  <c r="DT24" i="3" s="1"/>
  <c r="DT25" i="3" s="1"/>
  <c r="DT26" i="3" s="1"/>
  <c r="DT27" i="3" s="1"/>
  <c r="DT28" i="3" s="1"/>
  <c r="DT29" i="3" s="1"/>
  <c r="DT30" i="3" s="1"/>
  <c r="DT31" i="3" s="1"/>
  <c r="DT32" i="3" s="1"/>
  <c r="DT33" i="3" s="1"/>
  <c r="DT34" i="3" s="1"/>
  <c r="DT35" i="3" s="1"/>
  <c r="DT36" i="3" s="1"/>
  <c r="DT37" i="3" s="1"/>
  <c r="DT38" i="3" s="1"/>
  <c r="DT39" i="3" s="1"/>
  <c r="DT40" i="3" s="1"/>
  <c r="DT41" i="3" s="1"/>
  <c r="DT42" i="3" s="1"/>
  <c r="EQ17" i="3"/>
  <c r="EQ19" i="3" s="1"/>
  <c r="EQ20" i="3" s="1"/>
  <c r="EQ21" i="3" s="1"/>
  <c r="EQ22" i="3" s="1"/>
  <c r="EQ23" i="3" s="1"/>
  <c r="EQ24" i="3" s="1"/>
  <c r="EQ25" i="3" s="1"/>
  <c r="EQ26" i="3" s="1"/>
  <c r="EQ27" i="3" s="1"/>
  <c r="EQ28" i="3" s="1"/>
  <c r="EQ29" i="3" s="1"/>
  <c r="EQ30" i="3" s="1"/>
  <c r="EQ31" i="3" s="1"/>
  <c r="EQ32" i="3" s="1"/>
  <c r="EQ33" i="3" s="1"/>
  <c r="EQ34" i="3" s="1"/>
  <c r="EQ35" i="3" s="1"/>
  <c r="EQ36" i="3" s="1"/>
  <c r="EQ37" i="3" s="1"/>
  <c r="EQ38" i="3" s="1"/>
  <c r="EQ39" i="3" s="1"/>
  <c r="EQ40" i="3" s="1"/>
  <c r="EQ41" i="3" s="1"/>
  <c r="EQ42" i="3" s="1"/>
  <c r="EQ18" i="3"/>
  <c r="ED18" i="3"/>
  <c r="ED17" i="3"/>
  <c r="ED19" i="3" s="1"/>
  <c r="ED20" i="3" s="1"/>
  <c r="ED21" i="3" s="1"/>
  <c r="ED22" i="3" s="1"/>
  <c r="ED23" i="3" s="1"/>
  <c r="ED24" i="3" s="1"/>
  <c r="ED25" i="3" s="1"/>
  <c r="ED26" i="3" s="1"/>
  <c r="ED27" i="3" s="1"/>
  <c r="ED28" i="3" s="1"/>
  <c r="ED29" i="3" s="1"/>
  <c r="ED30" i="3" s="1"/>
  <c r="ED31" i="3" s="1"/>
  <c r="ED32" i="3" s="1"/>
  <c r="ED33" i="3" s="1"/>
  <c r="ED34" i="3" s="1"/>
  <c r="ED35" i="3" s="1"/>
  <c r="ED36" i="3" s="1"/>
  <c r="ED37" i="3" s="1"/>
  <c r="ED38" i="3" s="1"/>
  <c r="ED39" i="3" s="1"/>
  <c r="ED40" i="3" s="1"/>
  <c r="ED41" i="3" s="1"/>
  <c r="ED42" i="3" s="1"/>
  <c r="EH18" i="3"/>
  <c r="EH17" i="3"/>
  <c r="EH19" i="3" s="1"/>
  <c r="EH20" i="3" s="1"/>
  <c r="EH21" i="3" s="1"/>
  <c r="EH22" i="3" s="1"/>
  <c r="EH23" i="3" s="1"/>
  <c r="EH24" i="3" s="1"/>
  <c r="EH25" i="3" s="1"/>
  <c r="EH26" i="3" s="1"/>
  <c r="EH27" i="3" s="1"/>
  <c r="EH28" i="3" s="1"/>
  <c r="EH29" i="3" s="1"/>
  <c r="EH30" i="3" s="1"/>
  <c r="EH31" i="3" s="1"/>
  <c r="EH32" i="3" s="1"/>
  <c r="EH33" i="3" s="1"/>
  <c r="EH34" i="3" s="1"/>
  <c r="EH35" i="3" s="1"/>
  <c r="EH36" i="3" s="1"/>
  <c r="EH37" i="3" s="1"/>
  <c r="EH38" i="3" s="1"/>
  <c r="EH39" i="3" s="1"/>
  <c r="EH40" i="3" s="1"/>
  <c r="EH41" i="3" s="1"/>
  <c r="EH42" i="3" s="1"/>
  <c r="DX18" i="3"/>
  <c r="DX17" i="3"/>
  <c r="DX19" i="3" s="1"/>
  <c r="DX20" i="3" s="1"/>
  <c r="DX21" i="3" s="1"/>
  <c r="DX22" i="3" s="1"/>
  <c r="DX23" i="3" s="1"/>
  <c r="DX24" i="3" s="1"/>
  <c r="DX25" i="3" s="1"/>
  <c r="DX26" i="3" s="1"/>
  <c r="DX27" i="3" s="1"/>
  <c r="DX28" i="3" s="1"/>
  <c r="DX29" i="3" s="1"/>
  <c r="DX30" i="3" s="1"/>
  <c r="DX31" i="3" s="1"/>
  <c r="DX32" i="3" s="1"/>
  <c r="DX33" i="3" s="1"/>
  <c r="DX34" i="3" s="1"/>
  <c r="DX35" i="3" s="1"/>
  <c r="DX36" i="3" s="1"/>
  <c r="DX37" i="3" s="1"/>
  <c r="DX38" i="3" s="1"/>
  <c r="DX39" i="3" s="1"/>
  <c r="DX40" i="3" s="1"/>
  <c r="DX41" i="3" s="1"/>
  <c r="DX42" i="3" s="1"/>
  <c r="EO17" i="3"/>
  <c r="EO19" i="3" s="1"/>
  <c r="EO20" i="3" s="1"/>
  <c r="EO21" i="3" s="1"/>
  <c r="EO22" i="3" s="1"/>
  <c r="EO23" i="3" s="1"/>
  <c r="EO24" i="3" s="1"/>
  <c r="EO25" i="3" s="1"/>
  <c r="EO26" i="3" s="1"/>
  <c r="EO27" i="3" s="1"/>
  <c r="EO28" i="3" s="1"/>
  <c r="EO29" i="3" s="1"/>
  <c r="EO30" i="3" s="1"/>
  <c r="EO31" i="3" s="1"/>
  <c r="EO32" i="3" s="1"/>
  <c r="EO33" i="3" s="1"/>
  <c r="EO34" i="3" s="1"/>
  <c r="EO35" i="3" s="1"/>
  <c r="EO36" i="3" s="1"/>
  <c r="EO37" i="3" s="1"/>
  <c r="EO38" i="3" s="1"/>
  <c r="EO39" i="3" s="1"/>
  <c r="EO40" i="3" s="1"/>
  <c r="EO41" i="3" s="1"/>
  <c r="EO42" i="3" s="1"/>
  <c r="EO18" i="3"/>
  <c r="DM17" i="3"/>
  <c r="DM19" i="3" s="1"/>
  <c r="DM20" i="3" s="1"/>
  <c r="DM21" i="3" s="1"/>
  <c r="DM22" i="3" s="1"/>
  <c r="DM23" i="3" s="1"/>
  <c r="DM24" i="3" s="1"/>
  <c r="DM25" i="3" s="1"/>
  <c r="DM26" i="3" s="1"/>
  <c r="DM27" i="3" s="1"/>
  <c r="DM28" i="3" s="1"/>
  <c r="DM29" i="3" s="1"/>
  <c r="DM30" i="3" s="1"/>
  <c r="DM31" i="3" s="1"/>
  <c r="DM32" i="3" s="1"/>
  <c r="DM33" i="3" s="1"/>
  <c r="DM34" i="3" s="1"/>
  <c r="DM35" i="3" s="1"/>
  <c r="DM36" i="3" s="1"/>
  <c r="DM37" i="3" s="1"/>
  <c r="DM38" i="3" s="1"/>
  <c r="DM39" i="3" s="1"/>
  <c r="DM40" i="3" s="1"/>
  <c r="DM41" i="3" s="1"/>
  <c r="DM42" i="3" s="1"/>
  <c r="DM18" i="3"/>
  <c r="FC17" i="3"/>
  <c r="FC19" i="3" s="1"/>
  <c r="FC20" i="3" s="1"/>
  <c r="FC21" i="3" s="1"/>
  <c r="FC22" i="3" s="1"/>
  <c r="FC23" i="3" s="1"/>
  <c r="FC24" i="3" s="1"/>
  <c r="FC25" i="3" s="1"/>
  <c r="FC26" i="3" s="1"/>
  <c r="FC27" i="3" s="1"/>
  <c r="FC28" i="3" s="1"/>
  <c r="FC29" i="3" s="1"/>
  <c r="FC30" i="3" s="1"/>
  <c r="FC31" i="3" s="1"/>
  <c r="FC32" i="3" s="1"/>
  <c r="FC33" i="3" s="1"/>
  <c r="FC34" i="3" s="1"/>
  <c r="FC35" i="3" s="1"/>
  <c r="FC36" i="3" s="1"/>
  <c r="FC37" i="3" s="1"/>
  <c r="FC38" i="3" s="1"/>
  <c r="FC39" i="3" s="1"/>
  <c r="FC40" i="3" s="1"/>
  <c r="FC41" i="3" s="1"/>
  <c r="FC42" i="3" s="1"/>
  <c r="FC18" i="3"/>
  <c r="DW17" i="3"/>
  <c r="DW19" i="3" s="1"/>
  <c r="DW20" i="3" s="1"/>
  <c r="DW21" i="3" s="1"/>
  <c r="DW22" i="3" s="1"/>
  <c r="DW23" i="3" s="1"/>
  <c r="DW24" i="3" s="1"/>
  <c r="DW25" i="3" s="1"/>
  <c r="DW26" i="3" s="1"/>
  <c r="DW27" i="3" s="1"/>
  <c r="DW28" i="3" s="1"/>
  <c r="DW29" i="3" s="1"/>
  <c r="DW30" i="3" s="1"/>
  <c r="DW31" i="3" s="1"/>
  <c r="DW32" i="3" s="1"/>
  <c r="DW33" i="3" s="1"/>
  <c r="DW34" i="3" s="1"/>
  <c r="DW35" i="3" s="1"/>
  <c r="DW36" i="3" s="1"/>
  <c r="DW37" i="3" s="1"/>
  <c r="DW38" i="3" s="1"/>
  <c r="DW39" i="3" s="1"/>
  <c r="DW40" i="3" s="1"/>
  <c r="DW41" i="3" s="1"/>
  <c r="DW42" i="3" s="1"/>
  <c r="DW18" i="3"/>
  <c r="EK18" i="3"/>
  <c r="EK17" i="3"/>
  <c r="EK19" i="3" s="1"/>
  <c r="EK20" i="3" s="1"/>
  <c r="EK21" i="3" s="1"/>
  <c r="EK22" i="3" s="1"/>
  <c r="EK23" i="3" s="1"/>
  <c r="EK24" i="3" s="1"/>
  <c r="EK25" i="3" s="1"/>
  <c r="EK26" i="3" s="1"/>
  <c r="EK27" i="3" s="1"/>
  <c r="EK28" i="3" s="1"/>
  <c r="EK29" i="3" s="1"/>
  <c r="EK30" i="3" s="1"/>
  <c r="EK31" i="3" s="1"/>
  <c r="EK32" i="3" s="1"/>
  <c r="EK33" i="3" s="1"/>
  <c r="EK34" i="3" s="1"/>
  <c r="EK35" i="3" s="1"/>
  <c r="EK36" i="3" s="1"/>
  <c r="EK37" i="3" s="1"/>
  <c r="EK38" i="3" s="1"/>
  <c r="EK39" i="3" s="1"/>
  <c r="EK40" i="3" s="1"/>
  <c r="EK41" i="3" s="1"/>
  <c r="EK42" i="3" s="1"/>
  <c r="EJ18" i="3"/>
  <c r="EJ17" i="3"/>
  <c r="EJ19" i="3" s="1"/>
  <c r="EJ20" i="3" s="1"/>
  <c r="EJ21" i="3" s="1"/>
  <c r="EJ22" i="3" s="1"/>
  <c r="EJ23" i="3" s="1"/>
  <c r="EJ24" i="3" s="1"/>
  <c r="EJ25" i="3" s="1"/>
  <c r="EJ26" i="3" s="1"/>
  <c r="EJ27" i="3" s="1"/>
  <c r="EJ28" i="3" s="1"/>
  <c r="EJ29" i="3" s="1"/>
  <c r="EJ30" i="3" s="1"/>
  <c r="EJ31" i="3" s="1"/>
  <c r="EJ32" i="3" s="1"/>
  <c r="EJ33" i="3" s="1"/>
  <c r="EJ34" i="3" s="1"/>
  <c r="EJ35" i="3" s="1"/>
  <c r="EJ36" i="3" s="1"/>
  <c r="EJ37" i="3" s="1"/>
  <c r="EJ38" i="3" s="1"/>
  <c r="EJ39" i="3" s="1"/>
  <c r="EJ40" i="3" s="1"/>
  <c r="EJ41" i="3" s="1"/>
  <c r="EJ42" i="3" s="1"/>
  <c r="FF17" i="3"/>
  <c r="FF19" i="3" s="1"/>
  <c r="FF20" i="3" s="1"/>
  <c r="FF21" i="3" s="1"/>
  <c r="FF22" i="3" s="1"/>
  <c r="FF23" i="3" s="1"/>
  <c r="FF24" i="3" s="1"/>
  <c r="FF25" i="3" s="1"/>
  <c r="FF26" i="3" s="1"/>
  <c r="FF27" i="3" s="1"/>
  <c r="FF28" i="3" s="1"/>
  <c r="FF29" i="3" s="1"/>
  <c r="FF30" i="3" s="1"/>
  <c r="FF31" i="3" s="1"/>
  <c r="FF32" i="3" s="1"/>
  <c r="FF33" i="3" s="1"/>
  <c r="FF34" i="3" s="1"/>
  <c r="FF35" i="3" s="1"/>
  <c r="FF36" i="3" s="1"/>
  <c r="FF37" i="3" s="1"/>
  <c r="FF38" i="3" s="1"/>
  <c r="FF39" i="3" s="1"/>
  <c r="FF40" i="3" s="1"/>
  <c r="FF41" i="3" s="1"/>
  <c r="FF42" i="3" s="1"/>
  <c r="FF18" i="3"/>
  <c r="DR18" i="3"/>
  <c r="DR17" i="3"/>
  <c r="DR19" i="3" s="1"/>
  <c r="DR20" i="3" s="1"/>
  <c r="DR21" i="3" s="1"/>
  <c r="DR22" i="3" s="1"/>
  <c r="DR23" i="3" s="1"/>
  <c r="DR24" i="3" s="1"/>
  <c r="DR25" i="3" s="1"/>
  <c r="DR26" i="3" s="1"/>
  <c r="DR27" i="3" s="1"/>
  <c r="DR28" i="3" s="1"/>
  <c r="DR29" i="3" s="1"/>
  <c r="DR30" i="3" s="1"/>
  <c r="DR31" i="3" s="1"/>
  <c r="DR32" i="3" s="1"/>
  <c r="DR33" i="3" s="1"/>
  <c r="DR34" i="3" s="1"/>
  <c r="DR35" i="3" s="1"/>
  <c r="DR36" i="3" s="1"/>
  <c r="DR37" i="3" s="1"/>
  <c r="DR38" i="3" s="1"/>
  <c r="DR39" i="3" s="1"/>
  <c r="DR40" i="3" s="1"/>
  <c r="DR41" i="3" s="1"/>
  <c r="DR42" i="3" s="1"/>
  <c r="FE17" i="3"/>
  <c r="FE19" i="3" s="1"/>
  <c r="FE20" i="3" s="1"/>
  <c r="FE21" i="3" s="1"/>
  <c r="FE22" i="3" s="1"/>
  <c r="FE23" i="3" s="1"/>
  <c r="FE24" i="3" s="1"/>
  <c r="FE25" i="3" s="1"/>
  <c r="FE26" i="3" s="1"/>
  <c r="FE27" i="3" s="1"/>
  <c r="FE28" i="3" s="1"/>
  <c r="FE29" i="3" s="1"/>
  <c r="FE30" i="3" s="1"/>
  <c r="FE31" i="3" s="1"/>
  <c r="FE32" i="3" s="1"/>
  <c r="FE33" i="3" s="1"/>
  <c r="FE34" i="3" s="1"/>
  <c r="FE35" i="3" s="1"/>
  <c r="FE36" i="3" s="1"/>
  <c r="FE37" i="3" s="1"/>
  <c r="FE38" i="3" s="1"/>
  <c r="FE39" i="3" s="1"/>
  <c r="FE40" i="3" s="1"/>
  <c r="FE41" i="3" s="1"/>
  <c r="FE42" i="3" s="1"/>
  <c r="FE18" i="3"/>
  <c r="DY17" i="3"/>
  <c r="DY19" i="3" s="1"/>
  <c r="DY20" i="3" s="1"/>
  <c r="DY21" i="3" s="1"/>
  <c r="DY22" i="3" s="1"/>
  <c r="DY23" i="3" s="1"/>
  <c r="DY24" i="3" s="1"/>
  <c r="DY25" i="3" s="1"/>
  <c r="DY26" i="3" s="1"/>
  <c r="DY27" i="3" s="1"/>
  <c r="DY28" i="3" s="1"/>
  <c r="DY29" i="3" s="1"/>
  <c r="DY30" i="3" s="1"/>
  <c r="DY31" i="3" s="1"/>
  <c r="DY32" i="3" s="1"/>
  <c r="DY33" i="3" s="1"/>
  <c r="DY34" i="3" s="1"/>
  <c r="DY35" i="3" s="1"/>
  <c r="DY36" i="3" s="1"/>
  <c r="DY37" i="3" s="1"/>
  <c r="DY38" i="3" s="1"/>
  <c r="DY39" i="3" s="1"/>
  <c r="DY40" i="3" s="1"/>
  <c r="DY41" i="3" s="1"/>
  <c r="DY42" i="3" s="1"/>
  <c r="DY18" i="3"/>
  <c r="EU17" i="3"/>
  <c r="EU19" i="3" s="1"/>
  <c r="EU20" i="3" s="1"/>
  <c r="EU21" i="3" s="1"/>
  <c r="EU22" i="3" s="1"/>
  <c r="EU23" i="3" s="1"/>
  <c r="EU24" i="3" s="1"/>
  <c r="EU25" i="3" s="1"/>
  <c r="EU26" i="3" s="1"/>
  <c r="EU27" i="3" s="1"/>
  <c r="EU28" i="3" s="1"/>
  <c r="EU29" i="3" s="1"/>
  <c r="EU30" i="3" s="1"/>
  <c r="EU31" i="3" s="1"/>
  <c r="EU32" i="3" s="1"/>
  <c r="EU33" i="3" s="1"/>
  <c r="EU34" i="3" s="1"/>
  <c r="EU35" i="3" s="1"/>
  <c r="EU36" i="3" s="1"/>
  <c r="EU37" i="3" s="1"/>
  <c r="EU38" i="3" s="1"/>
  <c r="EU39" i="3" s="1"/>
  <c r="EU40" i="3" s="1"/>
  <c r="EU41" i="3" s="1"/>
  <c r="EU42" i="3" s="1"/>
  <c r="EU18" i="3"/>
  <c r="DO17" i="3"/>
  <c r="DO19" i="3" s="1"/>
  <c r="DO20" i="3" s="1"/>
  <c r="DO21" i="3" s="1"/>
  <c r="DO22" i="3" s="1"/>
  <c r="DO23" i="3" s="1"/>
  <c r="DO24" i="3" s="1"/>
  <c r="DO25" i="3" s="1"/>
  <c r="DO26" i="3" s="1"/>
  <c r="DO27" i="3" s="1"/>
  <c r="DO28" i="3" s="1"/>
  <c r="DO29" i="3" s="1"/>
  <c r="DO30" i="3" s="1"/>
  <c r="DO31" i="3" s="1"/>
  <c r="DO32" i="3" s="1"/>
  <c r="DO33" i="3" s="1"/>
  <c r="DO34" i="3" s="1"/>
  <c r="DO35" i="3" s="1"/>
  <c r="DO36" i="3" s="1"/>
  <c r="DO37" i="3" s="1"/>
  <c r="DO38" i="3" s="1"/>
  <c r="DO39" i="3" s="1"/>
  <c r="DO40" i="3" s="1"/>
  <c r="DO41" i="3" s="1"/>
  <c r="DO42" i="3" s="1"/>
  <c r="DO18" i="3"/>
  <c r="FI17" i="3"/>
  <c r="FI19" i="3" s="1"/>
  <c r="FI20" i="3" s="1"/>
  <c r="FI21" i="3" s="1"/>
  <c r="FI22" i="3" s="1"/>
  <c r="FI23" i="3" s="1"/>
  <c r="FI24" i="3" s="1"/>
  <c r="FI25" i="3" s="1"/>
  <c r="FI26" i="3" s="1"/>
  <c r="FI27" i="3" s="1"/>
  <c r="FI28" i="3" s="1"/>
  <c r="FI29" i="3" s="1"/>
  <c r="FI30" i="3" s="1"/>
  <c r="FI31" i="3" s="1"/>
  <c r="FI32" i="3" s="1"/>
  <c r="FI33" i="3" s="1"/>
  <c r="FI34" i="3" s="1"/>
  <c r="FI35" i="3" s="1"/>
  <c r="FI36" i="3" s="1"/>
  <c r="FI37" i="3" s="1"/>
  <c r="FI38" i="3" s="1"/>
  <c r="FI39" i="3" s="1"/>
  <c r="FI40" i="3" s="1"/>
  <c r="FI41" i="3" s="1"/>
  <c r="FI42" i="3" s="1"/>
  <c r="FI18" i="3"/>
  <c r="EC18" i="3"/>
  <c r="EC17" i="3"/>
  <c r="EC19" i="3" s="1"/>
  <c r="EC20" i="3" s="1"/>
  <c r="EC21" i="3" s="1"/>
  <c r="EC22" i="3" s="1"/>
  <c r="EC23" i="3" s="1"/>
  <c r="EC24" i="3" s="1"/>
  <c r="EC25" i="3" s="1"/>
  <c r="EC26" i="3" s="1"/>
  <c r="EC27" i="3" s="1"/>
  <c r="EC28" i="3" s="1"/>
  <c r="EC29" i="3" s="1"/>
  <c r="EC30" i="3" s="1"/>
  <c r="EC31" i="3" s="1"/>
  <c r="EC32" i="3" s="1"/>
  <c r="EC33" i="3" s="1"/>
  <c r="EC34" i="3" s="1"/>
  <c r="EC35" i="3" s="1"/>
  <c r="EC36" i="3" s="1"/>
  <c r="EC37" i="3" s="1"/>
  <c r="EC38" i="3" s="1"/>
  <c r="EC39" i="3" s="1"/>
  <c r="EC40" i="3" s="1"/>
  <c r="EC41" i="3" s="1"/>
  <c r="EC42" i="3" s="1"/>
  <c r="FH17" i="3"/>
  <c r="FH19" i="3" s="1"/>
  <c r="FH20" i="3" s="1"/>
  <c r="FH21" i="3" s="1"/>
  <c r="FH22" i="3" s="1"/>
  <c r="FH23" i="3" s="1"/>
  <c r="FH24" i="3" s="1"/>
  <c r="FH25" i="3" s="1"/>
  <c r="FH26" i="3" s="1"/>
  <c r="FH27" i="3" s="1"/>
  <c r="FH28" i="3" s="1"/>
  <c r="FH29" i="3" s="1"/>
  <c r="FH30" i="3" s="1"/>
  <c r="FH31" i="3" s="1"/>
  <c r="FH32" i="3" s="1"/>
  <c r="FH33" i="3" s="1"/>
  <c r="FH34" i="3" s="1"/>
  <c r="FH35" i="3" s="1"/>
  <c r="FH36" i="3" s="1"/>
  <c r="FH37" i="3" s="1"/>
  <c r="FH38" i="3" s="1"/>
  <c r="FH39" i="3" s="1"/>
  <c r="FH40" i="3" s="1"/>
  <c r="FH41" i="3" s="1"/>
  <c r="FH42" i="3" s="1"/>
  <c r="FH18" i="3"/>
  <c r="EB18" i="3"/>
  <c r="EB17" i="3"/>
  <c r="EB19" i="3" s="1"/>
  <c r="EB20" i="3" s="1"/>
  <c r="EB21" i="3" s="1"/>
  <c r="EB22" i="3" s="1"/>
  <c r="EB23" i="3" s="1"/>
  <c r="EB24" i="3" s="1"/>
  <c r="EB25" i="3" s="1"/>
  <c r="EB26" i="3" s="1"/>
  <c r="EB27" i="3" s="1"/>
  <c r="EB28" i="3" s="1"/>
  <c r="EB29" i="3" s="1"/>
  <c r="EB30" i="3" s="1"/>
  <c r="EB31" i="3" s="1"/>
  <c r="EB32" i="3" s="1"/>
  <c r="EB33" i="3" s="1"/>
  <c r="EB34" i="3" s="1"/>
  <c r="EB35" i="3" s="1"/>
  <c r="EB36" i="3" s="1"/>
  <c r="EB37" i="3" s="1"/>
  <c r="EB38" i="3" s="1"/>
  <c r="EB39" i="3" s="1"/>
  <c r="EB40" i="3" s="1"/>
  <c r="EB41" i="3" s="1"/>
  <c r="EB42" i="3" s="1"/>
  <c r="EY17" i="3"/>
  <c r="EY19" i="3" s="1"/>
  <c r="EY20" i="3" s="1"/>
  <c r="EY21" i="3" s="1"/>
  <c r="EY22" i="3" s="1"/>
  <c r="EY23" i="3" s="1"/>
  <c r="EY24" i="3" s="1"/>
  <c r="EY25" i="3" s="1"/>
  <c r="EY26" i="3" s="1"/>
  <c r="EY27" i="3" s="1"/>
  <c r="EY28" i="3" s="1"/>
  <c r="EY29" i="3" s="1"/>
  <c r="EY30" i="3" s="1"/>
  <c r="EY31" i="3" s="1"/>
  <c r="EY32" i="3" s="1"/>
  <c r="EY33" i="3" s="1"/>
  <c r="EY34" i="3" s="1"/>
  <c r="EY35" i="3" s="1"/>
  <c r="EY36" i="3" s="1"/>
  <c r="EY37" i="3" s="1"/>
  <c r="EY38" i="3" s="1"/>
  <c r="EY39" i="3" s="1"/>
  <c r="EY40" i="3" s="1"/>
  <c r="EY41" i="3" s="1"/>
  <c r="EY42" i="3" s="1"/>
  <c r="EY18" i="3"/>
  <c r="EL18" i="3"/>
  <c r="EL17" i="3"/>
  <c r="EL19" i="3" s="1"/>
  <c r="EL20" i="3" s="1"/>
  <c r="EL21" i="3" s="1"/>
  <c r="EL22" i="3" s="1"/>
  <c r="EL23" i="3" s="1"/>
  <c r="EL24" i="3" s="1"/>
  <c r="EL25" i="3" s="1"/>
  <c r="EL26" i="3" s="1"/>
  <c r="EL27" i="3" s="1"/>
  <c r="EL28" i="3" s="1"/>
  <c r="EL29" i="3" s="1"/>
  <c r="EL30" i="3" s="1"/>
  <c r="EL31" i="3" s="1"/>
  <c r="EL32" i="3" s="1"/>
  <c r="EL33" i="3" s="1"/>
  <c r="EL34" i="3" s="1"/>
  <c r="EL35" i="3" s="1"/>
  <c r="EL36" i="3" s="1"/>
  <c r="EL37" i="3" s="1"/>
  <c r="EL38" i="3" s="1"/>
  <c r="EL39" i="3" s="1"/>
  <c r="EL40" i="3" s="1"/>
  <c r="EL41" i="3" s="1"/>
  <c r="EL42" i="3" s="1"/>
  <c r="EP17" i="3"/>
  <c r="EP19" i="3" s="1"/>
  <c r="EP20" i="3" s="1"/>
  <c r="EP21" i="3" s="1"/>
  <c r="EP22" i="3" s="1"/>
  <c r="EP23" i="3" s="1"/>
  <c r="EP24" i="3" s="1"/>
  <c r="EP25" i="3" s="1"/>
  <c r="EP26" i="3" s="1"/>
  <c r="EP27" i="3" s="1"/>
  <c r="EP28" i="3" s="1"/>
  <c r="EP29" i="3" s="1"/>
  <c r="EP30" i="3" s="1"/>
  <c r="EP31" i="3" s="1"/>
  <c r="EP32" i="3" s="1"/>
  <c r="EP33" i="3" s="1"/>
  <c r="EP34" i="3" s="1"/>
  <c r="EP35" i="3" s="1"/>
  <c r="EP36" i="3" s="1"/>
  <c r="EP37" i="3" s="1"/>
  <c r="EP38" i="3" s="1"/>
  <c r="EP39" i="3" s="1"/>
  <c r="EP40" i="3" s="1"/>
  <c r="EP41" i="3" s="1"/>
  <c r="EP42" i="3" s="1"/>
  <c r="EP18" i="3"/>
  <c r="EF18" i="3"/>
  <c r="EF17" i="3"/>
  <c r="EF19" i="3" s="1"/>
  <c r="EF20" i="3" s="1"/>
  <c r="EF21" i="3" s="1"/>
  <c r="EF22" i="3" s="1"/>
  <c r="EF23" i="3" s="1"/>
  <c r="EF24" i="3" s="1"/>
  <c r="EF25" i="3" s="1"/>
  <c r="EF26" i="3" s="1"/>
  <c r="EF27" i="3" s="1"/>
  <c r="EF28" i="3" s="1"/>
  <c r="EF29" i="3" s="1"/>
  <c r="EF30" i="3" s="1"/>
  <c r="EF31" i="3" s="1"/>
  <c r="EF32" i="3" s="1"/>
  <c r="EF33" i="3" s="1"/>
  <c r="EF34" i="3" s="1"/>
  <c r="EF35" i="3" s="1"/>
  <c r="EF36" i="3" s="1"/>
  <c r="EF37" i="3" s="1"/>
  <c r="EF38" i="3" s="1"/>
  <c r="EF39" i="3" s="1"/>
  <c r="EF40" i="3" s="1"/>
  <c r="EF41" i="3" s="1"/>
  <c r="EF42" i="3" s="1"/>
  <c r="EW17" i="3"/>
  <c r="EW19" i="3" s="1"/>
  <c r="EW20" i="3" s="1"/>
  <c r="EW21" i="3" s="1"/>
  <c r="EW22" i="3" s="1"/>
  <c r="EW23" i="3" s="1"/>
  <c r="EW24" i="3" s="1"/>
  <c r="EW25" i="3" s="1"/>
  <c r="EW26" i="3" s="1"/>
  <c r="EW27" i="3" s="1"/>
  <c r="EW28" i="3" s="1"/>
  <c r="EW29" i="3" s="1"/>
  <c r="EW30" i="3" s="1"/>
  <c r="EW31" i="3" s="1"/>
  <c r="EW32" i="3" s="1"/>
  <c r="EW33" i="3" s="1"/>
  <c r="EW34" i="3" s="1"/>
  <c r="EW35" i="3" s="1"/>
  <c r="EW36" i="3" s="1"/>
  <c r="EW37" i="3" s="1"/>
  <c r="EW38" i="3" s="1"/>
  <c r="EW39" i="3" s="1"/>
  <c r="EW40" i="3" s="1"/>
  <c r="EW41" i="3" s="1"/>
  <c r="EW42" i="3" s="1"/>
  <c r="EW18" i="3"/>
  <c r="EM17" i="3"/>
  <c r="EM19" i="3" s="1"/>
  <c r="EM20" i="3" s="1"/>
  <c r="EM21" i="3" s="1"/>
  <c r="EM22" i="3" s="1"/>
  <c r="EM23" i="3" s="1"/>
  <c r="EM24" i="3" s="1"/>
  <c r="EM25" i="3" s="1"/>
  <c r="EM26" i="3" s="1"/>
  <c r="EM27" i="3" s="1"/>
  <c r="EM28" i="3" s="1"/>
  <c r="EM29" i="3" s="1"/>
  <c r="EM30" i="3" s="1"/>
  <c r="EM31" i="3" s="1"/>
  <c r="EM32" i="3" s="1"/>
  <c r="EM33" i="3" s="1"/>
  <c r="EM34" i="3" s="1"/>
  <c r="EM35" i="3" s="1"/>
  <c r="EM36" i="3" s="1"/>
  <c r="EM37" i="3" s="1"/>
  <c r="EM38" i="3" s="1"/>
  <c r="EM39" i="3" s="1"/>
  <c r="EM40" i="3" s="1"/>
  <c r="EM41" i="3" s="1"/>
  <c r="EM42" i="3" s="1"/>
  <c r="EM18" i="3"/>
  <c r="FA17" i="3"/>
  <c r="FA19" i="3" s="1"/>
  <c r="FA20" i="3" s="1"/>
  <c r="FA21" i="3" s="1"/>
  <c r="FA22" i="3" s="1"/>
  <c r="FA23" i="3" s="1"/>
  <c r="FA24" i="3" s="1"/>
  <c r="FA25" i="3" s="1"/>
  <c r="FA26" i="3" s="1"/>
  <c r="FA27" i="3" s="1"/>
  <c r="FA28" i="3" s="1"/>
  <c r="FA29" i="3" s="1"/>
  <c r="FA30" i="3" s="1"/>
  <c r="FA31" i="3" s="1"/>
  <c r="FA32" i="3" s="1"/>
  <c r="FA33" i="3" s="1"/>
  <c r="FA34" i="3" s="1"/>
  <c r="FA35" i="3" s="1"/>
  <c r="FA36" i="3" s="1"/>
  <c r="FA37" i="3" s="1"/>
  <c r="FA38" i="3" s="1"/>
  <c r="FA39" i="3" s="1"/>
  <c r="FA40" i="3" s="1"/>
  <c r="FA41" i="3" s="1"/>
  <c r="FA42" i="3" s="1"/>
  <c r="FA18" i="3"/>
  <c r="EZ17" i="3"/>
  <c r="EZ19" i="3" s="1"/>
  <c r="EZ20" i="3" s="1"/>
  <c r="EZ21" i="3" s="1"/>
  <c r="EZ22" i="3" s="1"/>
  <c r="EZ23" i="3" s="1"/>
  <c r="EZ24" i="3" s="1"/>
  <c r="EZ25" i="3" s="1"/>
  <c r="EZ26" i="3" s="1"/>
  <c r="EZ27" i="3" s="1"/>
  <c r="EZ28" i="3" s="1"/>
  <c r="EZ29" i="3" s="1"/>
  <c r="EZ30" i="3" s="1"/>
  <c r="EZ31" i="3" s="1"/>
  <c r="EZ32" i="3" s="1"/>
  <c r="EZ33" i="3" s="1"/>
  <c r="EZ34" i="3" s="1"/>
  <c r="EZ35" i="3" s="1"/>
  <c r="EZ36" i="3" s="1"/>
  <c r="EZ37" i="3" s="1"/>
  <c r="EZ38" i="3" s="1"/>
  <c r="EZ39" i="3" s="1"/>
  <c r="EZ40" i="3" s="1"/>
  <c r="EZ41" i="3" s="1"/>
  <c r="EZ42" i="3" s="1"/>
  <c r="EZ18" i="3"/>
  <c r="FJ18" i="3"/>
  <c r="FJ17" i="3"/>
  <c r="FJ19" i="3" s="1"/>
  <c r="FJ20" i="3" s="1"/>
  <c r="FJ21" i="3" s="1"/>
  <c r="FJ22" i="3" s="1"/>
  <c r="FJ23" i="3" s="1"/>
  <c r="FJ24" i="3" s="1"/>
  <c r="FJ25" i="3" s="1"/>
  <c r="FJ26" i="3" s="1"/>
  <c r="FJ27" i="3" s="1"/>
  <c r="FJ28" i="3" s="1"/>
  <c r="FJ29" i="3" s="1"/>
  <c r="FJ30" i="3" s="1"/>
  <c r="FJ31" i="3" s="1"/>
  <c r="FJ32" i="3" s="1"/>
  <c r="FJ33" i="3" s="1"/>
  <c r="FJ34" i="3" s="1"/>
  <c r="FJ35" i="3" s="1"/>
  <c r="FJ36" i="3" s="1"/>
  <c r="FJ37" i="3" s="1"/>
  <c r="FJ38" i="3" s="1"/>
  <c r="FJ39" i="3" s="1"/>
  <c r="FJ40" i="3" s="1"/>
  <c r="FJ41" i="3" s="1"/>
  <c r="FJ42" i="3" s="1"/>
  <c r="FD18" i="3"/>
  <c r="FD17" i="3"/>
  <c r="FD19" i="3" s="1"/>
  <c r="FD20" i="3" s="1"/>
  <c r="FD21" i="3" s="1"/>
  <c r="FD22" i="3" s="1"/>
  <c r="FD23" i="3" s="1"/>
  <c r="FD24" i="3" s="1"/>
  <c r="FD25" i="3" s="1"/>
  <c r="FD26" i="3" s="1"/>
  <c r="FD27" i="3" s="1"/>
  <c r="FD28" i="3" s="1"/>
  <c r="FD29" i="3" s="1"/>
  <c r="FD30" i="3" s="1"/>
  <c r="FD31" i="3" s="1"/>
  <c r="FD32" i="3" s="1"/>
  <c r="FD33" i="3" s="1"/>
  <c r="FD34" i="3" s="1"/>
  <c r="FD35" i="3" s="1"/>
  <c r="FD36" i="3" s="1"/>
  <c r="FD37" i="3" s="1"/>
  <c r="FD38" i="3" s="1"/>
  <c r="FD39" i="3" s="1"/>
  <c r="FD40" i="3" s="1"/>
  <c r="FD41" i="3" s="1"/>
  <c r="FD42" i="3" s="1"/>
</calcChain>
</file>

<file path=xl/sharedStrings.xml><?xml version="1.0" encoding="utf-8"?>
<sst xmlns="http://schemas.openxmlformats.org/spreadsheetml/2006/main" count="1224" uniqueCount="264">
  <si>
    <t>N°</t>
  </si>
  <si>
    <t>NOMBRES Y APELLIDOS</t>
  </si>
  <si>
    <t>DOC. IDENTIDAD</t>
  </si>
  <si>
    <t>GRUPO</t>
  </si>
  <si>
    <t>DIRECTOR DE GRUPO</t>
  </si>
  <si>
    <t>JORNADA</t>
  </si>
  <si>
    <t>PERIODO</t>
  </si>
  <si>
    <t>AÑO</t>
  </si>
  <si>
    <t>IHS</t>
  </si>
  <si>
    <t>COG</t>
  </si>
  <si>
    <t>PROC</t>
  </si>
  <si>
    <t>ACT</t>
  </si>
  <si>
    <t>DEFIN</t>
  </si>
  <si>
    <t>DESEMP.</t>
  </si>
  <si>
    <t>PROMEDIO</t>
  </si>
  <si>
    <t>L. MAT C</t>
  </si>
  <si>
    <t>L MAT P</t>
  </si>
  <si>
    <t>L MAT A</t>
  </si>
  <si>
    <t>L. ESTAD C</t>
  </si>
  <si>
    <t>L. ESTAD P</t>
  </si>
  <si>
    <t>L. ESTAD A</t>
  </si>
  <si>
    <t>L LEN C</t>
  </si>
  <si>
    <t>L LEN P</t>
  </si>
  <si>
    <t>L LEN A</t>
  </si>
  <si>
    <t>L LC C</t>
  </si>
  <si>
    <t>L LC P</t>
  </si>
  <si>
    <t>L LC A</t>
  </si>
  <si>
    <t>L. FINGL C</t>
  </si>
  <si>
    <t>L. FINGL P</t>
  </si>
  <si>
    <t>L. FINGL A</t>
  </si>
  <si>
    <t>L. SPEAK C</t>
  </si>
  <si>
    <t>L. SPEAK P</t>
  </si>
  <si>
    <t>L. PSEAK A</t>
  </si>
  <si>
    <t>L BIO C</t>
  </si>
  <si>
    <t>L BIO P</t>
  </si>
  <si>
    <t>L BIO A</t>
  </si>
  <si>
    <t>L MAM C</t>
  </si>
  <si>
    <t>L MAM P</t>
  </si>
  <si>
    <t>L MAM A</t>
  </si>
  <si>
    <t>L SOC C</t>
  </si>
  <si>
    <t>L SOC P</t>
  </si>
  <si>
    <t>L SOC A</t>
  </si>
  <si>
    <t>L HIS C</t>
  </si>
  <si>
    <t>L HIS P</t>
  </si>
  <si>
    <t>L HIS A</t>
  </si>
  <si>
    <t>L GEOG C</t>
  </si>
  <si>
    <t>L GEOG P</t>
  </si>
  <si>
    <t>L GEOG A</t>
  </si>
  <si>
    <t>L CPAZ C</t>
  </si>
  <si>
    <t>L CPAZ P</t>
  </si>
  <si>
    <t>L CPAZ A</t>
  </si>
  <si>
    <t>L. ET C</t>
  </si>
  <si>
    <t>L ET P</t>
  </si>
  <si>
    <t>L ET A</t>
  </si>
  <si>
    <t>L REL C</t>
  </si>
  <si>
    <t>L REL P</t>
  </si>
  <si>
    <t>L REL A</t>
  </si>
  <si>
    <t>L ART C</t>
  </si>
  <si>
    <t>L ART P</t>
  </si>
  <si>
    <t>L ART A</t>
  </si>
  <si>
    <t>L EF C</t>
  </si>
  <si>
    <t>L EF P</t>
  </si>
  <si>
    <t>L EF A</t>
  </si>
  <si>
    <t>L INF C</t>
  </si>
  <si>
    <t>L INF P</t>
  </si>
  <si>
    <t>L INF A</t>
  </si>
  <si>
    <t>L CONV</t>
  </si>
  <si>
    <t>ACOSTA ROCHA DANIEL ANTONIO</t>
  </si>
  <si>
    <t>8°A</t>
  </si>
  <si>
    <t>Yenis María Duncan Ramirez</t>
  </si>
  <si>
    <t>Mañana</t>
  </si>
  <si>
    <t>PRIMERO</t>
  </si>
  <si>
    <t>ALEMAN MORALES JUAN SEBASTIAN</t>
  </si>
  <si>
    <t>ALVAREZ SALAS LUISA ISABELLA</t>
  </si>
  <si>
    <t>CABALLERO MACHADO BREINER JAFETH</t>
  </si>
  <si>
    <t>CABALLERO REALES HARETH JANOVIS</t>
  </si>
  <si>
    <t>CAMARGO TOLOZA ELIAS JESUS</t>
  </si>
  <si>
    <t>CAMPO CABALLERO KARLA ANDREA</t>
  </si>
  <si>
    <t xml:space="preserve">CANTILLO PALLARES SOFIA </t>
  </si>
  <si>
    <t>CARDENAS SUAREZ DARIS MILENA</t>
  </si>
  <si>
    <t>CASSIANI CASSIANI ALAN ANDRES</t>
  </si>
  <si>
    <t xml:space="preserve">CASTAÑO VILLARREAL SEBASTIAN </t>
  </si>
  <si>
    <t>CONTRERAS TORRENEGRA HILLARY SOFIA</t>
  </si>
  <si>
    <t>CONTRERAS VANEGAS JOSHUAT AARAN</t>
  </si>
  <si>
    <t>DE VEGA REYES KEILER DAVID</t>
  </si>
  <si>
    <t>DEL VALLE SANTIAGO KRYZ ANGELY</t>
  </si>
  <si>
    <t xml:space="preserve">DUNCAN ORTIZ MADELYN </t>
  </si>
  <si>
    <t>DUQUE VILORIA JHONATAN JANDER</t>
  </si>
  <si>
    <t>GARCIA JIMENEZ CAMILO ANDRES</t>
  </si>
  <si>
    <t>GARCIA RIVALDO MARIA JOSE</t>
  </si>
  <si>
    <t xml:space="preserve">GARCIA ROJANO CAMILA </t>
  </si>
  <si>
    <t>4,4,</t>
  </si>
  <si>
    <t>HENAO POLO SHARON CRISTINA</t>
  </si>
  <si>
    <t>HERNANDEZ MENDOZA ROYNER DAVID</t>
  </si>
  <si>
    <t>JACOME CUELLO DALIANYS SOFIA</t>
  </si>
  <si>
    <t>JIMENEZ LOPEZ SHAYELL DAVID</t>
  </si>
  <si>
    <t>MARRIAGA GUTIERREZ DENIEL MATIAS</t>
  </si>
  <si>
    <t>MARTINEZ ROA ANDRES DANIEL</t>
  </si>
  <si>
    <t>MOLINA LAMBRAÑO SAMARA ISABELLA</t>
  </si>
  <si>
    <t>MONTIEL VILLARREAL ANGELYS CAROLINA</t>
  </si>
  <si>
    <t>N49094291033</t>
  </si>
  <si>
    <t>NAVARRO RODRIGUEZ KAROL MICHELL</t>
  </si>
  <si>
    <t>PABON DE AVILA FERLEY DAVID</t>
  </si>
  <si>
    <t xml:space="preserve">PACHECO MARENCO THALYANA </t>
  </si>
  <si>
    <t>PACHECO RAMIREZ DANIEL HENRY</t>
  </si>
  <si>
    <t>PALOMINO GARNICA SEBASTIAN DAVID</t>
  </si>
  <si>
    <t>RANGEL DE LA ROSA DANNA NICOLLE</t>
  </si>
  <si>
    <t>RICO JARABA JUAN JOSE</t>
  </si>
  <si>
    <t xml:space="preserve">RINCON AREIZA SANTIAGO </t>
  </si>
  <si>
    <t>SOLANO CAMPO VICTOR MANUEL</t>
  </si>
  <si>
    <t>URANGO MARTINEZ CHEILA ANDREA</t>
  </si>
  <si>
    <t>VILLANUEVA RODRIGUEZ SHARIETH MILET</t>
  </si>
  <si>
    <t>VILLAREAL VILLA DILAN JOSE</t>
  </si>
  <si>
    <t>VIZCAINO CAICEDO CARMEN SOFIA</t>
  </si>
  <si>
    <t>MATEMATICAS</t>
  </si>
  <si>
    <t>ESTADISTICA</t>
  </si>
  <si>
    <t>LENGUAJE</t>
  </si>
  <si>
    <t>LECTURA CRITICA</t>
  </si>
  <si>
    <t>FUND. LENGUA INGLESA</t>
  </si>
  <si>
    <t>SPEAKING AND LIFE SKILLS</t>
  </si>
  <si>
    <t>BIOLOGIA</t>
  </si>
  <si>
    <t>MEDIO AMBIENTE</t>
  </si>
  <si>
    <t>C. SOCIALES</t>
  </si>
  <si>
    <t>HISTORIA</t>
  </si>
  <si>
    <t>GEOGRAFÍA</t>
  </si>
  <si>
    <t>CATEDRA DE PAZ</t>
  </si>
  <si>
    <t>ETICA</t>
  </si>
  <si>
    <t>RELIGION</t>
  </si>
  <si>
    <t>ED. FISICA</t>
  </si>
  <si>
    <t>ARTE</t>
  </si>
  <si>
    <t>INFORMATICA</t>
  </si>
  <si>
    <t>CONVIVENCIA</t>
  </si>
  <si>
    <t xml:space="preserve"> </t>
  </si>
  <si>
    <t>AHUMADA MARTINEZ LEIDER ANDREZ</t>
  </si>
  <si>
    <t>8°B</t>
  </si>
  <si>
    <t>Luis Alberto Cardenas Pernett</t>
  </si>
  <si>
    <t>ALBORNOZ GONZALEZ MARIANYELI NOHELI</t>
  </si>
  <si>
    <t>BARRIOS CANTILLO SANTIAGO DAVID</t>
  </si>
  <si>
    <t>BETTIN MANJARRES JULIAN ALEXANDER</t>
  </si>
  <si>
    <t>CARDONA GARCIA ANDREA CAROLINA</t>
  </si>
  <si>
    <t>CARRANZA PADILLA LUIS FELIPE</t>
  </si>
  <si>
    <t xml:space="preserve">CASANOVA JOSEPA VALENTINA </t>
  </si>
  <si>
    <t>CASSIANI ZAPATA JEANN CAMILO</t>
  </si>
  <si>
    <t>CASTILLO LOPEZ JUAN CAMILO</t>
  </si>
  <si>
    <t>CESPEDES OLIVARES EMILY MICHAEL</t>
  </si>
  <si>
    <t>CHOVIL CARROL MIGUEL ANGEL</t>
  </si>
  <si>
    <t>CORONADO RIVERA CARLOS SAIR</t>
  </si>
  <si>
    <t>DE LA HOZ FERNANDEZ CARLOS DAMIAN</t>
  </si>
  <si>
    <t>DEL VALLE SANTIAGO LUIZZANGEL DAVID</t>
  </si>
  <si>
    <t>FABREGAS ESTRADA KETTY JIRETH</t>
  </si>
  <si>
    <t>FONTALVO HURTADO IDELFONSO RAFAEL</t>
  </si>
  <si>
    <t>GONZALEZ RAMIREZ LUNA SALOME</t>
  </si>
  <si>
    <t xml:space="preserve">GUTIERREZ TORRES MARIANA </t>
  </si>
  <si>
    <t>HERRERA GUTIERREZ ESTIVEN ANDRES</t>
  </si>
  <si>
    <t>HUELVAS DIAZ DANIELA DE JESUS</t>
  </si>
  <si>
    <t>LOPEZ PERNIA SOFIA ALEXANDRA</t>
  </si>
  <si>
    <t>MARTINEZ GUERRA JOSEPH DAVID</t>
  </si>
  <si>
    <t>MORALES MORALES KEILER KALLET</t>
  </si>
  <si>
    <t xml:space="preserve">MORENO HIDALGO AILIN </t>
  </si>
  <si>
    <t>OLIVARES BARRIOS NATHALY ANDREA</t>
  </si>
  <si>
    <t>OSORIO CARMONA XAVIER DAVID</t>
  </si>
  <si>
    <t>OVIEDO ALCAZAR NEVIS ALEJANDRA</t>
  </si>
  <si>
    <t>PARRA FONTALVO EILLY MARIET</t>
  </si>
  <si>
    <t>PEÑA AGUDELO RODNEY SAMUEL</t>
  </si>
  <si>
    <t xml:space="preserve">PINTO MEJIA SCARLETH </t>
  </si>
  <si>
    <t>RAMOS JIMENEZ ELIANIS MARIA</t>
  </si>
  <si>
    <t>RIOS CABALLERO MARIA CELESTE</t>
  </si>
  <si>
    <t>RIVAS BARBOZA SHANTAL SOPHIA</t>
  </si>
  <si>
    <t>N49094760114</t>
  </si>
  <si>
    <t>ROMERO FERNANDEZ ALFREDO RAFAEL</t>
  </si>
  <si>
    <t>SARMIENTO OLIVO CARLOS DANIEL</t>
  </si>
  <si>
    <t>SERGE VILLADIEGO NATALY JULIETH</t>
  </si>
  <si>
    <t>TORRES ESCOBAR YESID BARRETO</t>
  </si>
  <si>
    <t>URIAN PEREZ ABRAHAM ISAAC</t>
  </si>
  <si>
    <t>VISBAL SANGUINO SAMUEL DAVID</t>
  </si>
  <si>
    <t>ACOSTA DIAZ JESUS DANIEL</t>
  </si>
  <si>
    <t>8°C</t>
  </si>
  <si>
    <t>Mildret Villarreal Padilla</t>
  </si>
  <si>
    <t>ACUÑA ACOSTA NICOLLE SOFIA</t>
  </si>
  <si>
    <t xml:space="preserve">ADECHINE GUERRA CATALINA </t>
  </si>
  <si>
    <t>AMADOR RUIZ DIOMAR ESTEBAN</t>
  </si>
  <si>
    <t>ANAYA GOMEZ SAMUEL ELIAS</t>
  </si>
  <si>
    <t xml:space="preserve">APARICIO RUIZ GABRIELA </t>
  </si>
  <si>
    <t>ARAUJO BLANQUICET OSNAIDER JOSE</t>
  </si>
  <si>
    <t>ARROYO JULIO SERGIO ANDRES</t>
  </si>
  <si>
    <t>BOLIVAR REALES SANTIAGO DAVID</t>
  </si>
  <si>
    <t>CARDONA PEREZ MATIAS</t>
  </si>
  <si>
    <t>CUADRADO PADILLA WILFRAN ANDRES</t>
  </si>
  <si>
    <t>DAZA HERNANDEZ JUAN DANIEL</t>
  </si>
  <si>
    <t>DE LA HOZ PORTILLO ANDRES ELIAS</t>
  </si>
  <si>
    <t>DIAZ ARIZA JOSEPH THIAGO</t>
  </si>
  <si>
    <t>DURAND MOLINA SANTIAGO MIGUEL</t>
  </si>
  <si>
    <t>GALVIZ SABALZA AURA CRISTINA</t>
  </si>
  <si>
    <t>GOMEZ GUZMAN STEFANY LORENA</t>
  </si>
  <si>
    <t xml:space="preserve">GOMEZ LOPEZ MATIAS </t>
  </si>
  <si>
    <t>GONZALEZ BALANTA AURIANNY SAIRD</t>
  </si>
  <si>
    <t>GONZALEZ ORTIZ AMAURYS DANIEL</t>
  </si>
  <si>
    <t>LEAL PASTOR MATTIAS ANDRES</t>
  </si>
  <si>
    <t>MARTINEZ PEREZ MARIA ANGEL</t>
  </si>
  <si>
    <t>MARTINEZ VIDALES MADELEINE JOHANA</t>
  </si>
  <si>
    <t>MORA GARCIA EDUARDO SEGUNDO</t>
  </si>
  <si>
    <t>MORA SANTOS CAMILA VICTORIA</t>
  </si>
  <si>
    <t>N49096490538</t>
  </si>
  <si>
    <t>MUÑOZ VELEZ TY LEE GLEN</t>
  </si>
  <si>
    <t>NAVARRO CANTILLO ADRIAN ALBERTO</t>
  </si>
  <si>
    <t>OCHOA CALDERA ISAAC DAVID</t>
  </si>
  <si>
    <t>PALMAR CHIRINOS SAMUEL ENRIQUE</t>
  </si>
  <si>
    <t>PEREZ MOVILLA ALIX MARIANA</t>
  </si>
  <si>
    <t>PINO PINEDA CAMILO ANDRES</t>
  </si>
  <si>
    <t>PIZARRO ALVAREZ DANIEL JESUS</t>
  </si>
  <si>
    <t>SARMIENTO MOLINARES DULCE MARIA</t>
  </si>
  <si>
    <t>TELLO CANAMEJOY LEIDY TATIANA</t>
  </si>
  <si>
    <t>TOLEDO OJEDA YULEINIS MILAGRO</t>
  </si>
  <si>
    <t>TOVAR JIMENEZ NAYLA CAROLINA</t>
  </si>
  <si>
    <t>VASQUEZ VANEGAS VICTOR ALFONSO</t>
  </si>
  <si>
    <t>VIDES RUZ LAURA VANESSA</t>
  </si>
  <si>
    <t>VILLA CARABALLO JAIDELYS REGINA</t>
  </si>
  <si>
    <t>VILLAMIZAR DIAZ DEIWIL ALEXANDER</t>
  </si>
  <si>
    <t>COGNITIVO</t>
  </si>
  <si>
    <t>PROCEDIMENTAL</t>
  </si>
  <si>
    <t>ACTITUDINAL</t>
  </si>
  <si>
    <t>Comprende el concepto de números reales, su relación de orden y las propiedades de sus operaciones, así como las relaciones de semejanza y congruencia de distintas figuras geométricas.</t>
  </si>
  <si>
    <t>Aplica correctamente las propiedades de las operaciones de números reales y expresiones algebraicas en la resolución de problemas.</t>
  </si>
  <si>
    <t>Valora el uso del pensamiento lógico a la hora de plantear y resolver problemas de las matemáticas y de la vida cotidiana.</t>
  </si>
  <si>
    <t>Reconoce y clasifica variables aleatorias, comprendiendo sus tipos y características; además, interpreta la información presentada en tablas de frecuencias y diagramas estadísticos, explicando su significado en contextos diversos.</t>
  </si>
  <si>
    <t>Organiza y analiza datos mediante la construcción de tablas de frecuencias y diagramas estadísticos, identificando variables aleatorias y utilizando estas representaciones para resolver situaciones problema.</t>
  </si>
  <si>
    <t>Muestra disposición y responsabilidad en el manejo y análisis de datos, participando activamente en actividades individuales y colaborativas, y comunicando información estadística con claridad y sentido crítico.</t>
  </si>
  <si>
    <t>Analiza las características de la literatura prehispánica y la literatura del descubrimiento y la conquista en Colombia identificando sus elementos fundamentales y su impacto en la cultura y el lenguaje actual.</t>
  </si>
  <si>
    <t>Realiza comprensión lectora cuando analiza un texto desde el discurso de la Enunciación e identifica la función de cada uno de sus componentes.
Responde preguntas en los tres niveles de lectura a una leyenda del Caribe.</t>
  </si>
  <si>
    <t>Muestra disposición para participar activamente en las clases, promoviendo el respeto por las ideas ajenas y reconociendo la importancia de la precisión como una herramienta clave para una comunicación</t>
  </si>
  <si>
    <t>LECTURA CRÍTICA</t>
  </si>
  <si>
    <t>Comprende el contenido del cuento A la deriva, identificando su tema central, la secuencia de los hechos, los personajes y las ideas explícitas e implícitas del texto.</t>
  </si>
  <si>
    <t>Analiza críticamente el cuento A la deriva mediante la identificación de información literal, inferencial y crítica, sustentando sus respuestas de forma oral y escrita.</t>
  </si>
  <si>
    <t>Valora la lectura literaria como una oportunidad para reflexionar sobre la vida, la naturaleza y la condición humana, participando con interés, respeto y sentido crítico en las actividades propuestas.</t>
  </si>
  <si>
    <t>Comprende y reconoce vocabulario y estructuras basicas del ingles para interpretar textos cortos y conversaciones sobre temas cotidianos de la vida diaria.</t>
  </si>
  <si>
    <t>Produce de forma oral y escrita frases y parrafos cortos en Ingles, utilizando correctamente las estructuras conocidas para describir rutinas, narrar experiencias y participar en conversaciones.</t>
  </si>
  <si>
    <t>Muestra disposicion positiva hacia el aprendizaje del Ingles participando activamente en clase.</t>
  </si>
  <si>
    <t>Identifica vocabulario en Ingles  de situaciones cotidianas.</t>
  </si>
  <si>
    <t>Participa en actividades utilizando vocabulario aprendido para expresar gustos,emociones y necesidades.</t>
  </si>
  <si>
    <t>Respeta la opinion de los demas, muestra disposicion para participar en actividades orales.</t>
  </si>
  <si>
    <t>Identifica la conformación y funcionamiento del sistema inmunolófico y diferencia las característics de los estados de la materia.</t>
  </si>
  <si>
    <t>Reconoce experimentalmente las características de materiales en los diferentes estados de la materia.</t>
  </si>
  <si>
    <t xml:space="preserve">Valora la importancia de tener habitos saludables, para lograr el mantenimiento saludable del sistema inmune. </t>
  </si>
  <si>
    <t>Describe correctamente la secuencia de eventos biologicos de la fecundacion,incluyendo las recciones acrosomicas,la funcion de gametos y la formacion de gametos.</t>
  </si>
  <si>
    <t>Mide la capacidad del labolatrio para lograr la fecundacion exitosa de los ovulos con el espermatozoide.</t>
  </si>
  <si>
    <t>Valora la importancia del cuidado del cuerpo y de la salud reproductiva como la base para una fecundacion saludable.</t>
  </si>
  <si>
    <t>Explico las principales caracteristicas de algunas revoluciones de los siglos XVIII y XIX (Revolucion francesa, Industrial...)</t>
  </si>
  <si>
    <t>Analiza las causas y consecuencias de procesos historicos como la Revolucion Industrial y Francesa.</t>
  </si>
  <si>
    <t>Muestra interes y curiosidad por comprender los procesos historicos y su impacto en la sociedad.</t>
  </si>
  <si>
    <t xml:space="preserve">Identifica los procesos historicos de algunas revoluciones de los siglos XVIII y XIX </t>
  </si>
  <si>
    <t>GEOGRAFIA</t>
  </si>
  <si>
    <t xml:space="preserve">Comprende la distribucion espacial de la poblacion antes y despues de las revoluciones </t>
  </si>
  <si>
    <t xml:space="preserve">Ubica en mapas las regiones donde se desarrollaron las principales revoluciones y explica sus caracteristicas geograficas </t>
  </si>
  <si>
    <t>Muestra interes por comprender la relacion entre sociedad, economia y territorio</t>
  </si>
  <si>
    <t>Comprende el concepto de cultura de paz y su importancia en la sociedad</t>
  </si>
  <si>
    <t>Practica normas de convivencia en diferentes espacios( aula, hogar, comunidad)</t>
  </si>
  <si>
    <t>Muestra actitud de respeto hacia la diversidad cuktural, social y de pensamiento</t>
  </si>
  <si>
    <t xml:space="preserve"> Identifica las expresiones motrices relacionadas con el juego del voleibol,  como una oportunidad para mejorar la salud, la estética y las relaciones con los demás.</t>
  </si>
  <si>
    <t>Pone en práctica los fundamentos básicos del voleibol.</t>
  </si>
  <si>
    <t>Muestra  responsabilidad y buena actitud al realizar el juego de voleibol.</t>
  </si>
  <si>
    <t>Comprende el concepto de variable como espacio de almacenamiento de datos y reconoce el uso de estructuras condicionales (si, si-no) para la toma de decisiones en un programa.</t>
  </si>
  <si>
    <t>Diseña y desarrolla programas que utilizan variables y estructuras condicionales para resolver problemas, evaluando condiciones y generando respuestas según diferentes situaciones.</t>
  </si>
  <si>
    <t>Muestra pensamiento lógico, perseverancia y actitud crítica al analizar errores y proponer soluciones en la construcción de programas con variables y condicionales.</t>
  </si>
  <si>
    <t>Identifica y reconoce sus pricipales deberes y derechos dentro y fuera  de la Institución educativa.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</si>
</sst>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9">
    <font>
      <sz val="11"/>
      <color rgb="FF000000"/>
      <name val="Aptos Narrow"/>
      <scheme val="minor"/>
    </font>
    <font>
      <b/>
      <sz val="11"/>
      <color rgb="FF000000"/>
      <name val="Arial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rial"/>
    </font>
    <font>
      <sz val="11"/>
      <name val="Aptos Narrow"/>
    </font>
    <font>
      <sz val="12"/>
      <color rgb="FF000000"/>
      <name val="Arial"/>
    </font>
    <font>
      <sz val="11"/>
      <color rgb="FF000000"/>
      <name val="Lucida Sans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0" borderId="3" xfId="0" applyFont="1" applyBorder="1"/>
    <xf numFmtId="0" fontId="4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/>
    <xf numFmtId="0" fontId="3" fillId="0" borderId="5" xfId="0" applyFont="1" applyBorder="1"/>
    <xf numFmtId="0" fontId="3" fillId="0" borderId="0" xfId="0" applyFont="1"/>
    <xf numFmtId="0" fontId="4" fillId="0" borderId="0" xfId="0" applyFont="1"/>
    <xf numFmtId="164" fontId="4" fillId="0" borderId="1" xfId="0" applyNumberFormat="1" applyFont="1" applyBorder="1"/>
    <xf numFmtId="164" fontId="3" fillId="0" borderId="1" xfId="0" applyNumberFormat="1" applyFont="1" applyBorder="1"/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6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43"/>
  <sheetViews>
    <sheetView tabSelected="1" workbookViewId="0">
      <pane xSplit="2" topLeftCell="C1" activePane="topRight" state="frozen"/>
      <selection pane="topRight" activeCell="D2" sqref="D2"/>
    </sheetView>
  </sheetViews>
  <sheetFormatPr baseColWidth="10" defaultColWidth="12.5703125" defaultRowHeight="15" customHeight="1"/>
  <cols>
    <col min="1" max="1" width="2.5703125" customWidth="1"/>
    <col min="2" max="2" width="31.42578125" customWidth="1"/>
    <col min="3" max="3" width="14.85546875" customWidth="1"/>
    <col min="4" max="4" width="6.5703125" customWidth="1"/>
    <col min="5" max="5" width="24.7109375" customWidth="1"/>
    <col min="6" max="6" width="11" customWidth="1"/>
    <col min="7" max="7" width="10" customWidth="1"/>
    <col min="8" max="8" width="4.42578125" customWidth="1"/>
    <col min="9" max="9" width="3.5703125" customWidth="1"/>
    <col min="10" max="10" width="5.42578125" customWidth="1"/>
    <col min="11" max="12" width="5.140625" customWidth="1"/>
    <col min="13" max="13" width="5.42578125" customWidth="1"/>
    <col min="14" max="14" width="9.28515625" customWidth="1"/>
    <col min="15" max="15" width="3.5703125" customWidth="1"/>
    <col min="16" max="16" width="4.5703125" customWidth="1"/>
    <col min="17" max="17" width="5.42578125" customWidth="1"/>
    <col min="18" max="18" width="4" customWidth="1"/>
    <col min="19" max="19" width="5.7109375" customWidth="1"/>
    <col min="20" max="20" width="8" customWidth="1"/>
    <col min="21" max="21" width="3.5703125" customWidth="1"/>
    <col min="22" max="22" width="4.5703125" customWidth="1"/>
    <col min="23" max="23" width="5.42578125" customWidth="1"/>
    <col min="24" max="24" width="4" customWidth="1"/>
    <col min="25" max="25" width="5.7109375" customWidth="1"/>
    <col min="26" max="26" width="8" customWidth="1"/>
    <col min="27" max="27" width="3.5703125" customWidth="1"/>
    <col min="28" max="28" width="4.5703125" customWidth="1"/>
    <col min="29" max="29" width="5.42578125" customWidth="1"/>
    <col min="30" max="30" width="4" customWidth="1"/>
    <col min="31" max="31" width="5.7109375" customWidth="1"/>
    <col min="32" max="32" width="8" customWidth="1"/>
    <col min="33" max="33" width="3.5703125" customWidth="1"/>
    <col min="34" max="34" width="4.5703125" customWidth="1"/>
    <col min="35" max="35" width="5.42578125" customWidth="1"/>
    <col min="36" max="36" width="4" customWidth="1"/>
    <col min="37" max="37" width="5.7109375" customWidth="1"/>
    <col min="38" max="38" width="8" customWidth="1"/>
    <col min="39" max="39" width="3.5703125" customWidth="1"/>
    <col min="40" max="40" width="4.5703125" customWidth="1"/>
    <col min="41" max="41" width="5.42578125" customWidth="1"/>
    <col min="42" max="42" width="4" customWidth="1"/>
    <col min="43" max="43" width="5.7109375" customWidth="1"/>
    <col min="44" max="44" width="8" customWidth="1"/>
    <col min="45" max="45" width="3.5703125" customWidth="1"/>
    <col min="46" max="46" width="4.5703125" customWidth="1"/>
    <col min="47" max="47" width="5.42578125" customWidth="1"/>
    <col min="48" max="48" width="4" customWidth="1"/>
    <col min="49" max="49" width="5.7109375" customWidth="1"/>
    <col min="50" max="50" width="8" customWidth="1"/>
    <col min="51" max="51" width="3.5703125" customWidth="1"/>
    <col min="52" max="53" width="5.42578125" customWidth="1"/>
    <col min="54" max="54" width="4" customWidth="1"/>
    <col min="55" max="55" width="5.28515625" customWidth="1"/>
    <col min="56" max="56" width="8" customWidth="1"/>
    <col min="57" max="57" width="3.5703125" customWidth="1"/>
    <col min="58" max="58" width="4.5703125" customWidth="1"/>
    <col min="59" max="59" width="5.42578125" customWidth="1"/>
    <col min="60" max="60" width="4" customWidth="1"/>
    <col min="61" max="61" width="5.7109375" customWidth="1"/>
    <col min="62" max="62" width="8" customWidth="1"/>
    <col min="63" max="63" width="3.5703125" customWidth="1"/>
    <col min="64" max="64" width="4.5703125" customWidth="1"/>
    <col min="65" max="65" width="5.42578125" customWidth="1"/>
    <col min="66" max="66" width="4" customWidth="1"/>
    <col min="67" max="67" width="5.7109375" customWidth="1"/>
    <col min="68" max="68" width="8" customWidth="1"/>
    <col min="69" max="69" width="3.5703125" customWidth="1"/>
    <col min="70" max="70" width="4.5703125" customWidth="1"/>
    <col min="71" max="71" width="5.42578125" customWidth="1"/>
    <col min="72" max="72" width="4" customWidth="1"/>
    <col min="73" max="73" width="5.7109375" customWidth="1"/>
    <col min="74" max="74" width="8" customWidth="1"/>
    <col min="75" max="75" width="3.5703125" customWidth="1"/>
    <col min="76" max="76" width="4.5703125" customWidth="1"/>
    <col min="77" max="77" width="5.42578125" customWidth="1"/>
    <col min="78" max="78" width="4" customWidth="1"/>
    <col min="79" max="79" width="5.7109375" customWidth="1"/>
    <col min="80" max="80" width="8" customWidth="1"/>
    <col min="81" max="81" width="3.5703125" customWidth="1"/>
    <col min="82" max="82" width="4.5703125" customWidth="1"/>
    <col min="83" max="83" width="5.42578125" customWidth="1"/>
    <col min="84" max="84" width="4" customWidth="1"/>
    <col min="85" max="85" width="5.7109375" customWidth="1"/>
    <col min="86" max="86" width="8" customWidth="1"/>
    <col min="87" max="87" width="3.5703125" customWidth="1"/>
    <col min="88" max="88" width="4.5703125" customWidth="1"/>
    <col min="89" max="89" width="5.42578125" customWidth="1"/>
    <col min="90" max="90" width="4" customWidth="1"/>
    <col min="91" max="91" width="5.7109375" customWidth="1"/>
    <col min="92" max="92" width="8" customWidth="1"/>
    <col min="93" max="93" width="3.5703125" customWidth="1"/>
    <col min="94" max="94" width="4.5703125" customWidth="1"/>
    <col min="95" max="95" width="5.42578125" customWidth="1"/>
    <col min="96" max="96" width="4" customWidth="1"/>
    <col min="97" max="97" width="5.7109375" customWidth="1"/>
    <col min="98" max="98" width="8" customWidth="1"/>
    <col min="99" max="99" width="3.5703125" customWidth="1"/>
    <col min="100" max="100" width="4.5703125" customWidth="1"/>
    <col min="101" max="101" width="5.42578125" customWidth="1"/>
    <col min="102" max="102" width="4" customWidth="1"/>
    <col min="103" max="103" width="5.7109375" customWidth="1"/>
    <col min="104" max="104" width="8" customWidth="1"/>
    <col min="105" max="105" width="3.5703125" customWidth="1"/>
    <col min="106" max="106" width="4.5703125" customWidth="1"/>
    <col min="107" max="107" width="5.42578125" customWidth="1"/>
    <col min="108" max="108" width="4" customWidth="1"/>
    <col min="109" max="109" width="5.7109375" customWidth="1"/>
    <col min="110" max="110" width="8" customWidth="1"/>
    <col min="111" max="111" width="3.5703125" customWidth="1"/>
    <col min="112" max="112" width="5.7109375" customWidth="1"/>
    <col min="113" max="113" width="8" customWidth="1"/>
    <col min="114" max="114" width="9.28515625" customWidth="1"/>
    <col min="115" max="166" width="10.42578125" customWidth="1"/>
  </cols>
  <sheetData>
    <row r="1" spans="1:16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8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8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 t="s">
        <v>8</v>
      </c>
      <c r="AN1" s="2" t="s">
        <v>9</v>
      </c>
      <c r="AO1" s="2" t="s">
        <v>10</v>
      </c>
      <c r="AP1" s="2" t="s">
        <v>11</v>
      </c>
      <c r="AQ1" s="2" t="s">
        <v>12</v>
      </c>
      <c r="AR1" s="2" t="s">
        <v>13</v>
      </c>
      <c r="AS1" s="2" t="s">
        <v>8</v>
      </c>
      <c r="AT1" s="2" t="s">
        <v>9</v>
      </c>
      <c r="AU1" s="2" t="s">
        <v>10</v>
      </c>
      <c r="AV1" s="2" t="s">
        <v>11</v>
      </c>
      <c r="AW1" s="2" t="s">
        <v>12</v>
      </c>
      <c r="AX1" s="2" t="s">
        <v>13</v>
      </c>
      <c r="AY1" s="2" t="s">
        <v>8</v>
      </c>
      <c r="AZ1" s="1" t="s">
        <v>9</v>
      </c>
      <c r="BA1" s="2" t="s">
        <v>10</v>
      </c>
      <c r="BB1" s="2" t="s">
        <v>11</v>
      </c>
      <c r="BC1" s="2" t="s">
        <v>12</v>
      </c>
      <c r="BD1" s="2" t="s">
        <v>13</v>
      </c>
      <c r="BE1" s="2" t="s">
        <v>8</v>
      </c>
      <c r="BF1" s="2" t="s">
        <v>9</v>
      </c>
      <c r="BG1" s="2" t="s">
        <v>10</v>
      </c>
      <c r="BH1" s="2" t="s">
        <v>11</v>
      </c>
      <c r="BI1" s="2" t="s">
        <v>12</v>
      </c>
      <c r="BJ1" s="2" t="s">
        <v>13</v>
      </c>
      <c r="BK1" s="2" t="s">
        <v>8</v>
      </c>
      <c r="BL1" s="2" t="s">
        <v>9</v>
      </c>
      <c r="BM1" s="2" t="s">
        <v>10</v>
      </c>
      <c r="BN1" s="2" t="s">
        <v>11</v>
      </c>
      <c r="BO1" s="2" t="s">
        <v>12</v>
      </c>
      <c r="BP1" s="2" t="s">
        <v>13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13</v>
      </c>
      <c r="BW1" s="2" t="s">
        <v>8</v>
      </c>
      <c r="BX1" s="2" t="s">
        <v>9</v>
      </c>
      <c r="BY1" s="2" t="s">
        <v>10</v>
      </c>
      <c r="BZ1" s="2" t="s">
        <v>11</v>
      </c>
      <c r="CA1" s="2" t="s">
        <v>12</v>
      </c>
      <c r="CB1" s="2" t="s">
        <v>13</v>
      </c>
      <c r="CC1" s="2" t="s">
        <v>8</v>
      </c>
      <c r="CD1" s="2" t="s">
        <v>9</v>
      </c>
      <c r="CE1" s="2" t="s">
        <v>10</v>
      </c>
      <c r="CF1" s="2" t="s">
        <v>11</v>
      </c>
      <c r="CG1" s="2" t="s">
        <v>12</v>
      </c>
      <c r="CH1" s="2" t="s">
        <v>13</v>
      </c>
      <c r="CI1" s="2" t="s">
        <v>8</v>
      </c>
      <c r="CJ1" s="2" t="s">
        <v>9</v>
      </c>
      <c r="CK1" s="2" t="s">
        <v>10</v>
      </c>
      <c r="CL1" s="2" t="s">
        <v>11</v>
      </c>
      <c r="CM1" s="2" t="s">
        <v>12</v>
      </c>
      <c r="CN1" s="2" t="s">
        <v>13</v>
      </c>
      <c r="CO1" s="2" t="s">
        <v>8</v>
      </c>
      <c r="CP1" s="2" t="s">
        <v>9</v>
      </c>
      <c r="CQ1" s="2" t="s">
        <v>10</v>
      </c>
      <c r="CR1" s="2" t="s">
        <v>11</v>
      </c>
      <c r="CS1" s="2" t="s">
        <v>12</v>
      </c>
      <c r="CT1" s="2" t="s">
        <v>13</v>
      </c>
      <c r="CU1" s="2" t="s">
        <v>8</v>
      </c>
      <c r="CV1" s="2" t="s">
        <v>9</v>
      </c>
      <c r="CW1" s="3" t="s">
        <v>10</v>
      </c>
      <c r="CX1" s="2" t="s">
        <v>11</v>
      </c>
      <c r="CY1" s="2" t="s">
        <v>12</v>
      </c>
      <c r="CZ1" s="2" t="s">
        <v>13</v>
      </c>
      <c r="DA1" s="2" t="s">
        <v>8</v>
      </c>
      <c r="DB1" s="2" t="s">
        <v>9</v>
      </c>
      <c r="DC1" s="2" t="s">
        <v>10</v>
      </c>
      <c r="DD1" s="2" t="s">
        <v>11</v>
      </c>
      <c r="DE1" s="2" t="s">
        <v>12</v>
      </c>
      <c r="DF1" s="2" t="s">
        <v>13</v>
      </c>
      <c r="DG1" s="2" t="s">
        <v>8</v>
      </c>
      <c r="DH1" s="2" t="s">
        <v>12</v>
      </c>
      <c r="DI1" s="2" t="s">
        <v>13</v>
      </c>
      <c r="DJ1" s="2" t="s">
        <v>14</v>
      </c>
      <c r="DK1" s="4" t="s">
        <v>15</v>
      </c>
      <c r="DL1" s="4" t="s">
        <v>16</v>
      </c>
      <c r="DM1" s="4" t="s">
        <v>17</v>
      </c>
      <c r="DN1" s="4" t="s">
        <v>18</v>
      </c>
      <c r="DO1" s="4" t="s">
        <v>19</v>
      </c>
      <c r="DP1" s="4" t="s">
        <v>20</v>
      </c>
      <c r="DQ1" s="4" t="s">
        <v>21</v>
      </c>
      <c r="DR1" s="4" t="s">
        <v>22</v>
      </c>
      <c r="DS1" s="4" t="s">
        <v>23</v>
      </c>
      <c r="DT1" s="4" t="s">
        <v>24</v>
      </c>
      <c r="DU1" s="4" t="s">
        <v>25</v>
      </c>
      <c r="DV1" s="4" t="s">
        <v>26</v>
      </c>
      <c r="DW1" s="4" t="s">
        <v>27</v>
      </c>
      <c r="DX1" s="4" t="s">
        <v>28</v>
      </c>
      <c r="DY1" s="4" t="s">
        <v>29</v>
      </c>
      <c r="DZ1" s="4" t="s">
        <v>30</v>
      </c>
      <c r="EA1" s="4" t="s">
        <v>31</v>
      </c>
      <c r="EB1" s="4" t="s">
        <v>32</v>
      </c>
      <c r="EC1" s="4" t="s">
        <v>33</v>
      </c>
      <c r="ED1" s="4" t="s">
        <v>34</v>
      </c>
      <c r="EE1" s="4" t="s">
        <v>35</v>
      </c>
      <c r="EF1" s="4" t="s">
        <v>36</v>
      </c>
      <c r="EG1" s="4" t="s">
        <v>37</v>
      </c>
      <c r="EH1" s="4" t="s">
        <v>38</v>
      </c>
      <c r="EI1" s="4" t="s">
        <v>39</v>
      </c>
      <c r="EJ1" s="4" t="s">
        <v>40</v>
      </c>
      <c r="EK1" s="4" t="s">
        <v>41</v>
      </c>
      <c r="EL1" s="4" t="s">
        <v>42</v>
      </c>
      <c r="EM1" s="4" t="s">
        <v>43</v>
      </c>
      <c r="EN1" s="4" t="s">
        <v>44</v>
      </c>
      <c r="EO1" s="4" t="s">
        <v>45</v>
      </c>
      <c r="EP1" s="4" t="s">
        <v>46</v>
      </c>
      <c r="EQ1" s="4" t="s">
        <v>47</v>
      </c>
      <c r="ER1" s="4" t="s">
        <v>48</v>
      </c>
      <c r="ES1" s="4" t="s">
        <v>49</v>
      </c>
      <c r="ET1" s="4" t="s">
        <v>50</v>
      </c>
      <c r="EU1" s="4" t="s">
        <v>51</v>
      </c>
      <c r="EV1" s="4" t="s">
        <v>52</v>
      </c>
      <c r="EW1" s="4" t="s">
        <v>53</v>
      </c>
      <c r="EX1" s="4" t="s">
        <v>54</v>
      </c>
      <c r="EY1" s="4" t="s">
        <v>55</v>
      </c>
      <c r="EZ1" s="4" t="s">
        <v>56</v>
      </c>
      <c r="FA1" s="4" t="s">
        <v>57</v>
      </c>
      <c r="FB1" s="4" t="s">
        <v>58</v>
      </c>
      <c r="FC1" s="4" t="s">
        <v>59</v>
      </c>
      <c r="FD1" s="4" t="s">
        <v>60</v>
      </c>
      <c r="FE1" s="4" t="s">
        <v>61</v>
      </c>
      <c r="FF1" s="4" t="s">
        <v>62</v>
      </c>
      <c r="FG1" s="4" t="s">
        <v>63</v>
      </c>
      <c r="FH1" s="4" t="s">
        <v>64</v>
      </c>
      <c r="FI1" s="4" t="s">
        <v>65</v>
      </c>
      <c r="FJ1" s="4" t="s">
        <v>66</v>
      </c>
    </row>
    <row r="2" spans="1:166">
      <c r="A2" s="5">
        <v>1</v>
      </c>
      <c r="B2" s="5" t="s">
        <v>67</v>
      </c>
      <c r="C2" s="6">
        <v>1044644667</v>
      </c>
      <c r="D2" s="5" t="s">
        <v>68</v>
      </c>
      <c r="E2" s="5" t="s">
        <v>69</v>
      </c>
      <c r="F2" s="5" t="s">
        <v>70</v>
      </c>
      <c r="G2" s="5" t="s">
        <v>71</v>
      </c>
      <c r="H2" s="5">
        <v>2026</v>
      </c>
      <c r="I2" s="5">
        <v>4</v>
      </c>
      <c r="J2" s="7">
        <v>2.8</v>
      </c>
      <c r="K2" s="7">
        <v>3</v>
      </c>
      <c r="L2" s="7">
        <v>3.2</v>
      </c>
      <c r="M2" s="5">
        <f t="shared" ref="M2:M42" si="0">((J2*0.3)+(K2*0.4)+(L2*0.3))</f>
        <v>3</v>
      </c>
      <c r="N2" s="5" t="str">
        <f t="shared" ref="N2:N42" si="1">IF(M2&lt;3,"BAJO",IF(M2&lt;4,"BASICO",IF(M2&lt;4.5,"ALTO",IF(M2&lt;=5,"SUPERIOR"))))</f>
        <v>BASICO</v>
      </c>
      <c r="O2" s="5">
        <v>1</v>
      </c>
      <c r="P2" s="7">
        <v>2.8</v>
      </c>
      <c r="Q2" s="7">
        <v>2.8</v>
      </c>
      <c r="R2" s="7">
        <v>2.8</v>
      </c>
      <c r="S2" s="5">
        <f t="shared" ref="S2:S42" si="2">((P2*0.3)+(Q2*0.4)+(R2*0.3))</f>
        <v>2.8</v>
      </c>
      <c r="T2" s="5" t="str">
        <f t="shared" ref="T2:T42" si="3">IF(S2&lt;3,"BAJO",IF(S2&lt;4,"BASICO",IF(S2&lt;4.5,"ALTO",IF(S2&lt;=5,"SUPERIOR"))))</f>
        <v>BAJO</v>
      </c>
      <c r="U2" s="5">
        <v>4</v>
      </c>
      <c r="V2" s="7">
        <v>4</v>
      </c>
      <c r="W2" s="7">
        <v>4</v>
      </c>
      <c r="X2" s="7">
        <v>4</v>
      </c>
      <c r="Y2" s="5">
        <f t="shared" ref="Y2:Y42" si="4">((V2*0.3)+(W2*0.4)+(X2*0.3))</f>
        <v>4</v>
      </c>
      <c r="Z2" s="5" t="str">
        <f t="shared" ref="Z2:Z42" si="5">IF(Y2&lt;3,"BAJO",IF(Y2&lt;4,"BASICO",IF(Y2&lt;4.5,"ALTO",IF(Y2&lt;=5,"SUPERIOR"))))</f>
        <v>ALTO</v>
      </c>
      <c r="AA2" s="5">
        <v>1</v>
      </c>
      <c r="AB2" s="7">
        <v>3</v>
      </c>
      <c r="AC2" s="7">
        <v>3</v>
      </c>
      <c r="AD2" s="7">
        <v>3</v>
      </c>
      <c r="AE2" s="5">
        <f t="shared" ref="AE2:AE42" si="6">((AB2*0.3)+(AC2*0.4)+(AD2*0.3))</f>
        <v>3</v>
      </c>
      <c r="AF2" s="5" t="str">
        <f t="shared" ref="AF2:AF42" si="7">IF(AE2&lt;3,"BAJO",IF(AE2&lt;4,"BASICO",IF(AE2&lt;4.5,"ALTO",IF(AE2&lt;=5,"SUPERIOR"))))</f>
        <v>BASICO</v>
      </c>
      <c r="AG2" s="5">
        <v>2</v>
      </c>
      <c r="AH2" s="8">
        <v>3.5</v>
      </c>
      <c r="AI2" s="8">
        <v>3</v>
      </c>
      <c r="AJ2" s="8">
        <v>3</v>
      </c>
      <c r="AK2" s="5">
        <f t="shared" ref="AK2:AK42" si="8">((AH2*0.3)+(AI2*0.4)+(AJ2*0.3))</f>
        <v>3.15</v>
      </c>
      <c r="AL2" s="5" t="str">
        <f t="shared" ref="AL2:AL42" si="9">IF(AK2&lt;3,"BAJO",IF(AK2&lt;4,"BASICO",IF(AK2&lt;4.5,"ALTO",IF(AK2&lt;=5,"SUPERIOR"))))</f>
        <v>BASICO</v>
      </c>
      <c r="AM2" s="5">
        <v>1</v>
      </c>
      <c r="AN2" s="8">
        <v>3.5</v>
      </c>
      <c r="AO2" s="8">
        <v>3</v>
      </c>
      <c r="AP2" s="8">
        <v>3</v>
      </c>
      <c r="AQ2" s="5">
        <f t="shared" ref="AQ2:AQ42" si="10">((AN2*0.3)+(AO2*0.4)+(AP2*0.3))</f>
        <v>3.15</v>
      </c>
      <c r="AR2" s="5" t="str">
        <f t="shared" ref="AR2:AR42" si="11">IF(AQ2&lt;3,"BAJO",IF(AQ2&lt;4,"BASICO",IF(AQ2&lt;4.5,"ALTO",IF(AQ2&lt;=5,"SUPERIOR"))))</f>
        <v>BASICO</v>
      </c>
      <c r="AS2" s="5">
        <v>4</v>
      </c>
      <c r="AT2" s="7">
        <v>3</v>
      </c>
      <c r="AU2" s="7">
        <v>3</v>
      </c>
      <c r="AV2" s="7">
        <v>3</v>
      </c>
      <c r="AW2" s="5">
        <f t="shared" ref="AW2:AW42" si="12">((AT2*0.3)+(AU2*0.4)+(AV2*0.3))</f>
        <v>3</v>
      </c>
      <c r="AX2" s="5" t="str">
        <f t="shared" ref="AX2:AX16" si="13">IF(AW2&lt;3,"BAJO",IF(AW2&lt;4,"BASICO",IF(AW2&lt;4.5,"ALTO",IF(AW47&lt;=5,"SUPERIOR"))))</f>
        <v>BASICO</v>
      </c>
      <c r="AY2" s="5">
        <v>1</v>
      </c>
      <c r="AZ2" s="7">
        <v>3.8</v>
      </c>
      <c r="BA2" s="7">
        <v>4</v>
      </c>
      <c r="BB2" s="7">
        <v>4</v>
      </c>
      <c r="BC2" s="5">
        <f t="shared" ref="BC2:BC42" si="14">((AZ2*0.3)+(BA2*0.4)+(BB2*0.3))</f>
        <v>3.9400000000000004</v>
      </c>
      <c r="BD2" s="5" t="str">
        <f t="shared" ref="BD2:BD42" si="15">IF(BC2&lt;3,"BAJO",IF(BC2&lt;4,"BASICO",IF(BC2&lt;4.5,"ALTO",IF(BC2&lt;=5,"SUPERIOR"))))</f>
        <v>BASICO</v>
      </c>
      <c r="BE2" s="7">
        <v>2</v>
      </c>
      <c r="BF2" s="7">
        <v>3.4</v>
      </c>
      <c r="BG2" s="7">
        <v>3.2</v>
      </c>
      <c r="BH2" s="7">
        <v>3.2</v>
      </c>
      <c r="BI2" s="5">
        <f t="shared" ref="BI2:BI32" si="16">((BF2*0.3)+(BG2*0.4)+(BH2*0.3))</f>
        <v>3.2600000000000002</v>
      </c>
      <c r="BJ2" s="5" t="str">
        <f t="shared" ref="BJ2:BJ12" si="17">IF(BI2&lt;3,"BAJO",IF(BI2&lt;4,"BASICO",IF(BI2&lt;4.5,"ALTO",IF(BI2&lt;=5,"SUPERIOR"))))</f>
        <v>BASICO</v>
      </c>
      <c r="BK2" s="5">
        <v>1</v>
      </c>
      <c r="BL2" s="7">
        <v>3.4</v>
      </c>
      <c r="BM2" s="7">
        <v>3.2</v>
      </c>
      <c r="BN2" s="7">
        <v>3.4</v>
      </c>
      <c r="BO2" s="5">
        <f t="shared" ref="BO2:BO12" si="18">((BL2*0.3)+(BM2*0.4)+(BN2*0.3))</f>
        <v>3.3200000000000003</v>
      </c>
      <c r="BP2" s="5" t="str">
        <f t="shared" ref="BP2:BP42" si="19">IF(BO2&lt;3,"BAJO",IF(BO2&lt;4,"BASICO",IF(BO2&lt;4.5,"ALTO",IF(BO2&lt;=5,"SUPERIOR"))))</f>
        <v>BASICO</v>
      </c>
      <c r="BQ2" s="5">
        <v>1</v>
      </c>
      <c r="BR2" s="7">
        <v>3.4</v>
      </c>
      <c r="BS2" s="7">
        <v>3.4</v>
      </c>
      <c r="BT2" s="7">
        <v>3.2</v>
      </c>
      <c r="BU2" s="5">
        <f t="shared" ref="BU2:BU34" si="20">((BR2*0.3)+(BS2*0.4)+(BT2*0.3))</f>
        <v>3.34</v>
      </c>
      <c r="BV2" s="5" t="str">
        <f t="shared" ref="BV2:BV42" si="21">IF(BU2&lt;3,"BAJO",IF(BU2&lt;4,"BASICO",IF(BU2&lt;4.5,"ALTO",IF(BU2&lt;=5,"SUPERIOR"))))</f>
        <v>BASICO</v>
      </c>
      <c r="BW2" s="5">
        <v>1</v>
      </c>
      <c r="BX2" s="7">
        <v>2.5</v>
      </c>
      <c r="BY2" s="7">
        <v>2.5</v>
      </c>
      <c r="BZ2" s="7">
        <v>2.5</v>
      </c>
      <c r="CA2" s="5">
        <f t="shared" ref="CA2:CA34" si="22">((BX2*0.3)+(BY2*0.4)+(BZ2*0.3))</f>
        <v>2.5</v>
      </c>
      <c r="CB2" s="5" t="str">
        <f t="shared" ref="CB2:CB34" si="23">IF(CA2&lt;3,"BAJO",IF(CA2&lt;4,"BASICO",IF(CA2&lt;4.5,"ALTO",IF(CA2&lt;=5,"SUPERIOR"))))</f>
        <v>BAJO</v>
      </c>
      <c r="CC2" s="5">
        <v>1</v>
      </c>
      <c r="CD2" s="7">
        <v>3.7</v>
      </c>
      <c r="CE2" s="7">
        <v>3.5</v>
      </c>
      <c r="CF2" s="7">
        <v>3.5</v>
      </c>
      <c r="CG2" s="5">
        <f t="shared" ref="CG2:CG42" si="24">((CD2*0.3)+(CE2*0.4)+(CF2*0.3))</f>
        <v>3.5600000000000005</v>
      </c>
      <c r="CH2" s="5" t="str">
        <f t="shared" ref="CH2:CH42" si="25">IF(CG2&lt;3,"BAJO",IF(CG2&lt;4,"BASICO",IF(CG2&lt;4.5,"ALTO",IF(CG2&lt;=5,"SUPERIOR"))))</f>
        <v>BASICO</v>
      </c>
      <c r="CI2" s="5">
        <v>1</v>
      </c>
      <c r="CJ2" s="7">
        <v>4.4000000000000004</v>
      </c>
      <c r="CK2" s="7">
        <v>4.4000000000000004</v>
      </c>
      <c r="CL2" s="7">
        <v>4.4000000000000004</v>
      </c>
      <c r="CM2" s="5">
        <f t="shared" ref="CM2:CM42" si="26">((CJ2*0.3)+(CK2*0.4)+(CL2*0.3))</f>
        <v>4.4000000000000004</v>
      </c>
      <c r="CN2" s="5" t="str">
        <f t="shared" ref="CN2:CN42" si="27">IF(CM2&lt;3,"BAJO",IF(CM2&lt;4,"BASICO",IF(CM2&lt;4.5,"ALTO",IF(CM2&lt;=5,"SUPERIOR"))))</f>
        <v>ALTO</v>
      </c>
      <c r="CO2" s="5">
        <v>1</v>
      </c>
      <c r="CP2" s="7">
        <v>5</v>
      </c>
      <c r="CQ2" s="7">
        <v>5</v>
      </c>
      <c r="CR2" s="7">
        <v>5</v>
      </c>
      <c r="CS2" s="5">
        <f t="shared" ref="CS2:CS42" si="28">((CP2*0.3)+(CQ2*0.4)+(CR2*0.3))</f>
        <v>5</v>
      </c>
      <c r="CT2" s="5" t="str">
        <f t="shared" ref="CT2:CT42" si="29">IF(CS2&lt;3,"BAJO",IF(CS2&lt;4,"BASICO",IF(CS2&lt;4.5,"ALTO",IF(CS2&lt;=5,"SUPERIOR"))))</f>
        <v>SUPERIOR</v>
      </c>
      <c r="CU2" s="5">
        <v>2</v>
      </c>
      <c r="CV2" s="7">
        <v>2</v>
      </c>
      <c r="CW2" s="7">
        <v>2</v>
      </c>
      <c r="CX2" s="7">
        <v>2</v>
      </c>
      <c r="CY2" s="5">
        <f t="shared" ref="CY2:CY42" si="30">((CV2*0.3)+(CW2*0.4)+(CX2*0.3))</f>
        <v>2</v>
      </c>
      <c r="CZ2" s="5" t="str">
        <f t="shared" ref="CZ2:CZ42" si="31">IF(CY2&lt;3,"BAJO",IF(CY2&lt;4,"BASICO",IF(CY2&lt;4.5,"ALTO",IF(CY2&lt;=5,"SUPERIOR"))))</f>
        <v>BAJO</v>
      </c>
      <c r="DA2" s="5">
        <v>2</v>
      </c>
      <c r="DB2" s="7">
        <v>2</v>
      </c>
      <c r="DC2" s="7">
        <v>2</v>
      </c>
      <c r="DD2" s="7">
        <v>3.5</v>
      </c>
      <c r="DE2" s="5">
        <f t="shared" ref="DE2:DE42" si="32">((DB2*0.3)+(DC2*0.4)+(DD2*0.3))</f>
        <v>2.4500000000000002</v>
      </c>
      <c r="DF2" s="5" t="str">
        <f t="shared" ref="DF2:DF42" si="33">IF(DE2&lt;2.95,"BAJO",IF(DE2&lt;3.95,"BASICO",IF(DE2&lt;4.45,"ALTO",IF(DE2&lt;=5,"SUPERIOR"))))</f>
        <v>BAJO</v>
      </c>
      <c r="DG2" s="5">
        <v>0</v>
      </c>
      <c r="DH2" s="7"/>
      <c r="DI2" s="5" t="str">
        <f t="shared" ref="DI2:DI42" si="34">IF(DH2&lt;3,"BAJO",IF(DH2&lt;4,"BASICO",IF(DH2&lt;4.5,"ALTO",IF(DH2&lt;=5,"SUPERIOR"))))</f>
        <v>BAJO</v>
      </c>
      <c r="DJ2" s="5">
        <f t="shared" ref="DJ2:DJ42" si="35">AVERAGE(M2,Y2,AE2,AK2,AW2,BC2,BI2,BO2,CA2,DE2,DH2,CY2,CS2,CM2,CG2,AQ2,S2)</f>
        <v>3.2831250000000001</v>
      </c>
      <c r="DK2" s="5" t="str">
        <f>DESEMPEÑOS!B2</f>
        <v>Comprende el concepto de números reales, su relación de orden y las propiedades de sus operaciones, así como las relaciones de semejanza y congruencia de distintas figuras geométricas.</v>
      </c>
      <c r="DL2" s="5" t="str">
        <f>DESEMPEÑOS!C2</f>
        <v>Aplica correctamente las propiedades de las operaciones de números reales y expresiones algebraicas en la resolución de problemas.</v>
      </c>
      <c r="DM2" s="5" t="str">
        <f>DESEMPEÑOS!D2</f>
        <v>Valora el uso del pensamiento lógico a la hora de plantear y resolver problemas de las matemáticas y de la vida cotidiana.</v>
      </c>
      <c r="DN2" s="5" t="str">
        <f>DESEMPEÑOS!B3</f>
        <v>Reconoce y clasifica variables aleatorias, comprendiendo sus tipos y características; además, interpreta la información presentada en tablas de frecuencias y diagramas estadísticos, explicando su significado en contextos diversos.</v>
      </c>
      <c r="DO2" s="5" t="str">
        <f>DESEMPEÑOS!C3</f>
        <v>Organiza y analiza datos mediante la construcción de tablas de frecuencias y diagramas estadísticos, identificando variables aleatorias y utilizando estas representaciones para resolver situaciones problema.</v>
      </c>
      <c r="DP2" s="5" t="str">
        <f>DESEMPEÑOS!D3</f>
        <v>Muestra disposición y responsabilidad en el manejo y análisis de datos, participando activamente en actividades individuales y colaborativas, y comunicando información estadística con claridad y sentido crítico.</v>
      </c>
      <c r="DQ2" s="5" t="str">
        <f>DESEMPEÑOS!B4</f>
        <v>Analiza las características de la literatura prehispánica y la literatura del descubrimiento y la conquista en Colombia identificando sus elementos fundamentales y su impacto en la cultura y el lenguaje actual.</v>
      </c>
      <c r="DR2" s="5" t="str">
        <f>DESEMPEÑOS!C4</f>
        <v>Realiza comprensión lectora cuando analiza un texto desde el discurso de la Enunciación e identifica la función de cada uno de sus componentes.
Responde preguntas en los tres niveles de lectura a una leyenda del Caribe.</v>
      </c>
      <c r="DS2" s="5" t="str">
        <f>DESEMPEÑOS!D4</f>
        <v>Muestra disposición para participar activamente en las clases, promoviendo el respeto por las ideas ajenas y reconociendo la importancia de la precisión como una herramienta clave para una comunicación</v>
      </c>
      <c r="DT2" s="5" t="str">
        <f>DESEMPEÑOS!B5</f>
        <v>Comprende el contenido del cuento A la deriva, identificando su tema central, la secuencia de los hechos, los personajes y las ideas explícitas e implícitas del texto.</v>
      </c>
      <c r="DU2" s="5" t="str">
        <f>DESEMPEÑOS!C5</f>
        <v>Analiza críticamente el cuento A la deriva mediante la identificación de información literal, inferencial y crítica, sustentando sus respuestas de forma oral y escrita.</v>
      </c>
      <c r="DV2" s="5" t="str">
        <f>DESEMPEÑOS!D5</f>
        <v>Valora la lectura literaria como una oportunidad para reflexionar sobre la vida, la naturaleza y la condición humana, participando con interés, respeto y sentido crítico en las actividades propuestas.</v>
      </c>
      <c r="DW2" s="5" t="str">
        <f>DESEMPEÑOS!B6</f>
        <v>Comprende y reconoce vocabulario y estructuras basicas del ingles para interpretar textos cortos y conversaciones sobre temas cotidianos de la vida diaria.</v>
      </c>
      <c r="DX2" s="5" t="str">
        <f>DESEMPEÑOS!C6</f>
        <v>Produce de forma oral y escrita frases y parrafos cortos en Ingles, utilizando correctamente las estructuras conocidas para describir rutinas, narrar experiencias y participar en conversaciones.</v>
      </c>
      <c r="DY2" s="5" t="str">
        <f>DESEMPEÑOS!D6</f>
        <v>Muestra disposicion positiva hacia el aprendizaje del Ingles participando activamente en clase.</v>
      </c>
      <c r="DZ2" s="5" t="str">
        <f>DESEMPEÑOS!B7</f>
        <v>Identifica vocabulario en Ingles  de situaciones cotidianas.</v>
      </c>
      <c r="EA2" s="5" t="str">
        <f>DESEMPEÑOS!C7</f>
        <v>Participa en actividades utilizando vocabulario aprendido para expresar gustos,emociones y necesidades.</v>
      </c>
      <c r="EB2" s="5" t="str">
        <f>DESEMPEÑOS!D7</f>
        <v>Respeta la opinion de los demas, muestra disposicion para participar en actividades orales.</v>
      </c>
      <c r="EC2" s="5" t="str">
        <f>DESEMPEÑOS!B8</f>
        <v>Identifica la conformación y funcionamiento del sistema inmunolófico y diferencia las característics de los estados de la materia.</v>
      </c>
      <c r="ED2" s="5" t="str">
        <f>DESEMPEÑOS!C8</f>
        <v>Reconoce experimentalmente las características de materiales en los diferentes estados de la materia.</v>
      </c>
      <c r="EE2" s="5" t="str">
        <f>DESEMPEÑOS!D8</f>
        <v xml:space="preserve">Valora la importancia de tener habitos saludables, para lograr el mantenimiento saludable del sistema inmune. </v>
      </c>
      <c r="EF2" s="5" t="str">
        <f>DESEMPEÑOS!B9</f>
        <v>Describe correctamente la secuencia de eventos biologicos de la fecundacion,incluyendo las recciones acrosomicas,la funcion de gametos y la formacion de gametos.</v>
      </c>
      <c r="EG2" s="5" t="str">
        <f>DESEMPEÑOS!C9</f>
        <v>Mide la capacidad del labolatrio para lograr la fecundacion exitosa de los ovulos con el espermatozoide.</v>
      </c>
      <c r="EH2" s="5" t="str">
        <f>DESEMPEÑOS!D9</f>
        <v>Valora la importancia del cuidado del cuerpo y de la salud reproductiva como la base para una fecundacion saludable.</v>
      </c>
      <c r="EI2" s="5" t="str">
        <f>DESEMPEÑOS!B10</f>
        <v>Explico las principales caracteristicas de algunas revoluciones de los siglos XVIII y XIX (Revolucion francesa, Industrial...)</v>
      </c>
      <c r="EJ2" s="5" t="str">
        <f>DESEMPEÑOS!C10</f>
        <v>Analiza las causas y consecuencias de procesos historicos como la Revolucion Industrial y Francesa.</v>
      </c>
      <c r="EK2" s="5" t="str">
        <f>DESEMPEÑOS!D10</f>
        <v>Muestra interes y curiosidad por comprender los procesos historicos y su impacto en la sociedad.</v>
      </c>
      <c r="EL2" s="5" t="str">
        <f>DESEMPEÑOS!B11</f>
        <v xml:space="preserve">Identifica los procesos historicos de algunas revoluciones de los siglos XVIII y XIX </v>
      </c>
      <c r="EM2" s="5">
        <f>DESEMPEÑOS!C11</f>
        <v>0</v>
      </c>
      <c r="EN2" s="5">
        <f>DESEMPEÑOS!D11</f>
        <v>0</v>
      </c>
      <c r="EO2" s="5" t="str">
        <f>DESEMPEÑOS!B12</f>
        <v xml:space="preserve">Comprende la distribucion espacial de la poblacion antes y despues de las revoluciones </v>
      </c>
      <c r="EP2" s="5" t="str">
        <f>DESEMPEÑOS!C12</f>
        <v xml:space="preserve">Ubica en mapas las regiones donde se desarrollaron las principales revoluciones y explica sus caracteristicas geograficas </v>
      </c>
      <c r="EQ2" s="5" t="str">
        <f>DESEMPEÑOS!D12</f>
        <v>Muestra interes por comprender la relacion entre sociedad, economia y territorio</v>
      </c>
      <c r="ER2" s="5" t="str">
        <f>DESEMPEÑOS!B13</f>
        <v>Comprende el concepto de cultura de paz y su importancia en la sociedad</v>
      </c>
      <c r="ES2" s="5" t="str">
        <f>DESEMPEÑOS!C13</f>
        <v>Practica normas de convivencia en diferentes espacios( aula, hogar, comunidad)</v>
      </c>
      <c r="ET2" s="5" t="str">
        <f>DESEMPEÑOS!D13</f>
        <v>Muestra actitud de respeto hacia la diversidad cuktural, social y de pensamiento</v>
      </c>
      <c r="EU2" s="5">
        <f>DESEMPEÑOS!B14</f>
        <v>0</v>
      </c>
      <c r="EV2" s="5">
        <f>DESEMPEÑOS!C14</f>
        <v>0</v>
      </c>
      <c r="EW2" s="5">
        <f>DESEMPEÑOS!D14</f>
        <v>0</v>
      </c>
      <c r="EX2" s="5">
        <f>DESEMPEÑOS!B15</f>
        <v>0</v>
      </c>
      <c r="EY2" s="5">
        <f>DESEMPEÑOS!C15</f>
        <v>0</v>
      </c>
      <c r="EZ2" s="5">
        <f>DESEMPEÑOS!D15</f>
        <v>0</v>
      </c>
      <c r="FA2" s="5">
        <f>DESEMPEÑOS!B16</f>
        <v>0</v>
      </c>
      <c r="FB2" s="5">
        <f>DESEMPEÑOS!C16</f>
        <v>0</v>
      </c>
      <c r="FC2" s="5">
        <f>DESEMPEÑOS!D16</f>
        <v>0</v>
      </c>
      <c r="FD2" s="5" t="str">
        <f>DESEMPEÑOS!B17</f>
        <v xml:space="preserve"> Identifica las expresiones motrices relacionadas con el juego del voleibol,  como una oportunidad para mejorar la salud, la estética y las relaciones con los demás.</v>
      </c>
      <c r="FE2" s="5" t="str">
        <f>DESEMPEÑOS!C17</f>
        <v>Pone en práctica los fundamentos básicos del voleibol.</v>
      </c>
      <c r="FF2" s="5" t="str">
        <f>DESEMPEÑOS!D17</f>
        <v>Muestra  responsabilidad y buena actitud al realizar el juego de voleibol.</v>
      </c>
      <c r="FG2" s="5" t="str">
        <f>DESEMPEÑOS!B18</f>
        <v>Comprende el concepto de variable como espacio de almacenamiento de datos y reconoce el uso de estructuras condicionales (si, si-no) para la toma de decisiones en un programa.</v>
      </c>
      <c r="FH2" s="5" t="str">
        <f>DESEMPEÑOS!C18</f>
        <v>Diseña y desarrolla programas que utilizan variables y estructuras condicionales para resolver problemas, evaluando condiciones y generando respuestas según diferentes situaciones.</v>
      </c>
      <c r="FI2" s="5" t="str">
        <f>DESEMPEÑOS!D18</f>
        <v>Muestra pensamiento lógico, perseverancia y actitud crítica al analizar errores y proponer soluciones en la construcción de programas con variables y condicionales.</v>
      </c>
      <c r="FJ2" s="5" t="str">
        <f>DESEMPEÑOS!B19</f>
        <v>Identifica y reconoce sus pricipales deberes y derechos dentro y fuera  de la Institución educativa.</v>
      </c>
    </row>
    <row r="3" spans="1:166">
      <c r="A3" s="9">
        <v>2</v>
      </c>
      <c r="B3" s="9" t="s">
        <v>72</v>
      </c>
      <c r="C3" s="10">
        <v>1143238454</v>
      </c>
      <c r="D3" s="5" t="s">
        <v>68</v>
      </c>
      <c r="E3" s="5" t="s">
        <v>69</v>
      </c>
      <c r="F3" s="5" t="s">
        <v>70</v>
      </c>
      <c r="G3" s="5" t="s">
        <v>71</v>
      </c>
      <c r="H3" s="5">
        <v>2026</v>
      </c>
      <c r="I3" s="5">
        <v>4</v>
      </c>
      <c r="J3" s="7"/>
      <c r="K3" s="7"/>
      <c r="L3" s="7"/>
      <c r="M3" s="5">
        <f t="shared" si="0"/>
        <v>0</v>
      </c>
      <c r="N3" s="5" t="str">
        <f t="shared" si="1"/>
        <v>BAJO</v>
      </c>
      <c r="O3" s="5">
        <v>1</v>
      </c>
      <c r="P3" s="7"/>
      <c r="Q3" s="7"/>
      <c r="R3" s="7"/>
      <c r="S3" s="5">
        <f t="shared" si="2"/>
        <v>0</v>
      </c>
      <c r="T3" s="5" t="str">
        <f t="shared" si="3"/>
        <v>BAJO</v>
      </c>
      <c r="U3" s="5">
        <v>4</v>
      </c>
      <c r="V3" s="7"/>
      <c r="W3" s="7"/>
      <c r="X3" s="7"/>
      <c r="Y3" s="5">
        <f t="shared" si="4"/>
        <v>0</v>
      </c>
      <c r="Z3" s="5" t="str">
        <f t="shared" si="5"/>
        <v>BAJO</v>
      </c>
      <c r="AA3" s="5">
        <v>1</v>
      </c>
      <c r="AB3" s="7"/>
      <c r="AC3" s="7"/>
      <c r="AD3" s="7"/>
      <c r="AE3" s="5">
        <f t="shared" si="6"/>
        <v>0</v>
      </c>
      <c r="AF3" s="5" t="str">
        <f t="shared" si="7"/>
        <v>BAJO</v>
      </c>
      <c r="AG3" s="5">
        <v>2</v>
      </c>
      <c r="AH3" s="11"/>
      <c r="AI3" s="11"/>
      <c r="AJ3" s="11"/>
      <c r="AK3" s="5">
        <f t="shared" si="8"/>
        <v>0</v>
      </c>
      <c r="AL3" s="5" t="str">
        <f t="shared" si="9"/>
        <v>BAJO</v>
      </c>
      <c r="AM3" s="5">
        <v>1</v>
      </c>
      <c r="AN3" s="11"/>
      <c r="AO3" s="11"/>
      <c r="AP3" s="11"/>
      <c r="AQ3" s="5">
        <f t="shared" si="10"/>
        <v>0</v>
      </c>
      <c r="AR3" s="5" t="str">
        <f t="shared" si="11"/>
        <v>BAJO</v>
      </c>
      <c r="AS3" s="5">
        <v>4</v>
      </c>
      <c r="AT3" s="7"/>
      <c r="AU3" s="7"/>
      <c r="AV3" s="7"/>
      <c r="AW3" s="5">
        <f t="shared" si="12"/>
        <v>0</v>
      </c>
      <c r="AX3" s="5" t="str">
        <f t="shared" si="13"/>
        <v>BAJO</v>
      </c>
      <c r="AY3" s="5">
        <v>1</v>
      </c>
      <c r="AZ3" s="7"/>
      <c r="BA3" s="7"/>
      <c r="BB3" s="7"/>
      <c r="BC3" s="5">
        <f t="shared" si="14"/>
        <v>0</v>
      </c>
      <c r="BD3" s="5" t="str">
        <f t="shared" si="15"/>
        <v>BAJO</v>
      </c>
      <c r="BE3" s="7">
        <v>2</v>
      </c>
      <c r="BF3" s="7"/>
      <c r="BG3" s="7"/>
      <c r="BH3" s="7"/>
      <c r="BI3" s="5">
        <f t="shared" si="16"/>
        <v>0</v>
      </c>
      <c r="BJ3" s="5" t="str">
        <f t="shared" si="17"/>
        <v>BAJO</v>
      </c>
      <c r="BK3" s="5">
        <v>1</v>
      </c>
      <c r="BL3" s="7"/>
      <c r="BM3" s="7"/>
      <c r="BN3" s="7"/>
      <c r="BO3" s="5">
        <f t="shared" si="18"/>
        <v>0</v>
      </c>
      <c r="BP3" s="5" t="str">
        <f t="shared" si="19"/>
        <v>BAJO</v>
      </c>
      <c r="BQ3" s="5">
        <v>1</v>
      </c>
      <c r="BR3" s="7"/>
      <c r="BS3" s="7"/>
      <c r="BT3" s="7"/>
      <c r="BU3" s="5">
        <f t="shared" si="20"/>
        <v>0</v>
      </c>
      <c r="BV3" s="5" t="str">
        <f t="shared" si="21"/>
        <v>BAJO</v>
      </c>
      <c r="BW3" s="5">
        <v>1</v>
      </c>
      <c r="BX3" s="7"/>
      <c r="BY3" s="7"/>
      <c r="BZ3" s="7"/>
      <c r="CA3" s="5">
        <f t="shared" si="22"/>
        <v>0</v>
      </c>
      <c r="CB3" s="5" t="str">
        <f t="shared" si="23"/>
        <v>BAJO</v>
      </c>
      <c r="CC3" s="5">
        <v>1</v>
      </c>
      <c r="CD3" s="7"/>
      <c r="CE3" s="7"/>
      <c r="CF3" s="7"/>
      <c r="CG3" s="5">
        <f t="shared" si="24"/>
        <v>0</v>
      </c>
      <c r="CH3" s="5" t="str">
        <f t="shared" si="25"/>
        <v>BAJO</v>
      </c>
      <c r="CI3" s="5">
        <v>1</v>
      </c>
      <c r="CJ3" s="7"/>
      <c r="CK3" s="7"/>
      <c r="CL3" s="7"/>
      <c r="CM3" s="5">
        <f t="shared" si="26"/>
        <v>0</v>
      </c>
      <c r="CN3" s="5" t="str">
        <f t="shared" si="27"/>
        <v>BAJO</v>
      </c>
      <c r="CO3" s="5">
        <v>1</v>
      </c>
      <c r="CP3" s="7"/>
      <c r="CQ3" s="7"/>
      <c r="CR3" s="7"/>
      <c r="CS3" s="5">
        <f t="shared" si="28"/>
        <v>0</v>
      </c>
      <c r="CT3" s="5" t="str">
        <f t="shared" si="29"/>
        <v>BAJO</v>
      </c>
      <c r="CU3" s="5">
        <v>2</v>
      </c>
      <c r="CV3" s="7"/>
      <c r="CW3" s="7"/>
      <c r="CX3" s="7"/>
      <c r="CY3" s="5">
        <f t="shared" si="30"/>
        <v>0</v>
      </c>
      <c r="CZ3" s="5" t="str">
        <f t="shared" si="31"/>
        <v>BAJO</v>
      </c>
      <c r="DA3" s="5">
        <v>2</v>
      </c>
      <c r="DB3" s="5"/>
      <c r="DC3" s="5"/>
      <c r="DD3" s="5"/>
      <c r="DE3" s="5">
        <f t="shared" si="32"/>
        <v>0</v>
      </c>
      <c r="DF3" s="5" t="str">
        <f t="shared" si="33"/>
        <v>BAJO</v>
      </c>
      <c r="DG3" s="5">
        <v>0</v>
      </c>
      <c r="DH3" s="7"/>
      <c r="DI3" s="5" t="str">
        <f t="shared" si="34"/>
        <v>BAJO</v>
      </c>
      <c r="DJ3" s="5">
        <f t="shared" si="35"/>
        <v>0</v>
      </c>
      <c r="DK3" s="5" t="str">
        <f t="shared" ref="DK3:DK42" si="36">$DK$2</f>
        <v>Comprende el concepto de números reales, su relación de orden y las propiedades de sus operaciones, así como las relaciones de semejanza y congruencia de distintas figuras geométricas.</v>
      </c>
      <c r="DL3" s="5" t="str">
        <f t="shared" ref="DL3:FJ3" si="37">DL2</f>
        <v>Aplica correctamente las propiedades de las operaciones de números reales y expresiones algebraicas en la resolución de problemas.</v>
      </c>
      <c r="DM3" s="5" t="str">
        <f t="shared" si="37"/>
        <v>Valora el uso del pensamiento lógico a la hora de plantear y resolver problemas de las matemáticas y de la vida cotidiana.</v>
      </c>
      <c r="DN3" s="5" t="str">
        <f t="shared" si="3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" s="5" t="str">
        <f t="shared" si="37"/>
        <v>Organiza y analiza datos mediante la construcción de tablas de frecuencias y diagramas estadísticos, identificando variables aleatorias y utilizando estas representaciones para resolver situaciones problema.</v>
      </c>
      <c r="DP3" s="5" t="str">
        <f t="shared" si="37"/>
        <v>Muestra disposición y responsabilidad en el manejo y análisis de datos, participando activamente en actividades individuales y colaborativas, y comunicando información estadística con claridad y sentido crítico.</v>
      </c>
      <c r="DQ3" s="5" t="str">
        <f t="shared" si="37"/>
        <v>Analiza las características de la literatura prehispánica y la literatura del descubrimiento y la conquista en Colombia identificando sus elementos fundamentales y su impacto en la cultura y el lenguaje actual.</v>
      </c>
      <c r="DR3" s="5" t="str">
        <f t="shared" si="37"/>
        <v>Realiza comprensión lectora cuando analiza un texto desde el discurso de la Enunciación e identifica la función de cada uno de sus componentes.
Responde preguntas en los tres niveles de lectura a una leyenda del Caribe.</v>
      </c>
      <c r="DS3" s="5" t="str">
        <f t="shared" si="37"/>
        <v>Muestra disposición para participar activamente en las clases, promoviendo el respeto por las ideas ajenas y reconociendo la importancia de la precisión como una herramienta clave para una comunicación</v>
      </c>
      <c r="DT3" s="5" t="str">
        <f t="shared" si="37"/>
        <v>Comprende el contenido del cuento A la deriva, identificando su tema central, la secuencia de los hechos, los personajes y las ideas explícitas e implícitas del texto.</v>
      </c>
      <c r="DU3" s="5" t="str">
        <f t="shared" si="37"/>
        <v>Analiza críticamente el cuento A la deriva mediante la identificación de información literal, inferencial y crítica, sustentando sus respuestas de forma oral y escrita.</v>
      </c>
      <c r="DV3" s="5" t="str">
        <f t="shared" si="37"/>
        <v>Valora la lectura literaria como una oportunidad para reflexionar sobre la vida, la naturaleza y la condición humana, participando con interés, respeto y sentido crítico en las actividades propuestas.</v>
      </c>
      <c r="DW3" s="5" t="str">
        <f t="shared" si="37"/>
        <v>Comprende y reconoce vocabulario y estructuras basicas del ingles para interpretar textos cortos y conversaciones sobre temas cotidianos de la vida diaria.</v>
      </c>
      <c r="DX3" s="5" t="str">
        <f t="shared" si="37"/>
        <v>Produce de forma oral y escrita frases y parrafos cortos en Ingles, utilizando correctamente las estructuras conocidas para describir rutinas, narrar experiencias y participar en conversaciones.</v>
      </c>
      <c r="DY3" s="5" t="str">
        <f t="shared" si="37"/>
        <v>Muestra disposicion positiva hacia el aprendizaje del Ingles participando activamente en clase.</v>
      </c>
      <c r="DZ3" s="5" t="str">
        <f t="shared" si="37"/>
        <v>Identifica vocabulario en Ingles  de situaciones cotidianas.</v>
      </c>
      <c r="EA3" s="5" t="str">
        <f t="shared" si="37"/>
        <v>Participa en actividades utilizando vocabulario aprendido para expresar gustos,emociones y necesidades.</v>
      </c>
      <c r="EB3" s="5" t="str">
        <f t="shared" si="37"/>
        <v>Respeta la opinion de los demas, muestra disposicion para participar en actividades orales.</v>
      </c>
      <c r="EC3" s="5" t="str">
        <f t="shared" si="37"/>
        <v>Identifica la conformación y funcionamiento del sistema inmunolófico y diferencia las característics de los estados de la materia.</v>
      </c>
      <c r="ED3" s="5" t="str">
        <f t="shared" si="37"/>
        <v>Reconoce experimentalmente las características de materiales en los diferentes estados de la materia.</v>
      </c>
      <c r="EE3" s="5" t="str">
        <f t="shared" si="37"/>
        <v xml:space="preserve">Valora la importancia de tener habitos saludables, para lograr el mantenimiento saludable del sistema inmune. </v>
      </c>
      <c r="EF3" s="5" t="str">
        <f t="shared" si="37"/>
        <v>Describe correctamente la secuencia de eventos biologicos de la fecundacion,incluyendo las recciones acrosomicas,la funcion de gametos y la formacion de gametos.</v>
      </c>
      <c r="EG3" s="5" t="str">
        <f t="shared" si="37"/>
        <v>Mide la capacidad del labolatrio para lograr la fecundacion exitosa de los ovulos con el espermatozoide.</v>
      </c>
      <c r="EH3" s="5" t="str">
        <f t="shared" si="37"/>
        <v>Valora la importancia del cuidado del cuerpo y de la salud reproductiva como la base para una fecundacion saludable.</v>
      </c>
      <c r="EI3" s="5" t="str">
        <f t="shared" si="37"/>
        <v>Explico las principales caracteristicas de algunas revoluciones de los siglos XVIII y XIX (Revolucion francesa, Industrial...)</v>
      </c>
      <c r="EJ3" s="5" t="str">
        <f t="shared" si="37"/>
        <v>Analiza las causas y consecuencias de procesos historicos como la Revolucion Industrial y Francesa.</v>
      </c>
      <c r="EK3" s="5" t="str">
        <f t="shared" si="37"/>
        <v>Muestra interes y curiosidad por comprender los procesos historicos y su impacto en la sociedad.</v>
      </c>
      <c r="EL3" s="5" t="str">
        <f t="shared" si="37"/>
        <v xml:space="preserve">Identifica los procesos historicos de algunas revoluciones de los siglos XVIII y XIX </v>
      </c>
      <c r="EM3" s="5">
        <f t="shared" si="37"/>
        <v>0</v>
      </c>
      <c r="EN3" s="5">
        <f t="shared" si="37"/>
        <v>0</v>
      </c>
      <c r="EO3" s="5" t="str">
        <f t="shared" si="37"/>
        <v xml:space="preserve">Comprende la distribucion espacial de la poblacion antes y despues de las revoluciones </v>
      </c>
      <c r="EP3" s="5" t="str">
        <f t="shared" si="37"/>
        <v xml:space="preserve">Ubica en mapas las regiones donde se desarrollaron las principales revoluciones y explica sus caracteristicas geograficas </v>
      </c>
      <c r="EQ3" s="5" t="str">
        <f t="shared" si="37"/>
        <v>Muestra interes por comprender la relacion entre sociedad, economia y territorio</v>
      </c>
      <c r="ER3" s="5" t="str">
        <f t="shared" si="37"/>
        <v>Comprende el concepto de cultura de paz y su importancia en la sociedad</v>
      </c>
      <c r="ES3" s="5" t="str">
        <f t="shared" si="37"/>
        <v>Practica normas de convivencia en diferentes espacios( aula, hogar, comunidad)</v>
      </c>
      <c r="ET3" s="5" t="str">
        <f t="shared" si="37"/>
        <v>Muestra actitud de respeto hacia la diversidad cuktural, social y de pensamiento</v>
      </c>
      <c r="EU3" s="5">
        <f t="shared" si="37"/>
        <v>0</v>
      </c>
      <c r="EV3" s="5">
        <f t="shared" si="37"/>
        <v>0</v>
      </c>
      <c r="EW3" s="5">
        <f t="shared" si="37"/>
        <v>0</v>
      </c>
      <c r="EX3" s="5">
        <f t="shared" si="37"/>
        <v>0</v>
      </c>
      <c r="EY3" s="5">
        <f t="shared" si="37"/>
        <v>0</v>
      </c>
      <c r="EZ3" s="5">
        <f t="shared" si="37"/>
        <v>0</v>
      </c>
      <c r="FA3" s="5">
        <f t="shared" si="37"/>
        <v>0</v>
      </c>
      <c r="FB3" s="5">
        <f t="shared" si="37"/>
        <v>0</v>
      </c>
      <c r="FC3" s="5">
        <f t="shared" si="37"/>
        <v>0</v>
      </c>
      <c r="FD3" s="5" t="str">
        <f t="shared" si="37"/>
        <v xml:space="preserve"> Identifica las expresiones motrices relacionadas con el juego del voleibol,  como una oportunidad para mejorar la salud, la estética y las relaciones con los demás.</v>
      </c>
      <c r="FE3" s="5" t="str">
        <f t="shared" si="37"/>
        <v>Pone en práctica los fundamentos básicos del voleibol.</v>
      </c>
      <c r="FF3" s="5" t="str">
        <f t="shared" si="37"/>
        <v>Muestra  responsabilidad y buena actitud al realizar el juego de voleibol.</v>
      </c>
      <c r="FG3" s="5" t="str">
        <f t="shared" si="37"/>
        <v>Comprende el concepto de variable como espacio de almacenamiento de datos y reconoce el uso de estructuras condicionales (si, si-no) para la toma de decisiones en un programa.</v>
      </c>
      <c r="FH3" s="5" t="str">
        <f t="shared" si="37"/>
        <v>Diseña y desarrolla programas que utilizan variables y estructuras condicionales para resolver problemas, evaluando condiciones y generando respuestas según diferentes situaciones.</v>
      </c>
      <c r="FI3" s="5" t="str">
        <f t="shared" si="37"/>
        <v>Muestra pensamiento lógico, perseverancia y actitud crítica al analizar errores y proponer soluciones en la construcción de programas con variables y condicionales.</v>
      </c>
      <c r="FJ3" s="5" t="str">
        <f t="shared" si="37"/>
        <v>Identifica y reconoce sus pricipales deberes y derechos dentro y fuera  de la Institución educativa.</v>
      </c>
    </row>
    <row r="4" spans="1:166">
      <c r="A4" s="5">
        <v>3</v>
      </c>
      <c r="B4" s="5" t="s">
        <v>73</v>
      </c>
      <c r="C4" s="6">
        <v>1052090077</v>
      </c>
      <c r="D4" s="5" t="s">
        <v>68</v>
      </c>
      <c r="E4" s="5" t="s">
        <v>69</v>
      </c>
      <c r="F4" s="5" t="s">
        <v>70</v>
      </c>
      <c r="G4" s="5" t="s">
        <v>71</v>
      </c>
      <c r="H4" s="5">
        <v>2026</v>
      </c>
      <c r="I4" s="5">
        <v>4</v>
      </c>
      <c r="J4" s="7">
        <v>2.4</v>
      </c>
      <c r="K4" s="7">
        <v>2.5</v>
      </c>
      <c r="L4" s="7">
        <v>2.6</v>
      </c>
      <c r="M4" s="5">
        <f t="shared" si="0"/>
        <v>2.5</v>
      </c>
      <c r="N4" s="5" t="str">
        <f t="shared" si="1"/>
        <v>BAJO</v>
      </c>
      <c r="O4" s="5">
        <v>1</v>
      </c>
      <c r="P4" s="7">
        <v>3.6</v>
      </c>
      <c r="Q4" s="7">
        <v>3.6</v>
      </c>
      <c r="R4" s="7">
        <v>3.6</v>
      </c>
      <c r="S4" s="5">
        <f t="shared" si="2"/>
        <v>3.6000000000000005</v>
      </c>
      <c r="T4" s="5" t="str">
        <f t="shared" si="3"/>
        <v>BASICO</v>
      </c>
      <c r="U4" s="5">
        <v>4</v>
      </c>
      <c r="V4" s="7">
        <v>3.7</v>
      </c>
      <c r="W4" s="7">
        <v>3.5</v>
      </c>
      <c r="X4" s="7">
        <v>3.8</v>
      </c>
      <c r="Y4" s="5">
        <f t="shared" si="4"/>
        <v>3.6500000000000004</v>
      </c>
      <c r="Z4" s="5" t="str">
        <f t="shared" si="5"/>
        <v>BASICO</v>
      </c>
      <c r="AA4" s="5">
        <v>1</v>
      </c>
      <c r="AB4" s="7">
        <v>4</v>
      </c>
      <c r="AC4" s="7">
        <v>4</v>
      </c>
      <c r="AD4" s="7">
        <v>4</v>
      </c>
      <c r="AE4" s="5">
        <f t="shared" si="6"/>
        <v>4</v>
      </c>
      <c r="AF4" s="5" t="str">
        <f t="shared" si="7"/>
        <v>ALTO</v>
      </c>
      <c r="AG4" s="5">
        <v>2</v>
      </c>
      <c r="AH4" s="8">
        <v>2.5</v>
      </c>
      <c r="AI4" s="8">
        <v>3</v>
      </c>
      <c r="AJ4" s="8">
        <v>3</v>
      </c>
      <c r="AK4" s="5">
        <f t="shared" si="8"/>
        <v>2.85</v>
      </c>
      <c r="AL4" s="5" t="str">
        <f t="shared" si="9"/>
        <v>BAJO</v>
      </c>
      <c r="AM4" s="5">
        <v>1</v>
      </c>
      <c r="AN4" s="8">
        <v>2.5</v>
      </c>
      <c r="AO4" s="8">
        <v>3</v>
      </c>
      <c r="AP4" s="8">
        <v>3</v>
      </c>
      <c r="AQ4" s="5">
        <f t="shared" si="10"/>
        <v>2.85</v>
      </c>
      <c r="AR4" s="5" t="str">
        <f t="shared" si="11"/>
        <v>BAJO</v>
      </c>
      <c r="AS4" s="5">
        <v>4</v>
      </c>
      <c r="AT4" s="7">
        <v>2.5</v>
      </c>
      <c r="AU4" s="7">
        <v>2.5</v>
      </c>
      <c r="AV4" s="7">
        <v>2.5</v>
      </c>
      <c r="AW4" s="5">
        <f t="shared" si="12"/>
        <v>2.5</v>
      </c>
      <c r="AX4" s="5" t="str">
        <f t="shared" si="13"/>
        <v>BAJO</v>
      </c>
      <c r="AY4" s="5">
        <v>1</v>
      </c>
      <c r="AZ4" s="7">
        <v>4</v>
      </c>
      <c r="BA4" s="7">
        <v>3.6</v>
      </c>
      <c r="BB4" s="7">
        <v>3.5</v>
      </c>
      <c r="BC4" s="5">
        <f t="shared" si="14"/>
        <v>3.6900000000000004</v>
      </c>
      <c r="BD4" s="5" t="str">
        <f t="shared" si="15"/>
        <v>BASICO</v>
      </c>
      <c r="BE4" s="7">
        <v>2</v>
      </c>
      <c r="BF4" s="7">
        <v>3.4</v>
      </c>
      <c r="BG4" s="7">
        <v>3.2</v>
      </c>
      <c r="BH4" s="7">
        <v>3</v>
      </c>
      <c r="BI4" s="5">
        <f t="shared" si="16"/>
        <v>3.2</v>
      </c>
      <c r="BJ4" s="5" t="str">
        <f t="shared" si="17"/>
        <v>BASICO</v>
      </c>
      <c r="BK4" s="5">
        <v>1</v>
      </c>
      <c r="BL4" s="7">
        <v>3.4</v>
      </c>
      <c r="BM4" s="7">
        <v>3.2</v>
      </c>
      <c r="BN4" s="7">
        <v>3.2</v>
      </c>
      <c r="BO4" s="5">
        <f t="shared" si="18"/>
        <v>3.2600000000000002</v>
      </c>
      <c r="BP4" s="5" t="str">
        <f t="shared" si="19"/>
        <v>BASICO</v>
      </c>
      <c r="BQ4" s="5">
        <v>1</v>
      </c>
      <c r="BR4" s="7">
        <v>3.2</v>
      </c>
      <c r="BS4" s="7">
        <v>3.2</v>
      </c>
      <c r="BT4" s="7">
        <v>3.2</v>
      </c>
      <c r="BU4" s="5">
        <f t="shared" si="20"/>
        <v>3.2</v>
      </c>
      <c r="BV4" s="5" t="str">
        <f t="shared" si="21"/>
        <v>BASICO</v>
      </c>
      <c r="BW4" s="5">
        <v>1</v>
      </c>
      <c r="BX4" s="7">
        <v>3</v>
      </c>
      <c r="BY4" s="7">
        <v>3</v>
      </c>
      <c r="BZ4" s="7">
        <v>3</v>
      </c>
      <c r="CA4" s="5">
        <f t="shared" si="22"/>
        <v>3</v>
      </c>
      <c r="CB4" s="5" t="str">
        <f t="shared" si="23"/>
        <v>BASICO</v>
      </c>
      <c r="CC4" s="5">
        <v>1</v>
      </c>
      <c r="CD4" s="7">
        <v>3.5</v>
      </c>
      <c r="CE4" s="7">
        <v>3.7</v>
      </c>
      <c r="CF4" s="7">
        <v>3.7</v>
      </c>
      <c r="CG4" s="5">
        <f t="shared" si="24"/>
        <v>3.6400000000000006</v>
      </c>
      <c r="CH4" s="5" t="str">
        <f t="shared" si="25"/>
        <v>BASICO</v>
      </c>
      <c r="CI4" s="5">
        <v>1</v>
      </c>
      <c r="CJ4" s="7">
        <v>4.4000000000000004</v>
      </c>
      <c r="CK4" s="7">
        <v>4.2</v>
      </c>
      <c r="CL4" s="7">
        <v>4.2</v>
      </c>
      <c r="CM4" s="5">
        <f t="shared" si="26"/>
        <v>4.26</v>
      </c>
      <c r="CN4" s="5" t="str">
        <f t="shared" si="27"/>
        <v>ALTO</v>
      </c>
      <c r="CO4" s="5">
        <v>1</v>
      </c>
      <c r="CP4" s="7">
        <v>3.5</v>
      </c>
      <c r="CQ4" s="7">
        <v>3.5</v>
      </c>
      <c r="CR4" s="7">
        <v>3.5</v>
      </c>
      <c r="CS4" s="5">
        <f t="shared" si="28"/>
        <v>3.5</v>
      </c>
      <c r="CT4" s="5" t="str">
        <f t="shared" si="29"/>
        <v>BASICO</v>
      </c>
      <c r="CU4" s="5">
        <v>2</v>
      </c>
      <c r="CV4" s="7">
        <v>3.5</v>
      </c>
      <c r="CW4" s="7">
        <v>3.5</v>
      </c>
      <c r="CX4" s="7">
        <v>3.5</v>
      </c>
      <c r="CY4" s="5">
        <f t="shared" si="30"/>
        <v>3.5</v>
      </c>
      <c r="CZ4" s="5" t="str">
        <f t="shared" si="31"/>
        <v>BASICO</v>
      </c>
      <c r="DA4" s="5">
        <v>2</v>
      </c>
      <c r="DB4" s="7">
        <v>3.5</v>
      </c>
      <c r="DC4" s="7">
        <v>3.5</v>
      </c>
      <c r="DD4" s="7">
        <v>3</v>
      </c>
      <c r="DE4" s="5">
        <f t="shared" si="32"/>
        <v>3.35</v>
      </c>
      <c r="DF4" s="5" t="str">
        <f t="shared" si="33"/>
        <v>BASICO</v>
      </c>
      <c r="DG4" s="5">
        <v>0</v>
      </c>
      <c r="DH4" s="7"/>
      <c r="DI4" s="5" t="str">
        <f t="shared" si="34"/>
        <v>BAJO</v>
      </c>
      <c r="DJ4" s="5">
        <f t="shared" si="35"/>
        <v>3.3343750000000001</v>
      </c>
      <c r="DK4" s="5" t="str">
        <f t="shared" si="36"/>
        <v>Comprende el concepto de números reales, su relación de orden y las propiedades de sus operaciones, así como las relaciones de semejanza y congruencia de distintas figuras geométricas.</v>
      </c>
      <c r="DL4" s="5" t="str">
        <f t="shared" ref="DL4:FJ4" si="38">DL3</f>
        <v>Aplica correctamente las propiedades de las operaciones de números reales y expresiones algebraicas en la resolución de problemas.</v>
      </c>
      <c r="DM4" s="5" t="str">
        <f t="shared" si="38"/>
        <v>Valora el uso del pensamiento lógico a la hora de plantear y resolver problemas de las matemáticas y de la vida cotidiana.</v>
      </c>
      <c r="DN4" s="5" t="str">
        <f t="shared" si="3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" s="5" t="str">
        <f t="shared" si="38"/>
        <v>Organiza y analiza datos mediante la construcción de tablas de frecuencias y diagramas estadísticos, identificando variables aleatorias y utilizando estas representaciones para resolver situaciones problema.</v>
      </c>
      <c r="DP4" s="5" t="str">
        <f t="shared" si="38"/>
        <v>Muestra disposición y responsabilidad en el manejo y análisis de datos, participando activamente en actividades individuales y colaborativas, y comunicando información estadística con claridad y sentido crítico.</v>
      </c>
      <c r="DQ4" s="5" t="str">
        <f t="shared" si="38"/>
        <v>Analiza las características de la literatura prehispánica y la literatura del descubrimiento y la conquista en Colombia identificando sus elementos fundamentales y su impacto en la cultura y el lenguaje actual.</v>
      </c>
      <c r="DR4" s="5" t="str">
        <f t="shared" si="38"/>
        <v>Realiza comprensión lectora cuando analiza un texto desde el discurso de la Enunciación e identifica la función de cada uno de sus componentes.
Responde preguntas en los tres niveles de lectura a una leyenda del Caribe.</v>
      </c>
      <c r="DS4" s="5" t="str">
        <f t="shared" si="38"/>
        <v>Muestra disposición para participar activamente en las clases, promoviendo el respeto por las ideas ajenas y reconociendo la importancia de la precisión como una herramienta clave para una comunicación</v>
      </c>
      <c r="DT4" s="5" t="str">
        <f t="shared" si="38"/>
        <v>Comprende el contenido del cuento A la deriva, identificando su tema central, la secuencia de los hechos, los personajes y las ideas explícitas e implícitas del texto.</v>
      </c>
      <c r="DU4" s="5" t="str">
        <f t="shared" si="38"/>
        <v>Analiza críticamente el cuento A la deriva mediante la identificación de información literal, inferencial y crítica, sustentando sus respuestas de forma oral y escrita.</v>
      </c>
      <c r="DV4" s="5" t="str">
        <f t="shared" si="38"/>
        <v>Valora la lectura literaria como una oportunidad para reflexionar sobre la vida, la naturaleza y la condición humana, participando con interés, respeto y sentido crítico en las actividades propuestas.</v>
      </c>
      <c r="DW4" s="5" t="str">
        <f t="shared" si="38"/>
        <v>Comprende y reconoce vocabulario y estructuras basicas del ingles para interpretar textos cortos y conversaciones sobre temas cotidianos de la vida diaria.</v>
      </c>
      <c r="DX4" s="5" t="str">
        <f t="shared" si="38"/>
        <v>Produce de forma oral y escrita frases y parrafos cortos en Ingles, utilizando correctamente las estructuras conocidas para describir rutinas, narrar experiencias y participar en conversaciones.</v>
      </c>
      <c r="DY4" s="5" t="str">
        <f t="shared" si="38"/>
        <v>Muestra disposicion positiva hacia el aprendizaje del Ingles participando activamente en clase.</v>
      </c>
      <c r="DZ4" s="5" t="str">
        <f t="shared" si="38"/>
        <v>Identifica vocabulario en Ingles  de situaciones cotidianas.</v>
      </c>
      <c r="EA4" s="5" t="str">
        <f t="shared" si="38"/>
        <v>Participa en actividades utilizando vocabulario aprendido para expresar gustos,emociones y necesidades.</v>
      </c>
      <c r="EB4" s="5" t="str">
        <f t="shared" si="38"/>
        <v>Respeta la opinion de los demas, muestra disposicion para participar en actividades orales.</v>
      </c>
      <c r="EC4" s="5" t="str">
        <f t="shared" si="38"/>
        <v>Identifica la conformación y funcionamiento del sistema inmunolófico y diferencia las característics de los estados de la materia.</v>
      </c>
      <c r="ED4" s="5" t="str">
        <f t="shared" si="38"/>
        <v>Reconoce experimentalmente las características de materiales en los diferentes estados de la materia.</v>
      </c>
      <c r="EE4" s="5" t="str">
        <f t="shared" si="38"/>
        <v xml:space="preserve">Valora la importancia de tener habitos saludables, para lograr el mantenimiento saludable del sistema inmune. </v>
      </c>
      <c r="EF4" s="5" t="str">
        <f t="shared" si="38"/>
        <v>Describe correctamente la secuencia de eventos biologicos de la fecundacion,incluyendo las recciones acrosomicas,la funcion de gametos y la formacion de gametos.</v>
      </c>
      <c r="EG4" s="5" t="str">
        <f t="shared" si="38"/>
        <v>Mide la capacidad del labolatrio para lograr la fecundacion exitosa de los ovulos con el espermatozoide.</v>
      </c>
      <c r="EH4" s="5" t="str">
        <f t="shared" si="38"/>
        <v>Valora la importancia del cuidado del cuerpo y de la salud reproductiva como la base para una fecundacion saludable.</v>
      </c>
      <c r="EI4" s="5" t="str">
        <f t="shared" si="38"/>
        <v>Explico las principales caracteristicas de algunas revoluciones de los siglos XVIII y XIX (Revolucion francesa, Industrial...)</v>
      </c>
      <c r="EJ4" s="5" t="str">
        <f t="shared" si="38"/>
        <v>Analiza las causas y consecuencias de procesos historicos como la Revolucion Industrial y Francesa.</v>
      </c>
      <c r="EK4" s="5" t="str">
        <f t="shared" si="38"/>
        <v>Muestra interes y curiosidad por comprender los procesos historicos y su impacto en la sociedad.</v>
      </c>
      <c r="EL4" s="5" t="str">
        <f t="shared" si="38"/>
        <v xml:space="preserve">Identifica los procesos historicos de algunas revoluciones de los siglos XVIII y XIX </v>
      </c>
      <c r="EM4" s="5">
        <f t="shared" si="38"/>
        <v>0</v>
      </c>
      <c r="EN4" s="5">
        <f t="shared" si="38"/>
        <v>0</v>
      </c>
      <c r="EO4" s="5" t="str">
        <f t="shared" si="38"/>
        <v xml:space="preserve">Comprende la distribucion espacial de la poblacion antes y despues de las revoluciones </v>
      </c>
      <c r="EP4" s="5" t="str">
        <f t="shared" si="38"/>
        <v xml:space="preserve">Ubica en mapas las regiones donde se desarrollaron las principales revoluciones y explica sus caracteristicas geograficas </v>
      </c>
      <c r="EQ4" s="5" t="str">
        <f t="shared" si="38"/>
        <v>Muestra interes por comprender la relacion entre sociedad, economia y territorio</v>
      </c>
      <c r="ER4" s="5" t="str">
        <f t="shared" si="38"/>
        <v>Comprende el concepto de cultura de paz y su importancia en la sociedad</v>
      </c>
      <c r="ES4" s="5" t="str">
        <f t="shared" si="38"/>
        <v>Practica normas de convivencia en diferentes espacios( aula, hogar, comunidad)</v>
      </c>
      <c r="ET4" s="5" t="str">
        <f t="shared" si="38"/>
        <v>Muestra actitud de respeto hacia la diversidad cuktural, social y de pensamiento</v>
      </c>
      <c r="EU4" s="5">
        <f t="shared" si="38"/>
        <v>0</v>
      </c>
      <c r="EV4" s="5">
        <f t="shared" si="38"/>
        <v>0</v>
      </c>
      <c r="EW4" s="5">
        <f t="shared" si="38"/>
        <v>0</v>
      </c>
      <c r="EX4" s="5">
        <f t="shared" si="38"/>
        <v>0</v>
      </c>
      <c r="EY4" s="5">
        <f t="shared" si="38"/>
        <v>0</v>
      </c>
      <c r="EZ4" s="5">
        <f t="shared" si="38"/>
        <v>0</v>
      </c>
      <c r="FA4" s="5">
        <f t="shared" si="38"/>
        <v>0</v>
      </c>
      <c r="FB4" s="5">
        <f t="shared" si="38"/>
        <v>0</v>
      </c>
      <c r="FC4" s="5">
        <f t="shared" si="38"/>
        <v>0</v>
      </c>
      <c r="FD4" s="5" t="str">
        <f t="shared" si="38"/>
        <v xml:space="preserve"> Identifica las expresiones motrices relacionadas con el juego del voleibol,  como una oportunidad para mejorar la salud, la estética y las relaciones con los demás.</v>
      </c>
      <c r="FE4" s="5" t="str">
        <f t="shared" si="38"/>
        <v>Pone en práctica los fundamentos básicos del voleibol.</v>
      </c>
      <c r="FF4" s="5" t="str">
        <f t="shared" si="38"/>
        <v>Muestra  responsabilidad y buena actitud al realizar el juego de voleibol.</v>
      </c>
      <c r="FG4" s="5" t="str">
        <f t="shared" si="38"/>
        <v>Comprende el concepto de variable como espacio de almacenamiento de datos y reconoce el uso de estructuras condicionales (si, si-no) para la toma de decisiones en un programa.</v>
      </c>
      <c r="FH4" s="5" t="str">
        <f t="shared" si="38"/>
        <v>Diseña y desarrolla programas que utilizan variables y estructuras condicionales para resolver problemas, evaluando condiciones y generando respuestas según diferentes situaciones.</v>
      </c>
      <c r="FI4" s="5" t="str">
        <f t="shared" si="38"/>
        <v>Muestra pensamiento lógico, perseverancia y actitud crítica al analizar errores y proponer soluciones en la construcción de programas con variables y condicionales.</v>
      </c>
      <c r="FJ4" s="5" t="str">
        <f t="shared" si="38"/>
        <v>Identifica y reconoce sus pricipales deberes y derechos dentro y fuera  de la Institución educativa.</v>
      </c>
    </row>
    <row r="5" spans="1:166">
      <c r="A5" s="5">
        <v>4</v>
      </c>
      <c r="B5" s="5" t="s">
        <v>74</v>
      </c>
      <c r="C5" s="6">
        <v>1143144977</v>
      </c>
      <c r="D5" s="5" t="s">
        <v>68</v>
      </c>
      <c r="E5" s="5" t="s">
        <v>69</v>
      </c>
      <c r="F5" s="5" t="s">
        <v>70</v>
      </c>
      <c r="G5" s="5" t="s">
        <v>71</v>
      </c>
      <c r="H5" s="5">
        <v>2026</v>
      </c>
      <c r="I5" s="5">
        <v>4</v>
      </c>
      <c r="J5" s="7">
        <v>3</v>
      </c>
      <c r="K5" s="7">
        <v>3.2</v>
      </c>
      <c r="L5" s="7">
        <v>3.4</v>
      </c>
      <c r="M5" s="5">
        <f t="shared" si="0"/>
        <v>3.2</v>
      </c>
      <c r="N5" s="5" t="str">
        <f t="shared" si="1"/>
        <v>BASICO</v>
      </c>
      <c r="O5" s="5">
        <v>1</v>
      </c>
      <c r="P5" s="7">
        <v>4.4000000000000004</v>
      </c>
      <c r="Q5" s="7">
        <v>4.4000000000000004</v>
      </c>
      <c r="R5" s="7">
        <v>4.4000000000000004</v>
      </c>
      <c r="S5" s="5">
        <f t="shared" si="2"/>
        <v>4.4000000000000004</v>
      </c>
      <c r="T5" s="5" t="str">
        <f t="shared" si="3"/>
        <v>ALTO</v>
      </c>
      <c r="U5" s="5">
        <v>4</v>
      </c>
      <c r="V5" s="7">
        <v>4</v>
      </c>
      <c r="W5" s="7">
        <v>4</v>
      </c>
      <c r="X5" s="7">
        <v>3</v>
      </c>
      <c r="Y5" s="5">
        <f t="shared" si="4"/>
        <v>3.6999999999999997</v>
      </c>
      <c r="Z5" s="5" t="str">
        <f t="shared" si="5"/>
        <v>BASICO</v>
      </c>
      <c r="AA5" s="5">
        <v>1</v>
      </c>
      <c r="AB5" s="7">
        <v>3.4</v>
      </c>
      <c r="AC5" s="7">
        <v>3.4</v>
      </c>
      <c r="AD5" s="7">
        <v>3.4</v>
      </c>
      <c r="AE5" s="5">
        <f t="shared" si="6"/>
        <v>3.4</v>
      </c>
      <c r="AF5" s="5" t="str">
        <f t="shared" si="7"/>
        <v>BASICO</v>
      </c>
      <c r="AG5" s="5">
        <v>2</v>
      </c>
      <c r="AH5" s="8">
        <v>3.5</v>
      </c>
      <c r="AI5" s="8">
        <v>3.5</v>
      </c>
      <c r="AJ5" s="8">
        <v>3.5</v>
      </c>
      <c r="AK5" s="5">
        <f t="shared" si="8"/>
        <v>3.5</v>
      </c>
      <c r="AL5" s="5" t="str">
        <f t="shared" si="9"/>
        <v>BASICO</v>
      </c>
      <c r="AM5" s="5">
        <v>1</v>
      </c>
      <c r="AN5" s="8">
        <v>3.5</v>
      </c>
      <c r="AO5" s="8">
        <v>3.5</v>
      </c>
      <c r="AP5" s="8">
        <v>3.5</v>
      </c>
      <c r="AQ5" s="5">
        <f t="shared" si="10"/>
        <v>3.5</v>
      </c>
      <c r="AR5" s="5" t="str">
        <f t="shared" si="11"/>
        <v>BASICO</v>
      </c>
      <c r="AS5" s="5">
        <v>4</v>
      </c>
      <c r="AT5" s="7">
        <v>2.5</v>
      </c>
      <c r="AU5" s="7">
        <v>2.5</v>
      </c>
      <c r="AV5" s="7">
        <v>2.5</v>
      </c>
      <c r="AW5" s="5">
        <f t="shared" si="12"/>
        <v>2.5</v>
      </c>
      <c r="AX5" s="5" t="str">
        <f t="shared" si="13"/>
        <v>BAJO</v>
      </c>
      <c r="AY5" s="5">
        <v>1</v>
      </c>
      <c r="AZ5" s="7">
        <v>4</v>
      </c>
      <c r="BA5" s="7">
        <v>4</v>
      </c>
      <c r="BB5" s="7">
        <v>4</v>
      </c>
      <c r="BC5" s="5">
        <f t="shared" si="14"/>
        <v>4</v>
      </c>
      <c r="BD5" s="5" t="str">
        <f t="shared" si="15"/>
        <v>ALTO</v>
      </c>
      <c r="BE5" s="7">
        <v>2</v>
      </c>
      <c r="BF5" s="7">
        <v>3.5</v>
      </c>
      <c r="BG5" s="7">
        <v>3.6</v>
      </c>
      <c r="BH5" s="7">
        <v>3.7</v>
      </c>
      <c r="BI5" s="5">
        <f t="shared" si="16"/>
        <v>3.6000000000000005</v>
      </c>
      <c r="BJ5" s="5" t="str">
        <f t="shared" si="17"/>
        <v>BASICO</v>
      </c>
      <c r="BK5" s="5">
        <v>1</v>
      </c>
      <c r="BL5" s="7">
        <v>3.4</v>
      </c>
      <c r="BM5" s="7">
        <v>3.5</v>
      </c>
      <c r="BN5" s="7">
        <v>3.6</v>
      </c>
      <c r="BO5" s="5">
        <f t="shared" si="18"/>
        <v>3.5</v>
      </c>
      <c r="BP5" s="5" t="str">
        <f t="shared" si="19"/>
        <v>BASICO</v>
      </c>
      <c r="BQ5" s="5">
        <v>1</v>
      </c>
      <c r="BR5" s="7">
        <v>3.4</v>
      </c>
      <c r="BS5" s="7">
        <v>3.5</v>
      </c>
      <c r="BT5" s="7">
        <v>3.6</v>
      </c>
      <c r="BU5" s="5">
        <f t="shared" si="20"/>
        <v>3.5</v>
      </c>
      <c r="BV5" s="5" t="str">
        <f t="shared" si="21"/>
        <v>BASICO</v>
      </c>
      <c r="BW5" s="5">
        <v>1</v>
      </c>
      <c r="BX5" s="7">
        <v>3.5</v>
      </c>
      <c r="BY5" s="7">
        <v>3.5</v>
      </c>
      <c r="BZ5" s="7">
        <v>3.5</v>
      </c>
      <c r="CA5" s="5">
        <f t="shared" si="22"/>
        <v>3.5</v>
      </c>
      <c r="CB5" s="5" t="str">
        <f t="shared" si="23"/>
        <v>BASICO</v>
      </c>
      <c r="CC5" s="5">
        <v>1</v>
      </c>
      <c r="CD5" s="7">
        <v>4</v>
      </c>
      <c r="CE5" s="7">
        <v>4.2</v>
      </c>
      <c r="CF5" s="7">
        <v>4.2</v>
      </c>
      <c r="CG5" s="5">
        <f t="shared" si="24"/>
        <v>4.1399999999999997</v>
      </c>
      <c r="CH5" s="5" t="str">
        <f t="shared" si="25"/>
        <v>ALTO</v>
      </c>
      <c r="CI5" s="5">
        <v>1</v>
      </c>
      <c r="CJ5" s="7">
        <v>4</v>
      </c>
      <c r="CK5" s="7">
        <v>4</v>
      </c>
      <c r="CL5" s="7">
        <v>4</v>
      </c>
      <c r="CM5" s="5">
        <f t="shared" si="26"/>
        <v>4</v>
      </c>
      <c r="CN5" s="5" t="str">
        <f t="shared" si="27"/>
        <v>ALTO</v>
      </c>
      <c r="CO5" s="5">
        <v>1</v>
      </c>
      <c r="CP5" s="7">
        <v>3.8</v>
      </c>
      <c r="CQ5" s="7">
        <v>3.8</v>
      </c>
      <c r="CR5" s="7">
        <v>3.8</v>
      </c>
      <c r="CS5" s="5">
        <f t="shared" si="28"/>
        <v>3.8</v>
      </c>
      <c r="CT5" s="5" t="str">
        <f t="shared" si="29"/>
        <v>BASICO</v>
      </c>
      <c r="CU5" s="5">
        <v>2</v>
      </c>
      <c r="CV5" s="7">
        <v>2</v>
      </c>
      <c r="CW5" s="7">
        <v>2</v>
      </c>
      <c r="CX5" s="7">
        <v>2</v>
      </c>
      <c r="CY5" s="5">
        <f t="shared" si="30"/>
        <v>2</v>
      </c>
      <c r="CZ5" s="5" t="str">
        <f t="shared" si="31"/>
        <v>BAJO</v>
      </c>
      <c r="DA5" s="5">
        <v>2</v>
      </c>
      <c r="DB5" s="7">
        <v>2</v>
      </c>
      <c r="DC5" s="7">
        <v>2</v>
      </c>
      <c r="DD5" s="7">
        <v>3.5</v>
      </c>
      <c r="DE5" s="5">
        <f t="shared" si="32"/>
        <v>2.4500000000000002</v>
      </c>
      <c r="DF5" s="5" t="str">
        <f t="shared" si="33"/>
        <v>BAJO</v>
      </c>
      <c r="DG5" s="5">
        <v>0</v>
      </c>
      <c r="DH5" s="7"/>
      <c r="DI5" s="5" t="str">
        <f t="shared" si="34"/>
        <v>BAJO</v>
      </c>
      <c r="DJ5" s="5">
        <f t="shared" si="35"/>
        <v>3.4493749999999999</v>
      </c>
      <c r="DK5" s="5" t="str">
        <f t="shared" si="36"/>
        <v>Comprende el concepto de números reales, su relación de orden y las propiedades de sus operaciones, así como las relaciones de semejanza y congruencia de distintas figuras geométricas.</v>
      </c>
      <c r="DL5" s="5" t="str">
        <f t="shared" ref="DL5:FJ5" si="39">DL4</f>
        <v>Aplica correctamente las propiedades de las operaciones de números reales y expresiones algebraicas en la resolución de problemas.</v>
      </c>
      <c r="DM5" s="5" t="str">
        <f t="shared" si="39"/>
        <v>Valora el uso del pensamiento lógico a la hora de plantear y resolver problemas de las matemáticas y de la vida cotidiana.</v>
      </c>
      <c r="DN5" s="5" t="str">
        <f t="shared" si="3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5" s="5" t="str">
        <f t="shared" si="39"/>
        <v>Organiza y analiza datos mediante la construcción de tablas de frecuencias y diagramas estadísticos, identificando variables aleatorias y utilizando estas representaciones para resolver situaciones problema.</v>
      </c>
      <c r="DP5" s="5" t="str">
        <f t="shared" si="39"/>
        <v>Muestra disposición y responsabilidad en el manejo y análisis de datos, participando activamente en actividades individuales y colaborativas, y comunicando información estadística con claridad y sentido crítico.</v>
      </c>
      <c r="DQ5" s="5" t="str">
        <f t="shared" si="39"/>
        <v>Analiza las características de la literatura prehispánica y la literatura del descubrimiento y la conquista en Colombia identificando sus elementos fundamentales y su impacto en la cultura y el lenguaje actual.</v>
      </c>
      <c r="DR5" s="5" t="str">
        <f t="shared" si="39"/>
        <v>Realiza comprensión lectora cuando analiza un texto desde el discurso de la Enunciación e identifica la función de cada uno de sus componentes.
Responde preguntas en los tres niveles de lectura a una leyenda del Caribe.</v>
      </c>
      <c r="DS5" s="5" t="str">
        <f t="shared" si="39"/>
        <v>Muestra disposición para participar activamente en las clases, promoviendo el respeto por las ideas ajenas y reconociendo la importancia de la precisión como una herramienta clave para una comunicación</v>
      </c>
      <c r="DT5" s="5" t="str">
        <f t="shared" si="39"/>
        <v>Comprende el contenido del cuento A la deriva, identificando su tema central, la secuencia de los hechos, los personajes y las ideas explícitas e implícitas del texto.</v>
      </c>
      <c r="DU5" s="5" t="str">
        <f t="shared" si="39"/>
        <v>Analiza críticamente el cuento A la deriva mediante la identificación de información literal, inferencial y crítica, sustentando sus respuestas de forma oral y escrita.</v>
      </c>
      <c r="DV5" s="5" t="str">
        <f t="shared" si="39"/>
        <v>Valora la lectura literaria como una oportunidad para reflexionar sobre la vida, la naturaleza y la condición humana, participando con interés, respeto y sentido crítico en las actividades propuestas.</v>
      </c>
      <c r="DW5" s="5" t="str">
        <f t="shared" si="39"/>
        <v>Comprende y reconoce vocabulario y estructuras basicas del ingles para interpretar textos cortos y conversaciones sobre temas cotidianos de la vida diaria.</v>
      </c>
      <c r="DX5" s="5" t="str">
        <f t="shared" si="39"/>
        <v>Produce de forma oral y escrita frases y parrafos cortos en Ingles, utilizando correctamente las estructuras conocidas para describir rutinas, narrar experiencias y participar en conversaciones.</v>
      </c>
      <c r="DY5" s="5" t="str">
        <f t="shared" si="39"/>
        <v>Muestra disposicion positiva hacia el aprendizaje del Ingles participando activamente en clase.</v>
      </c>
      <c r="DZ5" s="5" t="str">
        <f t="shared" si="39"/>
        <v>Identifica vocabulario en Ingles  de situaciones cotidianas.</v>
      </c>
      <c r="EA5" s="5" t="str">
        <f t="shared" si="39"/>
        <v>Participa en actividades utilizando vocabulario aprendido para expresar gustos,emociones y necesidades.</v>
      </c>
      <c r="EB5" s="5" t="str">
        <f t="shared" si="39"/>
        <v>Respeta la opinion de los demas, muestra disposicion para participar en actividades orales.</v>
      </c>
      <c r="EC5" s="5" t="str">
        <f t="shared" si="39"/>
        <v>Identifica la conformación y funcionamiento del sistema inmunolófico y diferencia las característics de los estados de la materia.</v>
      </c>
      <c r="ED5" s="5" t="str">
        <f t="shared" si="39"/>
        <v>Reconoce experimentalmente las características de materiales en los diferentes estados de la materia.</v>
      </c>
      <c r="EE5" s="5" t="str">
        <f t="shared" si="39"/>
        <v xml:space="preserve">Valora la importancia de tener habitos saludables, para lograr el mantenimiento saludable del sistema inmune. </v>
      </c>
      <c r="EF5" s="5" t="str">
        <f t="shared" si="39"/>
        <v>Describe correctamente la secuencia de eventos biologicos de la fecundacion,incluyendo las recciones acrosomicas,la funcion de gametos y la formacion de gametos.</v>
      </c>
      <c r="EG5" s="5" t="str">
        <f t="shared" si="39"/>
        <v>Mide la capacidad del labolatrio para lograr la fecundacion exitosa de los ovulos con el espermatozoide.</v>
      </c>
      <c r="EH5" s="5" t="str">
        <f t="shared" si="39"/>
        <v>Valora la importancia del cuidado del cuerpo y de la salud reproductiva como la base para una fecundacion saludable.</v>
      </c>
      <c r="EI5" s="5" t="str">
        <f t="shared" si="39"/>
        <v>Explico las principales caracteristicas de algunas revoluciones de los siglos XVIII y XIX (Revolucion francesa, Industrial...)</v>
      </c>
      <c r="EJ5" s="5" t="str">
        <f t="shared" si="39"/>
        <v>Analiza las causas y consecuencias de procesos historicos como la Revolucion Industrial y Francesa.</v>
      </c>
      <c r="EK5" s="5" t="str">
        <f t="shared" si="39"/>
        <v>Muestra interes y curiosidad por comprender los procesos historicos y su impacto en la sociedad.</v>
      </c>
      <c r="EL5" s="5" t="str">
        <f t="shared" si="39"/>
        <v xml:space="preserve">Identifica los procesos historicos de algunas revoluciones de los siglos XVIII y XIX </v>
      </c>
      <c r="EM5" s="5">
        <f t="shared" si="39"/>
        <v>0</v>
      </c>
      <c r="EN5" s="5">
        <f t="shared" si="39"/>
        <v>0</v>
      </c>
      <c r="EO5" s="5" t="str">
        <f t="shared" si="39"/>
        <v xml:space="preserve">Comprende la distribucion espacial de la poblacion antes y despues de las revoluciones </v>
      </c>
      <c r="EP5" s="5" t="str">
        <f t="shared" si="39"/>
        <v xml:space="preserve">Ubica en mapas las regiones donde se desarrollaron las principales revoluciones y explica sus caracteristicas geograficas </v>
      </c>
      <c r="EQ5" s="5" t="str">
        <f t="shared" si="39"/>
        <v>Muestra interes por comprender la relacion entre sociedad, economia y territorio</v>
      </c>
      <c r="ER5" s="5" t="str">
        <f t="shared" si="39"/>
        <v>Comprende el concepto de cultura de paz y su importancia en la sociedad</v>
      </c>
      <c r="ES5" s="5" t="str">
        <f t="shared" si="39"/>
        <v>Practica normas de convivencia en diferentes espacios( aula, hogar, comunidad)</v>
      </c>
      <c r="ET5" s="5" t="str">
        <f t="shared" si="39"/>
        <v>Muestra actitud de respeto hacia la diversidad cuktural, social y de pensamiento</v>
      </c>
      <c r="EU5" s="5">
        <f t="shared" si="39"/>
        <v>0</v>
      </c>
      <c r="EV5" s="5">
        <f t="shared" si="39"/>
        <v>0</v>
      </c>
      <c r="EW5" s="5">
        <f t="shared" si="39"/>
        <v>0</v>
      </c>
      <c r="EX5" s="5">
        <f t="shared" si="39"/>
        <v>0</v>
      </c>
      <c r="EY5" s="5">
        <f t="shared" si="39"/>
        <v>0</v>
      </c>
      <c r="EZ5" s="5">
        <f t="shared" si="39"/>
        <v>0</v>
      </c>
      <c r="FA5" s="5">
        <f t="shared" si="39"/>
        <v>0</v>
      </c>
      <c r="FB5" s="5">
        <f t="shared" si="39"/>
        <v>0</v>
      </c>
      <c r="FC5" s="5">
        <f t="shared" si="39"/>
        <v>0</v>
      </c>
      <c r="FD5" s="5" t="str">
        <f t="shared" si="39"/>
        <v xml:space="preserve"> Identifica las expresiones motrices relacionadas con el juego del voleibol,  como una oportunidad para mejorar la salud, la estética y las relaciones con los demás.</v>
      </c>
      <c r="FE5" s="5" t="str">
        <f t="shared" si="39"/>
        <v>Pone en práctica los fundamentos básicos del voleibol.</v>
      </c>
      <c r="FF5" s="5" t="str">
        <f t="shared" si="39"/>
        <v>Muestra  responsabilidad y buena actitud al realizar el juego de voleibol.</v>
      </c>
      <c r="FG5" s="5" t="str">
        <f t="shared" si="39"/>
        <v>Comprende el concepto de variable como espacio de almacenamiento de datos y reconoce el uso de estructuras condicionales (si, si-no) para la toma de decisiones en un programa.</v>
      </c>
      <c r="FH5" s="5" t="str">
        <f t="shared" si="39"/>
        <v>Diseña y desarrolla programas que utilizan variables y estructuras condicionales para resolver problemas, evaluando condiciones y generando respuestas según diferentes situaciones.</v>
      </c>
      <c r="FI5" s="5" t="str">
        <f t="shared" si="39"/>
        <v>Muestra pensamiento lógico, perseverancia y actitud crítica al analizar errores y proponer soluciones en la construcción de programas con variables y condicionales.</v>
      </c>
      <c r="FJ5" s="5" t="str">
        <f t="shared" si="39"/>
        <v>Identifica y reconoce sus pricipales deberes y derechos dentro y fuera  de la Institución educativa.</v>
      </c>
    </row>
    <row r="6" spans="1:166">
      <c r="A6" s="5">
        <v>5</v>
      </c>
      <c r="B6" s="5" t="s">
        <v>75</v>
      </c>
      <c r="C6" s="6">
        <v>1047053184</v>
      </c>
      <c r="D6" s="5" t="s">
        <v>68</v>
      </c>
      <c r="E6" s="5" t="s">
        <v>69</v>
      </c>
      <c r="F6" s="5" t="s">
        <v>70</v>
      </c>
      <c r="G6" s="5" t="s">
        <v>71</v>
      </c>
      <c r="H6" s="5">
        <v>2026</v>
      </c>
      <c r="I6" s="5">
        <v>4</v>
      </c>
      <c r="J6" s="7">
        <v>3.2</v>
      </c>
      <c r="K6" s="7">
        <v>3.4</v>
      </c>
      <c r="L6" s="7">
        <v>3.6</v>
      </c>
      <c r="M6" s="5">
        <f t="shared" si="0"/>
        <v>3.4000000000000004</v>
      </c>
      <c r="N6" s="5" t="str">
        <f t="shared" si="1"/>
        <v>BASICO</v>
      </c>
      <c r="O6" s="5">
        <v>1</v>
      </c>
      <c r="P6" s="7">
        <v>4.0999999999999996</v>
      </c>
      <c r="Q6" s="7">
        <v>4.0999999999999996</v>
      </c>
      <c r="R6" s="7">
        <v>4.0999999999999996</v>
      </c>
      <c r="S6" s="5">
        <f t="shared" si="2"/>
        <v>4.0999999999999996</v>
      </c>
      <c r="T6" s="5" t="str">
        <f t="shared" si="3"/>
        <v>ALTO</v>
      </c>
      <c r="U6" s="5">
        <v>4</v>
      </c>
      <c r="V6" s="7">
        <v>3.3</v>
      </c>
      <c r="W6" s="7">
        <v>3.5</v>
      </c>
      <c r="X6" s="7">
        <v>3.8</v>
      </c>
      <c r="Y6" s="5">
        <f t="shared" si="4"/>
        <v>3.5300000000000002</v>
      </c>
      <c r="Z6" s="5" t="str">
        <f t="shared" si="5"/>
        <v>BASICO</v>
      </c>
      <c r="AA6" s="5">
        <v>1</v>
      </c>
      <c r="AB6" s="7">
        <v>2.8</v>
      </c>
      <c r="AC6" s="7">
        <v>2.8</v>
      </c>
      <c r="AD6" s="7">
        <v>2.8</v>
      </c>
      <c r="AE6" s="5">
        <f t="shared" si="6"/>
        <v>2.8</v>
      </c>
      <c r="AF6" s="5" t="str">
        <f t="shared" si="7"/>
        <v>BAJO</v>
      </c>
      <c r="AG6" s="5">
        <v>2</v>
      </c>
      <c r="AH6" s="8">
        <v>3.5</v>
      </c>
      <c r="AI6" s="8">
        <v>3.5</v>
      </c>
      <c r="AJ6" s="8">
        <v>3.5</v>
      </c>
      <c r="AK6" s="5">
        <f t="shared" si="8"/>
        <v>3.5</v>
      </c>
      <c r="AL6" s="5" t="str">
        <f t="shared" si="9"/>
        <v>BASICO</v>
      </c>
      <c r="AM6" s="5">
        <v>1</v>
      </c>
      <c r="AN6" s="8">
        <v>3.5</v>
      </c>
      <c r="AO6" s="8">
        <v>3.5</v>
      </c>
      <c r="AP6" s="8">
        <v>3.5</v>
      </c>
      <c r="AQ6" s="5">
        <f t="shared" si="10"/>
        <v>3.5</v>
      </c>
      <c r="AR6" s="5" t="str">
        <f t="shared" si="11"/>
        <v>BASICO</v>
      </c>
      <c r="AS6" s="5">
        <v>4</v>
      </c>
      <c r="AT6" s="7">
        <v>2.5</v>
      </c>
      <c r="AU6" s="7">
        <v>2.5</v>
      </c>
      <c r="AV6" s="7">
        <v>2.5</v>
      </c>
      <c r="AW6" s="5">
        <f t="shared" si="12"/>
        <v>2.5</v>
      </c>
      <c r="AX6" s="5" t="str">
        <f t="shared" si="13"/>
        <v>BAJO</v>
      </c>
      <c r="AY6" s="5">
        <v>1</v>
      </c>
      <c r="AZ6" s="7">
        <v>3.5</v>
      </c>
      <c r="BA6" s="7">
        <v>3.5</v>
      </c>
      <c r="BB6" s="7">
        <v>3.5</v>
      </c>
      <c r="BC6" s="5">
        <f t="shared" si="14"/>
        <v>3.5</v>
      </c>
      <c r="BD6" s="5" t="str">
        <f t="shared" si="15"/>
        <v>BASICO</v>
      </c>
      <c r="BE6" s="7">
        <v>2</v>
      </c>
      <c r="BF6" s="7">
        <v>3.5</v>
      </c>
      <c r="BG6" s="7">
        <v>3.6</v>
      </c>
      <c r="BH6" s="7">
        <v>3.8</v>
      </c>
      <c r="BI6" s="5">
        <f t="shared" si="16"/>
        <v>3.63</v>
      </c>
      <c r="BJ6" s="5" t="str">
        <f t="shared" si="17"/>
        <v>BASICO</v>
      </c>
      <c r="BK6" s="5">
        <v>1</v>
      </c>
      <c r="BL6" s="7">
        <v>3.5</v>
      </c>
      <c r="BM6" s="7">
        <v>3.6</v>
      </c>
      <c r="BN6" s="7">
        <v>3.8</v>
      </c>
      <c r="BO6" s="5">
        <f t="shared" si="18"/>
        <v>3.63</v>
      </c>
      <c r="BP6" s="5" t="str">
        <f t="shared" si="19"/>
        <v>BASICO</v>
      </c>
      <c r="BQ6" s="5">
        <v>1</v>
      </c>
      <c r="BR6" s="7">
        <v>3.5</v>
      </c>
      <c r="BS6" s="7">
        <v>3.6</v>
      </c>
      <c r="BT6" s="7">
        <v>3.8</v>
      </c>
      <c r="BU6" s="5">
        <f t="shared" si="20"/>
        <v>3.63</v>
      </c>
      <c r="BV6" s="5" t="str">
        <f t="shared" si="21"/>
        <v>BASICO</v>
      </c>
      <c r="BW6" s="5">
        <v>1</v>
      </c>
      <c r="BX6" s="7">
        <v>3.5</v>
      </c>
      <c r="BY6" s="7">
        <v>3.5</v>
      </c>
      <c r="BZ6" s="7">
        <v>3.5</v>
      </c>
      <c r="CA6" s="5">
        <f t="shared" si="22"/>
        <v>3.5</v>
      </c>
      <c r="CB6" s="5" t="str">
        <f t="shared" si="23"/>
        <v>BASICO</v>
      </c>
      <c r="CC6" s="5">
        <v>1</v>
      </c>
      <c r="CD6" s="7">
        <v>4</v>
      </c>
      <c r="CE6" s="7">
        <v>4.2</v>
      </c>
      <c r="CF6" s="7">
        <v>4.2</v>
      </c>
      <c r="CG6" s="5">
        <f t="shared" si="24"/>
        <v>4.1399999999999997</v>
      </c>
      <c r="CH6" s="5" t="str">
        <f t="shared" si="25"/>
        <v>ALTO</v>
      </c>
      <c r="CI6" s="5">
        <v>1</v>
      </c>
      <c r="CJ6" s="7">
        <v>4.5</v>
      </c>
      <c r="CK6" s="7">
        <v>4.5</v>
      </c>
      <c r="CL6" s="7">
        <v>4.3</v>
      </c>
      <c r="CM6" s="5">
        <f t="shared" si="26"/>
        <v>4.4399999999999995</v>
      </c>
      <c r="CN6" s="5" t="str">
        <f t="shared" si="27"/>
        <v>ALTO</v>
      </c>
      <c r="CO6" s="5">
        <v>1</v>
      </c>
      <c r="CP6" s="7">
        <v>3.5</v>
      </c>
      <c r="CQ6" s="7">
        <v>3.5</v>
      </c>
      <c r="CR6" s="7">
        <v>3.5</v>
      </c>
      <c r="CS6" s="5">
        <f t="shared" si="28"/>
        <v>3.5</v>
      </c>
      <c r="CT6" s="5" t="str">
        <f t="shared" si="29"/>
        <v>BASICO</v>
      </c>
      <c r="CU6" s="5">
        <v>2</v>
      </c>
      <c r="CV6" s="7">
        <v>4</v>
      </c>
      <c r="CW6" s="7">
        <v>4</v>
      </c>
      <c r="CX6" s="7">
        <v>4</v>
      </c>
      <c r="CY6" s="5">
        <f t="shared" si="30"/>
        <v>4</v>
      </c>
      <c r="CZ6" s="5" t="str">
        <f t="shared" si="31"/>
        <v>ALTO</v>
      </c>
      <c r="DA6" s="5">
        <v>2</v>
      </c>
      <c r="DB6" s="7">
        <v>4</v>
      </c>
      <c r="DC6" s="7">
        <v>4</v>
      </c>
      <c r="DD6" s="7">
        <v>4</v>
      </c>
      <c r="DE6" s="5">
        <f t="shared" si="32"/>
        <v>4</v>
      </c>
      <c r="DF6" s="5" t="str">
        <f t="shared" si="33"/>
        <v>ALTO</v>
      </c>
      <c r="DG6" s="5">
        <v>0</v>
      </c>
      <c r="DH6" s="7"/>
      <c r="DI6" s="5" t="str">
        <f t="shared" si="34"/>
        <v>BAJO</v>
      </c>
      <c r="DJ6" s="5">
        <f t="shared" si="35"/>
        <v>3.6043749999999997</v>
      </c>
      <c r="DK6" s="5" t="str">
        <f t="shared" si="36"/>
        <v>Comprende el concepto de números reales, su relación de orden y las propiedades de sus operaciones, así como las relaciones de semejanza y congruencia de distintas figuras geométricas.</v>
      </c>
      <c r="DL6" s="5" t="str">
        <f t="shared" ref="DL6:FJ6" si="40">DL5</f>
        <v>Aplica correctamente las propiedades de las operaciones de números reales y expresiones algebraicas en la resolución de problemas.</v>
      </c>
      <c r="DM6" s="5" t="str">
        <f t="shared" si="40"/>
        <v>Valora el uso del pensamiento lógico a la hora de plantear y resolver problemas de las matemáticas y de la vida cotidiana.</v>
      </c>
      <c r="DN6" s="5" t="str">
        <f t="shared" si="4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6" s="5" t="str">
        <f t="shared" si="40"/>
        <v>Organiza y analiza datos mediante la construcción de tablas de frecuencias y diagramas estadísticos, identificando variables aleatorias y utilizando estas representaciones para resolver situaciones problema.</v>
      </c>
      <c r="DP6" s="5" t="str">
        <f t="shared" si="40"/>
        <v>Muestra disposición y responsabilidad en el manejo y análisis de datos, participando activamente en actividades individuales y colaborativas, y comunicando información estadística con claridad y sentido crítico.</v>
      </c>
      <c r="DQ6" s="5" t="str">
        <f t="shared" si="40"/>
        <v>Analiza las características de la literatura prehispánica y la literatura del descubrimiento y la conquista en Colombia identificando sus elementos fundamentales y su impacto en la cultura y el lenguaje actual.</v>
      </c>
      <c r="DR6" s="5" t="str">
        <f t="shared" si="40"/>
        <v>Realiza comprensión lectora cuando analiza un texto desde el discurso de la Enunciación e identifica la función de cada uno de sus componentes.
Responde preguntas en los tres niveles de lectura a una leyenda del Caribe.</v>
      </c>
      <c r="DS6" s="5" t="str">
        <f t="shared" si="40"/>
        <v>Muestra disposición para participar activamente en las clases, promoviendo el respeto por las ideas ajenas y reconociendo la importancia de la precisión como una herramienta clave para una comunicación</v>
      </c>
      <c r="DT6" s="5" t="str">
        <f t="shared" si="40"/>
        <v>Comprende el contenido del cuento A la deriva, identificando su tema central, la secuencia de los hechos, los personajes y las ideas explícitas e implícitas del texto.</v>
      </c>
      <c r="DU6" s="5" t="str">
        <f t="shared" si="40"/>
        <v>Analiza críticamente el cuento A la deriva mediante la identificación de información literal, inferencial y crítica, sustentando sus respuestas de forma oral y escrita.</v>
      </c>
      <c r="DV6" s="5" t="str">
        <f t="shared" si="40"/>
        <v>Valora la lectura literaria como una oportunidad para reflexionar sobre la vida, la naturaleza y la condición humana, participando con interés, respeto y sentido crítico en las actividades propuestas.</v>
      </c>
      <c r="DW6" s="5" t="str">
        <f t="shared" si="40"/>
        <v>Comprende y reconoce vocabulario y estructuras basicas del ingles para interpretar textos cortos y conversaciones sobre temas cotidianos de la vida diaria.</v>
      </c>
      <c r="DX6" s="5" t="str">
        <f t="shared" si="40"/>
        <v>Produce de forma oral y escrita frases y parrafos cortos en Ingles, utilizando correctamente las estructuras conocidas para describir rutinas, narrar experiencias y participar en conversaciones.</v>
      </c>
      <c r="DY6" s="5" t="str">
        <f t="shared" si="40"/>
        <v>Muestra disposicion positiva hacia el aprendizaje del Ingles participando activamente en clase.</v>
      </c>
      <c r="DZ6" s="5" t="str">
        <f t="shared" si="40"/>
        <v>Identifica vocabulario en Ingles  de situaciones cotidianas.</v>
      </c>
      <c r="EA6" s="5" t="str">
        <f t="shared" si="40"/>
        <v>Participa en actividades utilizando vocabulario aprendido para expresar gustos,emociones y necesidades.</v>
      </c>
      <c r="EB6" s="5" t="str">
        <f t="shared" si="40"/>
        <v>Respeta la opinion de los demas, muestra disposicion para participar en actividades orales.</v>
      </c>
      <c r="EC6" s="5" t="str">
        <f t="shared" si="40"/>
        <v>Identifica la conformación y funcionamiento del sistema inmunolófico y diferencia las característics de los estados de la materia.</v>
      </c>
      <c r="ED6" s="5" t="str">
        <f t="shared" si="40"/>
        <v>Reconoce experimentalmente las características de materiales en los diferentes estados de la materia.</v>
      </c>
      <c r="EE6" s="5" t="str">
        <f t="shared" si="40"/>
        <v xml:space="preserve">Valora la importancia de tener habitos saludables, para lograr el mantenimiento saludable del sistema inmune. </v>
      </c>
      <c r="EF6" s="5" t="str">
        <f t="shared" si="40"/>
        <v>Describe correctamente la secuencia de eventos biologicos de la fecundacion,incluyendo las recciones acrosomicas,la funcion de gametos y la formacion de gametos.</v>
      </c>
      <c r="EG6" s="5" t="str">
        <f t="shared" si="40"/>
        <v>Mide la capacidad del labolatrio para lograr la fecundacion exitosa de los ovulos con el espermatozoide.</v>
      </c>
      <c r="EH6" s="5" t="str">
        <f t="shared" si="40"/>
        <v>Valora la importancia del cuidado del cuerpo y de la salud reproductiva como la base para una fecundacion saludable.</v>
      </c>
      <c r="EI6" s="5" t="str">
        <f t="shared" si="40"/>
        <v>Explico las principales caracteristicas de algunas revoluciones de los siglos XVIII y XIX (Revolucion francesa, Industrial...)</v>
      </c>
      <c r="EJ6" s="5" t="str">
        <f t="shared" si="40"/>
        <v>Analiza las causas y consecuencias de procesos historicos como la Revolucion Industrial y Francesa.</v>
      </c>
      <c r="EK6" s="5" t="str">
        <f t="shared" si="40"/>
        <v>Muestra interes y curiosidad por comprender los procesos historicos y su impacto en la sociedad.</v>
      </c>
      <c r="EL6" s="5" t="str">
        <f t="shared" si="40"/>
        <v xml:space="preserve">Identifica los procesos historicos de algunas revoluciones de los siglos XVIII y XIX </v>
      </c>
      <c r="EM6" s="5">
        <f t="shared" si="40"/>
        <v>0</v>
      </c>
      <c r="EN6" s="5">
        <f t="shared" si="40"/>
        <v>0</v>
      </c>
      <c r="EO6" s="5" t="str">
        <f t="shared" si="40"/>
        <v xml:space="preserve">Comprende la distribucion espacial de la poblacion antes y despues de las revoluciones </v>
      </c>
      <c r="EP6" s="5" t="str">
        <f t="shared" si="40"/>
        <v xml:space="preserve">Ubica en mapas las regiones donde se desarrollaron las principales revoluciones y explica sus caracteristicas geograficas </v>
      </c>
      <c r="EQ6" s="5" t="str">
        <f t="shared" si="40"/>
        <v>Muestra interes por comprender la relacion entre sociedad, economia y territorio</v>
      </c>
      <c r="ER6" s="5" t="str">
        <f t="shared" si="40"/>
        <v>Comprende el concepto de cultura de paz y su importancia en la sociedad</v>
      </c>
      <c r="ES6" s="5" t="str">
        <f t="shared" si="40"/>
        <v>Practica normas de convivencia en diferentes espacios( aula, hogar, comunidad)</v>
      </c>
      <c r="ET6" s="5" t="str">
        <f t="shared" si="40"/>
        <v>Muestra actitud de respeto hacia la diversidad cuktural, social y de pensamiento</v>
      </c>
      <c r="EU6" s="5">
        <f t="shared" si="40"/>
        <v>0</v>
      </c>
      <c r="EV6" s="5">
        <f t="shared" si="40"/>
        <v>0</v>
      </c>
      <c r="EW6" s="5">
        <f t="shared" si="40"/>
        <v>0</v>
      </c>
      <c r="EX6" s="5">
        <f t="shared" si="40"/>
        <v>0</v>
      </c>
      <c r="EY6" s="5">
        <f t="shared" si="40"/>
        <v>0</v>
      </c>
      <c r="EZ6" s="5">
        <f t="shared" si="40"/>
        <v>0</v>
      </c>
      <c r="FA6" s="5">
        <f t="shared" si="40"/>
        <v>0</v>
      </c>
      <c r="FB6" s="5">
        <f t="shared" si="40"/>
        <v>0</v>
      </c>
      <c r="FC6" s="5">
        <f t="shared" si="40"/>
        <v>0</v>
      </c>
      <c r="FD6" s="5" t="str">
        <f t="shared" si="40"/>
        <v xml:space="preserve"> Identifica las expresiones motrices relacionadas con el juego del voleibol,  como una oportunidad para mejorar la salud, la estética y las relaciones con los demás.</v>
      </c>
      <c r="FE6" s="5" t="str">
        <f t="shared" si="40"/>
        <v>Pone en práctica los fundamentos básicos del voleibol.</v>
      </c>
      <c r="FF6" s="5" t="str">
        <f t="shared" si="40"/>
        <v>Muestra  responsabilidad y buena actitud al realizar el juego de voleibol.</v>
      </c>
      <c r="FG6" s="5" t="str">
        <f t="shared" si="40"/>
        <v>Comprende el concepto de variable como espacio de almacenamiento de datos y reconoce el uso de estructuras condicionales (si, si-no) para la toma de decisiones en un programa.</v>
      </c>
      <c r="FH6" s="5" t="str">
        <f t="shared" si="40"/>
        <v>Diseña y desarrolla programas que utilizan variables y estructuras condicionales para resolver problemas, evaluando condiciones y generando respuestas según diferentes situaciones.</v>
      </c>
      <c r="FI6" s="5" t="str">
        <f t="shared" si="40"/>
        <v>Muestra pensamiento lógico, perseverancia y actitud crítica al analizar errores y proponer soluciones en la construcción de programas con variables y condicionales.</v>
      </c>
      <c r="FJ6" s="5" t="str">
        <f t="shared" si="40"/>
        <v>Identifica y reconoce sus pricipales deberes y derechos dentro y fuera  de la Institución educativa.</v>
      </c>
    </row>
    <row r="7" spans="1:166">
      <c r="A7" s="5">
        <v>6</v>
      </c>
      <c r="B7" s="5" t="s">
        <v>76</v>
      </c>
      <c r="C7" s="6">
        <v>1044642358</v>
      </c>
      <c r="D7" s="5" t="s">
        <v>68</v>
      </c>
      <c r="E7" s="5" t="s">
        <v>69</v>
      </c>
      <c r="F7" s="5" t="s">
        <v>70</v>
      </c>
      <c r="G7" s="5" t="s">
        <v>71</v>
      </c>
      <c r="H7" s="5">
        <v>2026</v>
      </c>
      <c r="I7" s="5">
        <v>4</v>
      </c>
      <c r="J7" s="7">
        <v>2.9</v>
      </c>
      <c r="K7" s="7">
        <v>3</v>
      </c>
      <c r="L7" s="7">
        <v>3.1</v>
      </c>
      <c r="M7" s="5">
        <f t="shared" si="0"/>
        <v>3</v>
      </c>
      <c r="N7" s="5" t="str">
        <f t="shared" si="1"/>
        <v>BASICO</v>
      </c>
      <c r="O7" s="5">
        <v>1</v>
      </c>
      <c r="P7" s="7">
        <v>4.3</v>
      </c>
      <c r="Q7" s="7">
        <v>4.3</v>
      </c>
      <c r="R7" s="7">
        <v>4.3</v>
      </c>
      <c r="S7" s="5">
        <f t="shared" si="2"/>
        <v>4.3</v>
      </c>
      <c r="T7" s="5" t="str">
        <f t="shared" si="3"/>
        <v>ALTO</v>
      </c>
      <c r="U7" s="5">
        <v>4</v>
      </c>
      <c r="V7" s="7">
        <v>3.8</v>
      </c>
      <c r="W7" s="7">
        <v>3.8</v>
      </c>
      <c r="X7" s="7">
        <v>3.3</v>
      </c>
      <c r="Y7" s="5">
        <f t="shared" si="4"/>
        <v>3.65</v>
      </c>
      <c r="Z7" s="5" t="str">
        <f t="shared" si="5"/>
        <v>BASICO</v>
      </c>
      <c r="AA7" s="5">
        <v>1</v>
      </c>
      <c r="AB7" s="7">
        <v>2.6</v>
      </c>
      <c r="AC7" s="7">
        <v>2.6</v>
      </c>
      <c r="AD7" s="7">
        <v>2.6</v>
      </c>
      <c r="AE7" s="5">
        <f t="shared" si="6"/>
        <v>2.6</v>
      </c>
      <c r="AF7" s="5" t="str">
        <f t="shared" si="7"/>
        <v>BAJO</v>
      </c>
      <c r="AG7" s="5">
        <v>2</v>
      </c>
      <c r="AH7" s="8">
        <v>2.5</v>
      </c>
      <c r="AI7" s="8">
        <v>3</v>
      </c>
      <c r="AJ7" s="8">
        <v>3</v>
      </c>
      <c r="AK7" s="5">
        <f t="shared" si="8"/>
        <v>2.85</v>
      </c>
      <c r="AL7" s="5" t="str">
        <f t="shared" si="9"/>
        <v>BAJO</v>
      </c>
      <c r="AM7" s="5">
        <v>1</v>
      </c>
      <c r="AN7" s="8">
        <v>2.5</v>
      </c>
      <c r="AO7" s="8">
        <v>3</v>
      </c>
      <c r="AP7" s="8">
        <v>3</v>
      </c>
      <c r="AQ7" s="5">
        <f t="shared" si="10"/>
        <v>2.85</v>
      </c>
      <c r="AR7" s="5" t="str">
        <f t="shared" si="11"/>
        <v>BAJO</v>
      </c>
      <c r="AS7" s="5">
        <v>4</v>
      </c>
      <c r="AT7" s="7">
        <v>3.5</v>
      </c>
      <c r="AU7" s="7">
        <v>3.5</v>
      </c>
      <c r="AV7" s="7">
        <v>3.5</v>
      </c>
      <c r="AW7" s="5">
        <f t="shared" si="12"/>
        <v>3.5</v>
      </c>
      <c r="AX7" s="5" t="str">
        <f t="shared" si="13"/>
        <v>BASICO</v>
      </c>
      <c r="AY7" s="5">
        <v>1</v>
      </c>
      <c r="AZ7" s="7">
        <v>3.5</v>
      </c>
      <c r="BA7" s="7">
        <v>3</v>
      </c>
      <c r="BB7" s="7">
        <v>3</v>
      </c>
      <c r="BC7" s="5">
        <f t="shared" si="14"/>
        <v>3.15</v>
      </c>
      <c r="BD7" s="5" t="str">
        <f t="shared" si="15"/>
        <v>BASICO</v>
      </c>
      <c r="BE7" s="7">
        <v>2</v>
      </c>
      <c r="BF7" s="7">
        <v>3.3</v>
      </c>
      <c r="BG7" s="7">
        <v>3.2</v>
      </c>
      <c r="BH7" s="7">
        <v>3.4</v>
      </c>
      <c r="BI7" s="5">
        <f t="shared" si="16"/>
        <v>3.29</v>
      </c>
      <c r="BJ7" s="5" t="str">
        <f t="shared" si="17"/>
        <v>BASICO</v>
      </c>
      <c r="BK7" s="5">
        <v>1</v>
      </c>
      <c r="BL7" s="7">
        <v>3.2</v>
      </c>
      <c r="BM7" s="7">
        <v>3.3</v>
      </c>
      <c r="BN7" s="7">
        <v>3.4</v>
      </c>
      <c r="BO7" s="5">
        <f t="shared" si="18"/>
        <v>3.3000000000000003</v>
      </c>
      <c r="BP7" s="5" t="str">
        <f t="shared" si="19"/>
        <v>BASICO</v>
      </c>
      <c r="BQ7" s="5">
        <v>1</v>
      </c>
      <c r="BR7" s="7">
        <v>3.2</v>
      </c>
      <c r="BS7" s="7">
        <v>3.3</v>
      </c>
      <c r="BT7" s="7">
        <v>3.4</v>
      </c>
      <c r="BU7" s="5">
        <f t="shared" si="20"/>
        <v>3.3000000000000003</v>
      </c>
      <c r="BV7" s="5" t="str">
        <f t="shared" si="21"/>
        <v>BASICO</v>
      </c>
      <c r="BW7" s="5">
        <v>1</v>
      </c>
      <c r="BX7" s="7">
        <v>3.4</v>
      </c>
      <c r="BY7" s="7">
        <v>3.4</v>
      </c>
      <c r="BZ7" s="7">
        <v>3.4</v>
      </c>
      <c r="CA7" s="5">
        <f t="shared" si="22"/>
        <v>3.4</v>
      </c>
      <c r="CB7" s="5" t="str">
        <f t="shared" si="23"/>
        <v>BASICO</v>
      </c>
      <c r="CC7" s="5">
        <v>1</v>
      </c>
      <c r="CD7" s="7">
        <v>3.5</v>
      </c>
      <c r="CE7" s="7">
        <v>3.4</v>
      </c>
      <c r="CF7" s="7">
        <v>3.4</v>
      </c>
      <c r="CG7" s="5">
        <f t="shared" si="24"/>
        <v>3.43</v>
      </c>
      <c r="CH7" s="5" t="str">
        <f t="shared" si="25"/>
        <v>BASICO</v>
      </c>
      <c r="CI7" s="5">
        <v>1</v>
      </c>
      <c r="CJ7" s="7">
        <v>4.5</v>
      </c>
      <c r="CK7" s="7">
        <v>4</v>
      </c>
      <c r="CL7" s="7">
        <v>3.5</v>
      </c>
      <c r="CM7" s="5">
        <f t="shared" si="26"/>
        <v>4</v>
      </c>
      <c r="CN7" s="5" t="str">
        <f t="shared" si="27"/>
        <v>ALTO</v>
      </c>
      <c r="CO7" s="5">
        <v>1</v>
      </c>
      <c r="CP7" s="7">
        <v>3.8</v>
      </c>
      <c r="CQ7" s="7">
        <v>3.8</v>
      </c>
      <c r="CR7" s="7">
        <v>3.8</v>
      </c>
      <c r="CS7" s="5">
        <f t="shared" si="28"/>
        <v>3.8</v>
      </c>
      <c r="CT7" s="5" t="str">
        <f t="shared" si="29"/>
        <v>BASICO</v>
      </c>
      <c r="CU7" s="5">
        <v>2</v>
      </c>
      <c r="CV7" s="7">
        <v>4</v>
      </c>
      <c r="CW7" s="7">
        <v>4</v>
      </c>
      <c r="CX7" s="7">
        <v>4</v>
      </c>
      <c r="CY7" s="5">
        <f t="shared" si="30"/>
        <v>4</v>
      </c>
      <c r="CZ7" s="5" t="str">
        <f t="shared" si="31"/>
        <v>ALTO</v>
      </c>
      <c r="DA7" s="5">
        <v>2</v>
      </c>
      <c r="DB7" s="7">
        <v>2</v>
      </c>
      <c r="DC7" s="7">
        <v>2</v>
      </c>
      <c r="DD7" s="7">
        <v>3</v>
      </c>
      <c r="DE7" s="5">
        <f t="shared" si="32"/>
        <v>2.2999999999999998</v>
      </c>
      <c r="DF7" s="5" t="str">
        <f t="shared" si="33"/>
        <v>BAJO</v>
      </c>
      <c r="DG7" s="5">
        <v>0</v>
      </c>
      <c r="DH7" s="7"/>
      <c r="DI7" s="5" t="str">
        <f t="shared" si="34"/>
        <v>BAJO</v>
      </c>
      <c r="DJ7" s="5">
        <f t="shared" si="35"/>
        <v>3.3387499999999997</v>
      </c>
      <c r="DK7" s="5" t="str">
        <f t="shared" si="36"/>
        <v>Comprende el concepto de números reales, su relación de orden y las propiedades de sus operaciones, así como las relaciones de semejanza y congruencia de distintas figuras geométricas.</v>
      </c>
      <c r="DL7" s="5" t="str">
        <f t="shared" ref="DL7:FJ7" si="41">DL6</f>
        <v>Aplica correctamente las propiedades de las operaciones de números reales y expresiones algebraicas en la resolución de problemas.</v>
      </c>
      <c r="DM7" s="5" t="str">
        <f t="shared" si="41"/>
        <v>Valora el uso del pensamiento lógico a la hora de plantear y resolver problemas de las matemáticas y de la vida cotidiana.</v>
      </c>
      <c r="DN7" s="5" t="str">
        <f t="shared" si="4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7" s="5" t="str">
        <f t="shared" si="41"/>
        <v>Organiza y analiza datos mediante la construcción de tablas de frecuencias y diagramas estadísticos, identificando variables aleatorias y utilizando estas representaciones para resolver situaciones problema.</v>
      </c>
      <c r="DP7" s="5" t="str">
        <f t="shared" si="41"/>
        <v>Muestra disposición y responsabilidad en el manejo y análisis de datos, participando activamente en actividades individuales y colaborativas, y comunicando información estadística con claridad y sentido crítico.</v>
      </c>
      <c r="DQ7" s="5" t="str">
        <f t="shared" si="41"/>
        <v>Analiza las características de la literatura prehispánica y la literatura del descubrimiento y la conquista en Colombia identificando sus elementos fundamentales y su impacto en la cultura y el lenguaje actual.</v>
      </c>
      <c r="DR7" s="5" t="str">
        <f t="shared" si="41"/>
        <v>Realiza comprensión lectora cuando analiza un texto desde el discurso de la Enunciación e identifica la función de cada uno de sus componentes.
Responde preguntas en los tres niveles de lectura a una leyenda del Caribe.</v>
      </c>
      <c r="DS7" s="5" t="str">
        <f t="shared" si="41"/>
        <v>Muestra disposición para participar activamente en las clases, promoviendo el respeto por las ideas ajenas y reconociendo la importancia de la precisión como una herramienta clave para una comunicación</v>
      </c>
      <c r="DT7" s="5" t="str">
        <f t="shared" si="41"/>
        <v>Comprende el contenido del cuento A la deriva, identificando su tema central, la secuencia de los hechos, los personajes y las ideas explícitas e implícitas del texto.</v>
      </c>
      <c r="DU7" s="5" t="str">
        <f t="shared" si="41"/>
        <v>Analiza críticamente el cuento A la deriva mediante la identificación de información literal, inferencial y crítica, sustentando sus respuestas de forma oral y escrita.</v>
      </c>
      <c r="DV7" s="5" t="str">
        <f t="shared" si="41"/>
        <v>Valora la lectura literaria como una oportunidad para reflexionar sobre la vida, la naturaleza y la condición humana, participando con interés, respeto y sentido crítico en las actividades propuestas.</v>
      </c>
      <c r="DW7" s="5" t="str">
        <f t="shared" si="41"/>
        <v>Comprende y reconoce vocabulario y estructuras basicas del ingles para interpretar textos cortos y conversaciones sobre temas cotidianos de la vida diaria.</v>
      </c>
      <c r="DX7" s="5" t="str">
        <f t="shared" si="41"/>
        <v>Produce de forma oral y escrita frases y parrafos cortos en Ingles, utilizando correctamente las estructuras conocidas para describir rutinas, narrar experiencias y participar en conversaciones.</v>
      </c>
      <c r="DY7" s="5" t="str">
        <f t="shared" si="41"/>
        <v>Muestra disposicion positiva hacia el aprendizaje del Ingles participando activamente en clase.</v>
      </c>
      <c r="DZ7" s="5" t="str">
        <f t="shared" si="41"/>
        <v>Identifica vocabulario en Ingles  de situaciones cotidianas.</v>
      </c>
      <c r="EA7" s="5" t="str">
        <f t="shared" si="41"/>
        <v>Participa en actividades utilizando vocabulario aprendido para expresar gustos,emociones y necesidades.</v>
      </c>
      <c r="EB7" s="5" t="str">
        <f t="shared" si="41"/>
        <v>Respeta la opinion de los demas, muestra disposicion para participar en actividades orales.</v>
      </c>
      <c r="EC7" s="5" t="str">
        <f t="shared" si="41"/>
        <v>Identifica la conformación y funcionamiento del sistema inmunolófico y diferencia las característics de los estados de la materia.</v>
      </c>
      <c r="ED7" s="5" t="str">
        <f t="shared" si="41"/>
        <v>Reconoce experimentalmente las características de materiales en los diferentes estados de la materia.</v>
      </c>
      <c r="EE7" s="5" t="str">
        <f t="shared" si="41"/>
        <v xml:space="preserve">Valora la importancia de tener habitos saludables, para lograr el mantenimiento saludable del sistema inmune. </v>
      </c>
      <c r="EF7" s="5" t="str">
        <f t="shared" si="41"/>
        <v>Describe correctamente la secuencia de eventos biologicos de la fecundacion,incluyendo las recciones acrosomicas,la funcion de gametos y la formacion de gametos.</v>
      </c>
      <c r="EG7" s="5" t="str">
        <f t="shared" si="41"/>
        <v>Mide la capacidad del labolatrio para lograr la fecundacion exitosa de los ovulos con el espermatozoide.</v>
      </c>
      <c r="EH7" s="5" t="str">
        <f t="shared" si="41"/>
        <v>Valora la importancia del cuidado del cuerpo y de la salud reproductiva como la base para una fecundacion saludable.</v>
      </c>
      <c r="EI7" s="5" t="str">
        <f t="shared" si="41"/>
        <v>Explico las principales caracteristicas de algunas revoluciones de los siglos XVIII y XIX (Revolucion francesa, Industrial...)</v>
      </c>
      <c r="EJ7" s="5" t="str">
        <f t="shared" si="41"/>
        <v>Analiza las causas y consecuencias de procesos historicos como la Revolucion Industrial y Francesa.</v>
      </c>
      <c r="EK7" s="5" t="str">
        <f t="shared" si="41"/>
        <v>Muestra interes y curiosidad por comprender los procesos historicos y su impacto en la sociedad.</v>
      </c>
      <c r="EL7" s="5" t="str">
        <f t="shared" si="41"/>
        <v xml:space="preserve">Identifica los procesos historicos de algunas revoluciones de los siglos XVIII y XIX </v>
      </c>
      <c r="EM7" s="5">
        <f t="shared" si="41"/>
        <v>0</v>
      </c>
      <c r="EN7" s="5">
        <f t="shared" si="41"/>
        <v>0</v>
      </c>
      <c r="EO7" s="5" t="str">
        <f t="shared" si="41"/>
        <v xml:space="preserve">Comprende la distribucion espacial de la poblacion antes y despues de las revoluciones </v>
      </c>
      <c r="EP7" s="5" t="str">
        <f t="shared" si="41"/>
        <v xml:space="preserve">Ubica en mapas las regiones donde se desarrollaron las principales revoluciones y explica sus caracteristicas geograficas </v>
      </c>
      <c r="EQ7" s="5" t="str">
        <f t="shared" si="41"/>
        <v>Muestra interes por comprender la relacion entre sociedad, economia y territorio</v>
      </c>
      <c r="ER7" s="5" t="str">
        <f t="shared" si="41"/>
        <v>Comprende el concepto de cultura de paz y su importancia en la sociedad</v>
      </c>
      <c r="ES7" s="5" t="str">
        <f t="shared" si="41"/>
        <v>Practica normas de convivencia en diferentes espacios( aula, hogar, comunidad)</v>
      </c>
      <c r="ET7" s="5" t="str">
        <f t="shared" si="41"/>
        <v>Muestra actitud de respeto hacia la diversidad cuktural, social y de pensamiento</v>
      </c>
      <c r="EU7" s="5">
        <f t="shared" si="41"/>
        <v>0</v>
      </c>
      <c r="EV7" s="5">
        <f t="shared" si="41"/>
        <v>0</v>
      </c>
      <c r="EW7" s="5">
        <f t="shared" si="41"/>
        <v>0</v>
      </c>
      <c r="EX7" s="5">
        <f t="shared" si="41"/>
        <v>0</v>
      </c>
      <c r="EY7" s="5">
        <f t="shared" si="41"/>
        <v>0</v>
      </c>
      <c r="EZ7" s="5">
        <f t="shared" si="41"/>
        <v>0</v>
      </c>
      <c r="FA7" s="5">
        <f t="shared" si="41"/>
        <v>0</v>
      </c>
      <c r="FB7" s="5">
        <f t="shared" si="41"/>
        <v>0</v>
      </c>
      <c r="FC7" s="5">
        <f t="shared" si="41"/>
        <v>0</v>
      </c>
      <c r="FD7" s="5" t="str">
        <f t="shared" si="41"/>
        <v xml:space="preserve"> Identifica las expresiones motrices relacionadas con el juego del voleibol,  como una oportunidad para mejorar la salud, la estética y las relaciones con los demás.</v>
      </c>
      <c r="FE7" s="5" t="str">
        <f t="shared" si="41"/>
        <v>Pone en práctica los fundamentos básicos del voleibol.</v>
      </c>
      <c r="FF7" s="5" t="str">
        <f t="shared" si="41"/>
        <v>Muestra  responsabilidad y buena actitud al realizar el juego de voleibol.</v>
      </c>
      <c r="FG7" s="5" t="str">
        <f t="shared" si="41"/>
        <v>Comprende el concepto de variable como espacio de almacenamiento de datos y reconoce el uso de estructuras condicionales (si, si-no) para la toma de decisiones en un programa.</v>
      </c>
      <c r="FH7" s="5" t="str">
        <f t="shared" si="41"/>
        <v>Diseña y desarrolla programas que utilizan variables y estructuras condicionales para resolver problemas, evaluando condiciones y generando respuestas según diferentes situaciones.</v>
      </c>
      <c r="FI7" s="5" t="str">
        <f t="shared" si="41"/>
        <v>Muestra pensamiento lógico, perseverancia y actitud crítica al analizar errores y proponer soluciones en la construcción de programas con variables y condicionales.</v>
      </c>
      <c r="FJ7" s="5" t="str">
        <f t="shared" si="41"/>
        <v>Identifica y reconoce sus pricipales deberes y derechos dentro y fuera  de la Institución educativa.</v>
      </c>
    </row>
    <row r="8" spans="1:166">
      <c r="A8" s="5">
        <v>7</v>
      </c>
      <c r="B8" s="5" t="s">
        <v>77</v>
      </c>
      <c r="C8" s="6">
        <v>1044650380</v>
      </c>
      <c r="D8" s="5" t="s">
        <v>68</v>
      </c>
      <c r="E8" s="5" t="s">
        <v>69</v>
      </c>
      <c r="F8" s="5" t="s">
        <v>70</v>
      </c>
      <c r="G8" s="5" t="s">
        <v>71</v>
      </c>
      <c r="H8" s="5">
        <v>2026</v>
      </c>
      <c r="I8" s="5">
        <v>4</v>
      </c>
      <c r="J8" s="7">
        <v>4</v>
      </c>
      <c r="K8" s="7">
        <v>4</v>
      </c>
      <c r="L8" s="7">
        <v>4</v>
      </c>
      <c r="M8" s="5">
        <f t="shared" si="0"/>
        <v>4</v>
      </c>
      <c r="N8" s="5" t="str">
        <f t="shared" si="1"/>
        <v>ALTO</v>
      </c>
      <c r="O8" s="5">
        <v>1</v>
      </c>
      <c r="P8" s="7">
        <v>4.8</v>
      </c>
      <c r="Q8" s="7">
        <v>4.8</v>
      </c>
      <c r="R8" s="7">
        <v>4.8</v>
      </c>
      <c r="S8" s="5">
        <f t="shared" si="2"/>
        <v>4.8</v>
      </c>
      <c r="T8" s="5" t="str">
        <f t="shared" si="3"/>
        <v>SUPERIOR</v>
      </c>
      <c r="U8" s="5">
        <v>4</v>
      </c>
      <c r="V8" s="7">
        <v>4.7</v>
      </c>
      <c r="W8" s="7">
        <v>3.5</v>
      </c>
      <c r="X8" s="7">
        <v>4</v>
      </c>
      <c r="Y8" s="5">
        <f t="shared" si="4"/>
        <v>4.01</v>
      </c>
      <c r="Z8" s="5" t="str">
        <f t="shared" si="5"/>
        <v>ALTO</v>
      </c>
      <c r="AA8" s="5">
        <v>1</v>
      </c>
      <c r="AB8" s="7">
        <v>4.5</v>
      </c>
      <c r="AC8" s="7">
        <v>4.5</v>
      </c>
      <c r="AD8" s="7">
        <v>4.5</v>
      </c>
      <c r="AE8" s="5">
        <f t="shared" si="6"/>
        <v>4.5</v>
      </c>
      <c r="AF8" s="5" t="str">
        <f t="shared" si="7"/>
        <v>SUPERIOR</v>
      </c>
      <c r="AG8" s="5">
        <v>2</v>
      </c>
      <c r="AH8" s="8">
        <v>4.8</v>
      </c>
      <c r="AI8" s="8">
        <v>4.8</v>
      </c>
      <c r="AJ8" s="8">
        <v>4.8</v>
      </c>
      <c r="AK8" s="5">
        <f t="shared" si="8"/>
        <v>4.8</v>
      </c>
      <c r="AL8" s="5" t="str">
        <f t="shared" si="9"/>
        <v>SUPERIOR</v>
      </c>
      <c r="AM8" s="5">
        <v>1</v>
      </c>
      <c r="AN8" s="8">
        <v>4.8</v>
      </c>
      <c r="AO8" s="8">
        <v>4.8</v>
      </c>
      <c r="AP8" s="8">
        <v>4.8</v>
      </c>
      <c r="AQ8" s="5">
        <f t="shared" si="10"/>
        <v>4.8</v>
      </c>
      <c r="AR8" s="5" t="str">
        <f t="shared" si="11"/>
        <v>SUPERIOR</v>
      </c>
      <c r="AS8" s="5">
        <v>4</v>
      </c>
      <c r="AT8" s="7">
        <v>3.5</v>
      </c>
      <c r="AU8" s="7">
        <v>3.5</v>
      </c>
      <c r="AV8" s="7">
        <v>3.5</v>
      </c>
      <c r="AW8" s="5">
        <f t="shared" si="12"/>
        <v>3.5</v>
      </c>
      <c r="AX8" s="5" t="str">
        <f t="shared" si="13"/>
        <v>BASICO</v>
      </c>
      <c r="AY8" s="5">
        <v>1</v>
      </c>
      <c r="AZ8" s="7">
        <v>5</v>
      </c>
      <c r="BA8" s="7">
        <v>5</v>
      </c>
      <c r="BB8" s="7">
        <v>5</v>
      </c>
      <c r="BC8" s="5">
        <f t="shared" si="14"/>
        <v>5</v>
      </c>
      <c r="BD8" s="5" t="str">
        <f t="shared" si="15"/>
        <v>SUPERIOR</v>
      </c>
      <c r="BE8" s="7">
        <v>2</v>
      </c>
      <c r="BF8" s="7">
        <v>4</v>
      </c>
      <c r="BG8" s="7">
        <v>4.4000000000000004</v>
      </c>
      <c r="BH8" s="7">
        <v>4.5</v>
      </c>
      <c r="BI8" s="5">
        <f t="shared" si="16"/>
        <v>4.3099999999999996</v>
      </c>
      <c r="BJ8" s="5" t="str">
        <f t="shared" si="17"/>
        <v>ALTO</v>
      </c>
      <c r="BK8" s="5">
        <v>1</v>
      </c>
      <c r="BL8" s="7">
        <v>4.3</v>
      </c>
      <c r="BM8" s="7">
        <v>4.2</v>
      </c>
      <c r="BN8" s="7">
        <v>4.5</v>
      </c>
      <c r="BO8" s="5">
        <f t="shared" si="18"/>
        <v>4.3199999999999994</v>
      </c>
      <c r="BP8" s="5" t="str">
        <f t="shared" si="19"/>
        <v>ALTO</v>
      </c>
      <c r="BQ8" s="5">
        <v>1</v>
      </c>
      <c r="BR8" s="7">
        <v>4.4000000000000004</v>
      </c>
      <c r="BS8" s="7">
        <v>4.2</v>
      </c>
      <c r="BT8" s="7">
        <v>4.5</v>
      </c>
      <c r="BU8" s="5">
        <f t="shared" si="20"/>
        <v>4.3499999999999996</v>
      </c>
      <c r="BV8" s="5" t="str">
        <f t="shared" si="21"/>
        <v>ALTO</v>
      </c>
      <c r="BW8" s="5">
        <v>1</v>
      </c>
      <c r="BX8" s="7">
        <v>4</v>
      </c>
      <c r="BY8" s="7">
        <v>4</v>
      </c>
      <c r="BZ8" s="7">
        <v>4</v>
      </c>
      <c r="CA8" s="5">
        <f t="shared" si="22"/>
        <v>4</v>
      </c>
      <c r="CB8" s="5" t="str">
        <f t="shared" si="23"/>
        <v>ALTO</v>
      </c>
      <c r="CC8" s="5">
        <v>1</v>
      </c>
      <c r="CD8" s="7">
        <v>4</v>
      </c>
      <c r="CE8" s="7">
        <v>4.2</v>
      </c>
      <c r="CF8" s="7">
        <v>4.2</v>
      </c>
      <c r="CG8" s="5">
        <f t="shared" si="24"/>
        <v>4.1399999999999997</v>
      </c>
      <c r="CH8" s="5" t="str">
        <f t="shared" si="25"/>
        <v>ALTO</v>
      </c>
      <c r="CI8" s="5">
        <v>1</v>
      </c>
      <c r="CJ8" s="7">
        <v>4.5</v>
      </c>
      <c r="CK8" s="7">
        <v>4.5</v>
      </c>
      <c r="CL8" s="7">
        <v>4.5</v>
      </c>
      <c r="CM8" s="5">
        <f t="shared" si="26"/>
        <v>4.5</v>
      </c>
      <c r="CN8" s="5" t="str">
        <f t="shared" si="27"/>
        <v>SUPERIOR</v>
      </c>
      <c r="CO8" s="5">
        <v>1</v>
      </c>
      <c r="CP8" s="7">
        <v>5</v>
      </c>
      <c r="CQ8" s="7">
        <v>5</v>
      </c>
      <c r="CR8" s="7">
        <v>5</v>
      </c>
      <c r="CS8" s="5">
        <f t="shared" si="28"/>
        <v>5</v>
      </c>
      <c r="CT8" s="5" t="str">
        <f t="shared" si="29"/>
        <v>SUPERIOR</v>
      </c>
      <c r="CU8" s="5">
        <v>2</v>
      </c>
      <c r="CV8" s="7">
        <v>3.5</v>
      </c>
      <c r="CW8" s="7">
        <v>3.5</v>
      </c>
      <c r="CX8" s="7">
        <v>3.5</v>
      </c>
      <c r="CY8" s="5">
        <f t="shared" si="30"/>
        <v>3.5</v>
      </c>
      <c r="CZ8" s="5" t="str">
        <f t="shared" si="31"/>
        <v>BASICO</v>
      </c>
      <c r="DA8" s="5">
        <v>2</v>
      </c>
      <c r="DB8" s="7">
        <v>3.5</v>
      </c>
      <c r="DC8" s="7">
        <v>3.5</v>
      </c>
      <c r="DD8" s="7">
        <v>3.8</v>
      </c>
      <c r="DE8" s="5">
        <f t="shared" si="32"/>
        <v>3.59</v>
      </c>
      <c r="DF8" s="5" t="str">
        <f t="shared" si="33"/>
        <v>BASICO</v>
      </c>
      <c r="DG8" s="5">
        <v>0</v>
      </c>
      <c r="DH8" s="7"/>
      <c r="DI8" s="5" t="str">
        <f t="shared" si="34"/>
        <v>BAJO</v>
      </c>
      <c r="DJ8" s="5">
        <f t="shared" si="35"/>
        <v>4.2981249999999998</v>
      </c>
      <c r="DK8" s="5" t="str">
        <f t="shared" si="36"/>
        <v>Comprende el concepto de números reales, su relación de orden y las propiedades de sus operaciones, así como las relaciones de semejanza y congruencia de distintas figuras geométricas.</v>
      </c>
      <c r="DL8" s="5" t="str">
        <f t="shared" ref="DL8:FJ8" si="42">DL7</f>
        <v>Aplica correctamente las propiedades de las operaciones de números reales y expresiones algebraicas en la resolución de problemas.</v>
      </c>
      <c r="DM8" s="5" t="str">
        <f t="shared" si="42"/>
        <v>Valora el uso del pensamiento lógico a la hora de plantear y resolver problemas de las matemáticas y de la vida cotidiana.</v>
      </c>
      <c r="DN8" s="5" t="str">
        <f t="shared" si="4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8" s="5" t="str">
        <f t="shared" si="42"/>
        <v>Organiza y analiza datos mediante la construcción de tablas de frecuencias y diagramas estadísticos, identificando variables aleatorias y utilizando estas representaciones para resolver situaciones problema.</v>
      </c>
      <c r="DP8" s="5" t="str">
        <f t="shared" si="42"/>
        <v>Muestra disposición y responsabilidad en el manejo y análisis de datos, participando activamente en actividades individuales y colaborativas, y comunicando información estadística con claridad y sentido crítico.</v>
      </c>
      <c r="DQ8" s="5" t="str">
        <f t="shared" si="42"/>
        <v>Analiza las características de la literatura prehispánica y la literatura del descubrimiento y la conquista en Colombia identificando sus elementos fundamentales y su impacto en la cultura y el lenguaje actual.</v>
      </c>
      <c r="DR8" s="5" t="str">
        <f t="shared" si="42"/>
        <v>Realiza comprensión lectora cuando analiza un texto desde el discurso de la Enunciación e identifica la función de cada uno de sus componentes.
Responde preguntas en los tres niveles de lectura a una leyenda del Caribe.</v>
      </c>
      <c r="DS8" s="5" t="str">
        <f t="shared" si="42"/>
        <v>Muestra disposición para participar activamente en las clases, promoviendo el respeto por las ideas ajenas y reconociendo la importancia de la precisión como una herramienta clave para una comunicación</v>
      </c>
      <c r="DT8" s="5" t="str">
        <f t="shared" si="42"/>
        <v>Comprende el contenido del cuento A la deriva, identificando su tema central, la secuencia de los hechos, los personajes y las ideas explícitas e implícitas del texto.</v>
      </c>
      <c r="DU8" s="5" t="str">
        <f t="shared" si="42"/>
        <v>Analiza críticamente el cuento A la deriva mediante la identificación de información literal, inferencial y crítica, sustentando sus respuestas de forma oral y escrita.</v>
      </c>
      <c r="DV8" s="5" t="str">
        <f t="shared" si="42"/>
        <v>Valora la lectura literaria como una oportunidad para reflexionar sobre la vida, la naturaleza y la condición humana, participando con interés, respeto y sentido crítico en las actividades propuestas.</v>
      </c>
      <c r="DW8" s="5" t="str">
        <f t="shared" si="42"/>
        <v>Comprende y reconoce vocabulario y estructuras basicas del ingles para interpretar textos cortos y conversaciones sobre temas cotidianos de la vida diaria.</v>
      </c>
      <c r="DX8" s="5" t="str">
        <f t="shared" si="42"/>
        <v>Produce de forma oral y escrita frases y parrafos cortos en Ingles, utilizando correctamente las estructuras conocidas para describir rutinas, narrar experiencias y participar en conversaciones.</v>
      </c>
      <c r="DY8" s="5" t="str">
        <f t="shared" si="42"/>
        <v>Muestra disposicion positiva hacia el aprendizaje del Ingles participando activamente en clase.</v>
      </c>
      <c r="DZ8" s="5" t="str">
        <f t="shared" si="42"/>
        <v>Identifica vocabulario en Ingles  de situaciones cotidianas.</v>
      </c>
      <c r="EA8" s="5" t="str">
        <f t="shared" si="42"/>
        <v>Participa en actividades utilizando vocabulario aprendido para expresar gustos,emociones y necesidades.</v>
      </c>
      <c r="EB8" s="5" t="str">
        <f t="shared" si="42"/>
        <v>Respeta la opinion de los demas, muestra disposicion para participar en actividades orales.</v>
      </c>
      <c r="EC8" s="5" t="str">
        <f t="shared" si="42"/>
        <v>Identifica la conformación y funcionamiento del sistema inmunolófico y diferencia las característics de los estados de la materia.</v>
      </c>
      <c r="ED8" s="5" t="str">
        <f t="shared" si="42"/>
        <v>Reconoce experimentalmente las características de materiales en los diferentes estados de la materia.</v>
      </c>
      <c r="EE8" s="5" t="str">
        <f t="shared" si="42"/>
        <v xml:space="preserve">Valora la importancia de tener habitos saludables, para lograr el mantenimiento saludable del sistema inmune. </v>
      </c>
      <c r="EF8" s="5" t="str">
        <f t="shared" si="42"/>
        <v>Describe correctamente la secuencia de eventos biologicos de la fecundacion,incluyendo las recciones acrosomicas,la funcion de gametos y la formacion de gametos.</v>
      </c>
      <c r="EG8" s="5" t="str">
        <f t="shared" si="42"/>
        <v>Mide la capacidad del labolatrio para lograr la fecundacion exitosa de los ovulos con el espermatozoide.</v>
      </c>
      <c r="EH8" s="5" t="str">
        <f t="shared" si="42"/>
        <v>Valora la importancia del cuidado del cuerpo y de la salud reproductiva como la base para una fecundacion saludable.</v>
      </c>
      <c r="EI8" s="5" t="str">
        <f t="shared" si="42"/>
        <v>Explico las principales caracteristicas de algunas revoluciones de los siglos XVIII y XIX (Revolucion francesa, Industrial...)</v>
      </c>
      <c r="EJ8" s="5" t="str">
        <f t="shared" si="42"/>
        <v>Analiza las causas y consecuencias de procesos historicos como la Revolucion Industrial y Francesa.</v>
      </c>
      <c r="EK8" s="5" t="str">
        <f t="shared" si="42"/>
        <v>Muestra interes y curiosidad por comprender los procesos historicos y su impacto en la sociedad.</v>
      </c>
      <c r="EL8" s="5" t="str">
        <f t="shared" si="42"/>
        <v xml:space="preserve">Identifica los procesos historicos de algunas revoluciones de los siglos XVIII y XIX </v>
      </c>
      <c r="EM8" s="5">
        <f t="shared" si="42"/>
        <v>0</v>
      </c>
      <c r="EN8" s="5">
        <f t="shared" si="42"/>
        <v>0</v>
      </c>
      <c r="EO8" s="5" t="str">
        <f t="shared" si="42"/>
        <v xml:space="preserve">Comprende la distribucion espacial de la poblacion antes y despues de las revoluciones </v>
      </c>
      <c r="EP8" s="5" t="str">
        <f t="shared" si="42"/>
        <v xml:space="preserve">Ubica en mapas las regiones donde se desarrollaron las principales revoluciones y explica sus caracteristicas geograficas </v>
      </c>
      <c r="EQ8" s="5" t="str">
        <f t="shared" si="42"/>
        <v>Muestra interes por comprender la relacion entre sociedad, economia y territorio</v>
      </c>
      <c r="ER8" s="5" t="str">
        <f t="shared" si="42"/>
        <v>Comprende el concepto de cultura de paz y su importancia en la sociedad</v>
      </c>
      <c r="ES8" s="5" t="str">
        <f t="shared" si="42"/>
        <v>Practica normas de convivencia en diferentes espacios( aula, hogar, comunidad)</v>
      </c>
      <c r="ET8" s="5" t="str">
        <f t="shared" si="42"/>
        <v>Muestra actitud de respeto hacia la diversidad cuktural, social y de pensamiento</v>
      </c>
      <c r="EU8" s="5">
        <f t="shared" si="42"/>
        <v>0</v>
      </c>
      <c r="EV8" s="5">
        <f t="shared" si="42"/>
        <v>0</v>
      </c>
      <c r="EW8" s="5">
        <f t="shared" si="42"/>
        <v>0</v>
      </c>
      <c r="EX8" s="5">
        <f t="shared" si="42"/>
        <v>0</v>
      </c>
      <c r="EY8" s="5">
        <f t="shared" si="42"/>
        <v>0</v>
      </c>
      <c r="EZ8" s="5">
        <f t="shared" si="42"/>
        <v>0</v>
      </c>
      <c r="FA8" s="5">
        <f t="shared" si="42"/>
        <v>0</v>
      </c>
      <c r="FB8" s="5">
        <f t="shared" si="42"/>
        <v>0</v>
      </c>
      <c r="FC8" s="5">
        <f t="shared" si="42"/>
        <v>0</v>
      </c>
      <c r="FD8" s="5" t="str">
        <f t="shared" si="42"/>
        <v xml:space="preserve"> Identifica las expresiones motrices relacionadas con el juego del voleibol,  como una oportunidad para mejorar la salud, la estética y las relaciones con los demás.</v>
      </c>
      <c r="FE8" s="5" t="str">
        <f t="shared" si="42"/>
        <v>Pone en práctica los fundamentos básicos del voleibol.</v>
      </c>
      <c r="FF8" s="5" t="str">
        <f t="shared" si="42"/>
        <v>Muestra  responsabilidad y buena actitud al realizar el juego de voleibol.</v>
      </c>
      <c r="FG8" s="5" t="str">
        <f t="shared" si="42"/>
        <v>Comprende el concepto de variable como espacio de almacenamiento de datos y reconoce el uso de estructuras condicionales (si, si-no) para la toma de decisiones en un programa.</v>
      </c>
      <c r="FH8" s="5" t="str">
        <f t="shared" si="42"/>
        <v>Diseña y desarrolla programas que utilizan variables y estructuras condicionales para resolver problemas, evaluando condiciones y generando respuestas según diferentes situaciones.</v>
      </c>
      <c r="FI8" s="5" t="str">
        <f t="shared" si="42"/>
        <v>Muestra pensamiento lógico, perseverancia y actitud crítica al analizar errores y proponer soluciones en la construcción de programas con variables y condicionales.</v>
      </c>
      <c r="FJ8" s="5" t="str">
        <f t="shared" si="42"/>
        <v>Identifica y reconoce sus pricipales deberes y derechos dentro y fuera  de la Institución educativa.</v>
      </c>
    </row>
    <row r="9" spans="1:166">
      <c r="A9" s="5">
        <v>8</v>
      </c>
      <c r="B9" s="5" t="s">
        <v>78</v>
      </c>
      <c r="C9" s="6">
        <v>1042862727</v>
      </c>
      <c r="D9" s="5" t="s">
        <v>68</v>
      </c>
      <c r="E9" s="5" t="s">
        <v>69</v>
      </c>
      <c r="F9" s="5" t="s">
        <v>70</v>
      </c>
      <c r="G9" s="5" t="s">
        <v>71</v>
      </c>
      <c r="H9" s="5">
        <v>2026</v>
      </c>
      <c r="I9" s="5">
        <v>4</v>
      </c>
      <c r="J9" s="7">
        <v>3.8</v>
      </c>
      <c r="K9" s="7">
        <v>4</v>
      </c>
      <c r="L9" s="7">
        <v>4.2</v>
      </c>
      <c r="M9" s="5">
        <f t="shared" si="0"/>
        <v>4</v>
      </c>
      <c r="N9" s="5" t="str">
        <f t="shared" si="1"/>
        <v>ALTO</v>
      </c>
      <c r="O9" s="5">
        <v>1</v>
      </c>
      <c r="P9" s="7">
        <v>4.8</v>
      </c>
      <c r="Q9" s="7">
        <v>4.8</v>
      </c>
      <c r="R9" s="7">
        <v>4.8</v>
      </c>
      <c r="S9" s="5">
        <f t="shared" si="2"/>
        <v>4.8</v>
      </c>
      <c r="T9" s="5" t="str">
        <f t="shared" si="3"/>
        <v>SUPERIOR</v>
      </c>
      <c r="U9" s="5">
        <v>4</v>
      </c>
      <c r="V9" s="7">
        <v>5</v>
      </c>
      <c r="W9" s="7">
        <v>5</v>
      </c>
      <c r="X9" s="7">
        <v>4.7</v>
      </c>
      <c r="Y9" s="5">
        <f t="shared" si="4"/>
        <v>4.91</v>
      </c>
      <c r="Z9" s="5" t="str">
        <f t="shared" si="5"/>
        <v>SUPERIOR</v>
      </c>
      <c r="AA9" s="5">
        <v>1</v>
      </c>
      <c r="AB9" s="7">
        <v>4.5</v>
      </c>
      <c r="AC9" s="7">
        <v>4.5</v>
      </c>
      <c r="AD9" s="7">
        <v>4.5</v>
      </c>
      <c r="AE9" s="5">
        <f t="shared" si="6"/>
        <v>4.5</v>
      </c>
      <c r="AF9" s="5" t="str">
        <f t="shared" si="7"/>
        <v>SUPERIOR</v>
      </c>
      <c r="AG9" s="5">
        <v>2</v>
      </c>
      <c r="AH9" s="8">
        <v>4.8</v>
      </c>
      <c r="AI9" s="8">
        <v>4.8</v>
      </c>
      <c r="AJ9" s="8">
        <v>4.8</v>
      </c>
      <c r="AK9" s="5">
        <f t="shared" si="8"/>
        <v>4.8</v>
      </c>
      <c r="AL9" s="5" t="str">
        <f t="shared" si="9"/>
        <v>SUPERIOR</v>
      </c>
      <c r="AM9" s="5">
        <v>1</v>
      </c>
      <c r="AN9" s="8">
        <v>4.8</v>
      </c>
      <c r="AO9" s="8">
        <v>4.8</v>
      </c>
      <c r="AP9" s="8">
        <v>4.8</v>
      </c>
      <c r="AQ9" s="5">
        <f t="shared" si="10"/>
        <v>4.8</v>
      </c>
      <c r="AR9" s="5" t="str">
        <f t="shared" si="11"/>
        <v>SUPERIOR</v>
      </c>
      <c r="AS9" s="5">
        <v>4</v>
      </c>
      <c r="AT9" s="7">
        <v>3.8</v>
      </c>
      <c r="AU9" s="7">
        <v>3.8</v>
      </c>
      <c r="AV9" s="7">
        <v>3.8</v>
      </c>
      <c r="AW9" s="5">
        <f t="shared" si="12"/>
        <v>3.8</v>
      </c>
      <c r="AX9" s="5" t="str">
        <f t="shared" si="13"/>
        <v>BASICO</v>
      </c>
      <c r="AY9" s="5">
        <v>1</v>
      </c>
      <c r="AZ9" s="7">
        <v>4.5</v>
      </c>
      <c r="BA9" s="7">
        <v>4.5</v>
      </c>
      <c r="BB9" s="7">
        <v>4.5</v>
      </c>
      <c r="BC9" s="5">
        <f t="shared" si="14"/>
        <v>4.5</v>
      </c>
      <c r="BD9" s="5" t="str">
        <f t="shared" si="15"/>
        <v>SUPERIOR</v>
      </c>
      <c r="BE9" s="7">
        <v>2</v>
      </c>
      <c r="BF9" s="7">
        <v>4</v>
      </c>
      <c r="BG9" s="7">
        <v>4.5</v>
      </c>
      <c r="BH9" s="7">
        <v>4.4000000000000004</v>
      </c>
      <c r="BI9" s="5">
        <f t="shared" si="16"/>
        <v>4.32</v>
      </c>
      <c r="BJ9" s="5" t="str">
        <f t="shared" si="17"/>
        <v>ALTO</v>
      </c>
      <c r="BK9" s="5">
        <v>1</v>
      </c>
      <c r="BL9" s="7">
        <v>4.5</v>
      </c>
      <c r="BM9" s="7">
        <v>4</v>
      </c>
      <c r="BN9" s="7">
        <v>4.4000000000000004</v>
      </c>
      <c r="BO9" s="5">
        <f t="shared" si="18"/>
        <v>4.2700000000000005</v>
      </c>
      <c r="BP9" s="5" t="str">
        <f t="shared" si="19"/>
        <v>ALTO</v>
      </c>
      <c r="BQ9" s="5">
        <v>1</v>
      </c>
      <c r="BR9" s="7">
        <v>4</v>
      </c>
      <c r="BS9" s="7">
        <v>4.4000000000000004</v>
      </c>
      <c r="BT9" s="7">
        <v>4.5</v>
      </c>
      <c r="BU9" s="5">
        <f t="shared" si="20"/>
        <v>4.3099999999999996</v>
      </c>
      <c r="BV9" s="5" t="str">
        <f t="shared" si="21"/>
        <v>ALTO</v>
      </c>
      <c r="BW9" s="5">
        <v>1</v>
      </c>
      <c r="BX9" s="7">
        <v>4</v>
      </c>
      <c r="BY9" s="7">
        <v>4.5</v>
      </c>
      <c r="BZ9" s="7">
        <v>4.4000000000000004</v>
      </c>
      <c r="CA9" s="5">
        <f t="shared" si="22"/>
        <v>4.32</v>
      </c>
      <c r="CB9" s="5" t="str">
        <f t="shared" si="23"/>
        <v>ALTO</v>
      </c>
      <c r="CC9" s="5">
        <v>1</v>
      </c>
      <c r="CD9" s="7">
        <v>4</v>
      </c>
      <c r="CE9" s="7">
        <v>4.2</v>
      </c>
      <c r="CF9" s="7">
        <v>4.2</v>
      </c>
      <c r="CG9" s="5">
        <f t="shared" si="24"/>
        <v>4.1399999999999997</v>
      </c>
      <c r="CH9" s="5" t="str">
        <f t="shared" si="25"/>
        <v>ALTO</v>
      </c>
      <c r="CI9" s="5">
        <v>1</v>
      </c>
      <c r="CJ9" s="7">
        <v>4.4000000000000004</v>
      </c>
      <c r="CK9" s="7">
        <v>4.4000000000000004</v>
      </c>
      <c r="CL9" s="7">
        <v>4.4000000000000004</v>
      </c>
      <c r="CM9" s="5">
        <f t="shared" si="26"/>
        <v>4.4000000000000004</v>
      </c>
      <c r="CN9" s="5" t="str">
        <f t="shared" si="27"/>
        <v>ALTO</v>
      </c>
      <c r="CO9" s="5">
        <v>1</v>
      </c>
      <c r="CP9" s="7">
        <v>5</v>
      </c>
      <c r="CQ9" s="7">
        <v>5</v>
      </c>
      <c r="CR9" s="7">
        <v>5</v>
      </c>
      <c r="CS9" s="5">
        <f t="shared" si="28"/>
        <v>5</v>
      </c>
      <c r="CT9" s="5" t="str">
        <f t="shared" si="29"/>
        <v>SUPERIOR</v>
      </c>
      <c r="CU9" s="5">
        <v>2</v>
      </c>
      <c r="CV9" s="7">
        <v>3.8</v>
      </c>
      <c r="CW9" s="7">
        <v>3.8</v>
      </c>
      <c r="CX9" s="7">
        <v>3.8</v>
      </c>
      <c r="CY9" s="5">
        <f t="shared" si="30"/>
        <v>3.8</v>
      </c>
      <c r="CZ9" s="5" t="str">
        <f t="shared" si="31"/>
        <v>BASICO</v>
      </c>
      <c r="DA9" s="5">
        <v>2</v>
      </c>
      <c r="DB9" s="7">
        <v>3.5</v>
      </c>
      <c r="DC9" s="7">
        <v>3.5</v>
      </c>
      <c r="DD9" s="7">
        <v>3.5</v>
      </c>
      <c r="DE9" s="5">
        <f t="shared" si="32"/>
        <v>3.5</v>
      </c>
      <c r="DF9" s="5" t="str">
        <f t="shared" si="33"/>
        <v>BASICO</v>
      </c>
      <c r="DG9" s="5">
        <v>0</v>
      </c>
      <c r="DH9" s="7"/>
      <c r="DI9" s="5" t="str">
        <f t="shared" si="34"/>
        <v>BAJO</v>
      </c>
      <c r="DJ9" s="5">
        <f t="shared" si="35"/>
        <v>4.36625</v>
      </c>
      <c r="DK9" s="5" t="str">
        <f t="shared" si="36"/>
        <v>Comprende el concepto de números reales, su relación de orden y las propiedades de sus operaciones, así como las relaciones de semejanza y congruencia de distintas figuras geométricas.</v>
      </c>
      <c r="DL9" s="5" t="str">
        <f t="shared" ref="DL9:FJ9" si="43">DL8</f>
        <v>Aplica correctamente las propiedades de las operaciones de números reales y expresiones algebraicas en la resolución de problemas.</v>
      </c>
      <c r="DM9" s="5" t="str">
        <f t="shared" si="43"/>
        <v>Valora el uso del pensamiento lógico a la hora de plantear y resolver problemas de las matemáticas y de la vida cotidiana.</v>
      </c>
      <c r="DN9" s="5" t="str">
        <f t="shared" si="4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9" s="5" t="str">
        <f t="shared" si="43"/>
        <v>Organiza y analiza datos mediante la construcción de tablas de frecuencias y diagramas estadísticos, identificando variables aleatorias y utilizando estas representaciones para resolver situaciones problema.</v>
      </c>
      <c r="DP9" s="5" t="str">
        <f t="shared" si="43"/>
        <v>Muestra disposición y responsabilidad en el manejo y análisis de datos, participando activamente en actividades individuales y colaborativas, y comunicando información estadística con claridad y sentido crítico.</v>
      </c>
      <c r="DQ9" s="5" t="str">
        <f t="shared" si="43"/>
        <v>Analiza las características de la literatura prehispánica y la literatura del descubrimiento y la conquista en Colombia identificando sus elementos fundamentales y su impacto en la cultura y el lenguaje actual.</v>
      </c>
      <c r="DR9" s="5" t="str">
        <f t="shared" si="43"/>
        <v>Realiza comprensión lectora cuando analiza un texto desde el discurso de la Enunciación e identifica la función de cada uno de sus componentes.
Responde preguntas en los tres niveles de lectura a una leyenda del Caribe.</v>
      </c>
      <c r="DS9" s="5" t="str">
        <f t="shared" si="43"/>
        <v>Muestra disposición para participar activamente en las clases, promoviendo el respeto por las ideas ajenas y reconociendo la importancia de la precisión como una herramienta clave para una comunicación</v>
      </c>
      <c r="DT9" s="5" t="str">
        <f t="shared" si="43"/>
        <v>Comprende el contenido del cuento A la deriva, identificando su tema central, la secuencia de los hechos, los personajes y las ideas explícitas e implícitas del texto.</v>
      </c>
      <c r="DU9" s="5" t="str">
        <f t="shared" si="43"/>
        <v>Analiza críticamente el cuento A la deriva mediante la identificación de información literal, inferencial y crítica, sustentando sus respuestas de forma oral y escrita.</v>
      </c>
      <c r="DV9" s="5" t="str">
        <f t="shared" si="43"/>
        <v>Valora la lectura literaria como una oportunidad para reflexionar sobre la vida, la naturaleza y la condición humana, participando con interés, respeto y sentido crítico en las actividades propuestas.</v>
      </c>
      <c r="DW9" s="5" t="str">
        <f t="shared" si="43"/>
        <v>Comprende y reconoce vocabulario y estructuras basicas del ingles para interpretar textos cortos y conversaciones sobre temas cotidianos de la vida diaria.</v>
      </c>
      <c r="DX9" s="5" t="str">
        <f t="shared" si="43"/>
        <v>Produce de forma oral y escrita frases y parrafos cortos en Ingles, utilizando correctamente las estructuras conocidas para describir rutinas, narrar experiencias y participar en conversaciones.</v>
      </c>
      <c r="DY9" s="5" t="str">
        <f t="shared" si="43"/>
        <v>Muestra disposicion positiva hacia el aprendizaje del Ingles participando activamente en clase.</v>
      </c>
      <c r="DZ9" s="5" t="str">
        <f t="shared" si="43"/>
        <v>Identifica vocabulario en Ingles  de situaciones cotidianas.</v>
      </c>
      <c r="EA9" s="5" t="str">
        <f t="shared" si="43"/>
        <v>Participa en actividades utilizando vocabulario aprendido para expresar gustos,emociones y necesidades.</v>
      </c>
      <c r="EB9" s="5" t="str">
        <f t="shared" si="43"/>
        <v>Respeta la opinion de los demas, muestra disposicion para participar en actividades orales.</v>
      </c>
      <c r="EC9" s="5" t="str">
        <f t="shared" si="43"/>
        <v>Identifica la conformación y funcionamiento del sistema inmunolófico y diferencia las característics de los estados de la materia.</v>
      </c>
      <c r="ED9" s="5" t="str">
        <f t="shared" si="43"/>
        <v>Reconoce experimentalmente las características de materiales en los diferentes estados de la materia.</v>
      </c>
      <c r="EE9" s="5" t="str">
        <f t="shared" si="43"/>
        <v xml:space="preserve">Valora la importancia de tener habitos saludables, para lograr el mantenimiento saludable del sistema inmune. </v>
      </c>
      <c r="EF9" s="5" t="str">
        <f t="shared" si="43"/>
        <v>Describe correctamente la secuencia de eventos biologicos de la fecundacion,incluyendo las recciones acrosomicas,la funcion de gametos y la formacion de gametos.</v>
      </c>
      <c r="EG9" s="5" t="str">
        <f t="shared" si="43"/>
        <v>Mide la capacidad del labolatrio para lograr la fecundacion exitosa de los ovulos con el espermatozoide.</v>
      </c>
      <c r="EH9" s="5" t="str">
        <f t="shared" si="43"/>
        <v>Valora la importancia del cuidado del cuerpo y de la salud reproductiva como la base para una fecundacion saludable.</v>
      </c>
      <c r="EI9" s="5" t="str">
        <f t="shared" si="43"/>
        <v>Explico las principales caracteristicas de algunas revoluciones de los siglos XVIII y XIX (Revolucion francesa, Industrial...)</v>
      </c>
      <c r="EJ9" s="5" t="str">
        <f t="shared" si="43"/>
        <v>Analiza las causas y consecuencias de procesos historicos como la Revolucion Industrial y Francesa.</v>
      </c>
      <c r="EK9" s="5" t="str">
        <f t="shared" si="43"/>
        <v>Muestra interes y curiosidad por comprender los procesos historicos y su impacto en la sociedad.</v>
      </c>
      <c r="EL9" s="5" t="str">
        <f t="shared" si="43"/>
        <v xml:space="preserve">Identifica los procesos historicos de algunas revoluciones de los siglos XVIII y XIX </v>
      </c>
      <c r="EM9" s="5">
        <f t="shared" si="43"/>
        <v>0</v>
      </c>
      <c r="EN9" s="5">
        <f t="shared" si="43"/>
        <v>0</v>
      </c>
      <c r="EO9" s="5" t="str">
        <f t="shared" si="43"/>
        <v xml:space="preserve">Comprende la distribucion espacial de la poblacion antes y despues de las revoluciones </v>
      </c>
      <c r="EP9" s="5" t="str">
        <f t="shared" si="43"/>
        <v xml:space="preserve">Ubica en mapas las regiones donde se desarrollaron las principales revoluciones y explica sus caracteristicas geograficas </v>
      </c>
      <c r="EQ9" s="5" t="str">
        <f t="shared" si="43"/>
        <v>Muestra interes por comprender la relacion entre sociedad, economia y territorio</v>
      </c>
      <c r="ER9" s="5" t="str">
        <f t="shared" si="43"/>
        <v>Comprende el concepto de cultura de paz y su importancia en la sociedad</v>
      </c>
      <c r="ES9" s="5" t="str">
        <f t="shared" si="43"/>
        <v>Practica normas de convivencia en diferentes espacios( aula, hogar, comunidad)</v>
      </c>
      <c r="ET9" s="5" t="str">
        <f t="shared" si="43"/>
        <v>Muestra actitud de respeto hacia la diversidad cuktural, social y de pensamiento</v>
      </c>
      <c r="EU9" s="5">
        <f t="shared" si="43"/>
        <v>0</v>
      </c>
      <c r="EV9" s="5">
        <f t="shared" si="43"/>
        <v>0</v>
      </c>
      <c r="EW9" s="5">
        <f t="shared" si="43"/>
        <v>0</v>
      </c>
      <c r="EX9" s="5">
        <f t="shared" si="43"/>
        <v>0</v>
      </c>
      <c r="EY9" s="5">
        <f t="shared" si="43"/>
        <v>0</v>
      </c>
      <c r="EZ9" s="5">
        <f t="shared" si="43"/>
        <v>0</v>
      </c>
      <c r="FA9" s="5">
        <f t="shared" si="43"/>
        <v>0</v>
      </c>
      <c r="FB9" s="5">
        <f t="shared" si="43"/>
        <v>0</v>
      </c>
      <c r="FC9" s="5">
        <f t="shared" si="43"/>
        <v>0</v>
      </c>
      <c r="FD9" s="5" t="str">
        <f t="shared" si="43"/>
        <v xml:space="preserve"> Identifica las expresiones motrices relacionadas con el juego del voleibol,  como una oportunidad para mejorar la salud, la estética y las relaciones con los demás.</v>
      </c>
      <c r="FE9" s="5" t="str">
        <f t="shared" si="43"/>
        <v>Pone en práctica los fundamentos básicos del voleibol.</v>
      </c>
      <c r="FF9" s="5" t="str">
        <f t="shared" si="43"/>
        <v>Muestra  responsabilidad y buena actitud al realizar el juego de voleibol.</v>
      </c>
      <c r="FG9" s="5" t="str">
        <f t="shared" si="43"/>
        <v>Comprende el concepto de variable como espacio de almacenamiento de datos y reconoce el uso de estructuras condicionales (si, si-no) para la toma de decisiones en un programa.</v>
      </c>
      <c r="FH9" s="5" t="str">
        <f t="shared" si="43"/>
        <v>Diseña y desarrolla programas que utilizan variables y estructuras condicionales para resolver problemas, evaluando condiciones y generando respuestas según diferentes situaciones.</v>
      </c>
      <c r="FI9" s="5" t="str">
        <f t="shared" si="43"/>
        <v>Muestra pensamiento lógico, perseverancia y actitud crítica al analizar errores y proponer soluciones en la construcción de programas con variables y condicionales.</v>
      </c>
      <c r="FJ9" s="5" t="str">
        <f t="shared" si="43"/>
        <v>Identifica y reconoce sus pricipales deberes y derechos dentro y fuera  de la Institución educativa.</v>
      </c>
    </row>
    <row r="10" spans="1:166">
      <c r="A10" s="5">
        <v>9</v>
      </c>
      <c r="B10" s="5" t="s">
        <v>79</v>
      </c>
      <c r="C10" s="6">
        <v>1143146254</v>
      </c>
      <c r="D10" s="5" t="s">
        <v>68</v>
      </c>
      <c r="E10" s="5" t="s">
        <v>69</v>
      </c>
      <c r="F10" s="5" t="s">
        <v>70</v>
      </c>
      <c r="G10" s="5" t="s">
        <v>71</v>
      </c>
      <c r="H10" s="5">
        <v>2026</v>
      </c>
      <c r="I10" s="5">
        <v>4</v>
      </c>
      <c r="J10" s="7">
        <v>3</v>
      </c>
      <c r="K10" s="7">
        <v>3.2</v>
      </c>
      <c r="L10" s="7">
        <v>3.4</v>
      </c>
      <c r="M10" s="5">
        <f t="shared" si="0"/>
        <v>3.2</v>
      </c>
      <c r="N10" s="5" t="str">
        <f t="shared" si="1"/>
        <v>BASICO</v>
      </c>
      <c r="O10" s="5">
        <v>1</v>
      </c>
      <c r="P10" s="7">
        <v>3.3</v>
      </c>
      <c r="Q10" s="7">
        <v>3.3</v>
      </c>
      <c r="R10" s="7">
        <v>3.3</v>
      </c>
      <c r="S10" s="5">
        <f t="shared" si="2"/>
        <v>3.3</v>
      </c>
      <c r="T10" s="5" t="str">
        <f t="shared" si="3"/>
        <v>BASICO</v>
      </c>
      <c r="U10" s="5">
        <v>4</v>
      </c>
      <c r="V10" s="7">
        <v>2.8</v>
      </c>
      <c r="W10" s="7">
        <v>2.5</v>
      </c>
      <c r="X10" s="7">
        <v>3.3</v>
      </c>
      <c r="Y10" s="5">
        <f t="shared" si="4"/>
        <v>2.8299999999999996</v>
      </c>
      <c r="Z10" s="5" t="str">
        <f t="shared" si="5"/>
        <v>BAJO</v>
      </c>
      <c r="AA10" s="5">
        <v>1</v>
      </c>
      <c r="AB10" s="7">
        <v>2.4</v>
      </c>
      <c r="AC10" s="7">
        <v>2.4</v>
      </c>
      <c r="AD10" s="7">
        <v>2.4</v>
      </c>
      <c r="AE10" s="5">
        <f t="shared" si="6"/>
        <v>2.4</v>
      </c>
      <c r="AF10" s="5" t="str">
        <f t="shared" si="7"/>
        <v>BAJO</v>
      </c>
      <c r="AG10" s="5">
        <v>2</v>
      </c>
      <c r="AH10" s="8">
        <v>2.5</v>
      </c>
      <c r="AI10" s="8">
        <v>3.5</v>
      </c>
      <c r="AJ10" s="8">
        <v>3.5</v>
      </c>
      <c r="AK10" s="5">
        <f t="shared" si="8"/>
        <v>3.2</v>
      </c>
      <c r="AL10" s="5" t="str">
        <f t="shared" si="9"/>
        <v>BASICO</v>
      </c>
      <c r="AM10" s="5">
        <v>1</v>
      </c>
      <c r="AN10" s="8">
        <v>2.5</v>
      </c>
      <c r="AO10" s="8">
        <v>3.5</v>
      </c>
      <c r="AP10" s="8">
        <v>3.5</v>
      </c>
      <c r="AQ10" s="5">
        <f t="shared" si="10"/>
        <v>3.2</v>
      </c>
      <c r="AR10" s="5" t="str">
        <f t="shared" si="11"/>
        <v>BASICO</v>
      </c>
      <c r="AS10" s="5">
        <v>4</v>
      </c>
      <c r="AT10" s="7">
        <v>2</v>
      </c>
      <c r="AU10" s="7">
        <v>2</v>
      </c>
      <c r="AV10" s="7">
        <v>2</v>
      </c>
      <c r="AW10" s="5">
        <f t="shared" si="12"/>
        <v>2</v>
      </c>
      <c r="AX10" s="5" t="str">
        <f t="shared" si="13"/>
        <v>BAJO</v>
      </c>
      <c r="AY10" s="5">
        <v>1</v>
      </c>
      <c r="AZ10" s="7">
        <v>3.8</v>
      </c>
      <c r="BA10" s="7">
        <v>3.5</v>
      </c>
      <c r="BB10" s="7"/>
      <c r="BC10" s="5">
        <f t="shared" si="14"/>
        <v>2.54</v>
      </c>
      <c r="BD10" s="5" t="str">
        <f t="shared" si="15"/>
        <v>BAJO</v>
      </c>
      <c r="BE10" s="7">
        <v>2</v>
      </c>
      <c r="BF10" s="7">
        <v>2.5</v>
      </c>
      <c r="BG10" s="7">
        <v>2.5</v>
      </c>
      <c r="BH10" s="7">
        <v>2.5</v>
      </c>
      <c r="BI10" s="5">
        <f t="shared" si="16"/>
        <v>2.5</v>
      </c>
      <c r="BJ10" s="5" t="str">
        <f t="shared" si="17"/>
        <v>BAJO</v>
      </c>
      <c r="BK10" s="5">
        <v>1</v>
      </c>
      <c r="BL10" s="7">
        <v>2.5</v>
      </c>
      <c r="BM10" s="7">
        <v>2.5</v>
      </c>
      <c r="BN10" s="7">
        <v>2.5</v>
      </c>
      <c r="BO10" s="5">
        <f t="shared" si="18"/>
        <v>2.5</v>
      </c>
      <c r="BP10" s="5" t="str">
        <f t="shared" si="19"/>
        <v>BAJO</v>
      </c>
      <c r="BQ10" s="5">
        <v>1</v>
      </c>
      <c r="BR10" s="7">
        <v>2.5</v>
      </c>
      <c r="BS10" s="7">
        <v>2.5</v>
      </c>
      <c r="BT10" s="7">
        <v>2.5</v>
      </c>
      <c r="BU10" s="5">
        <f t="shared" si="20"/>
        <v>2.5</v>
      </c>
      <c r="BV10" s="5" t="str">
        <f t="shared" si="21"/>
        <v>BAJO</v>
      </c>
      <c r="BW10" s="5">
        <v>1</v>
      </c>
      <c r="BX10" s="7">
        <v>2</v>
      </c>
      <c r="BY10" s="7">
        <v>2</v>
      </c>
      <c r="BZ10" s="7">
        <v>2</v>
      </c>
      <c r="CA10" s="5">
        <f t="shared" si="22"/>
        <v>2</v>
      </c>
      <c r="CB10" s="5" t="str">
        <f t="shared" si="23"/>
        <v>BAJO</v>
      </c>
      <c r="CC10" s="5">
        <v>1</v>
      </c>
      <c r="CD10" s="7">
        <v>3.8</v>
      </c>
      <c r="CE10" s="7">
        <v>3.7</v>
      </c>
      <c r="CF10" s="7">
        <v>3.7</v>
      </c>
      <c r="CG10" s="5">
        <f t="shared" si="24"/>
        <v>3.7300000000000004</v>
      </c>
      <c r="CH10" s="5" t="str">
        <f t="shared" si="25"/>
        <v>BASICO</v>
      </c>
      <c r="CI10" s="5">
        <v>1</v>
      </c>
      <c r="CJ10" s="7">
        <v>4.2</v>
      </c>
      <c r="CK10" s="7">
        <v>4.2</v>
      </c>
      <c r="CL10" s="7">
        <v>4.2</v>
      </c>
      <c r="CM10" s="5">
        <f t="shared" si="26"/>
        <v>4.2</v>
      </c>
      <c r="CN10" s="5" t="str">
        <f t="shared" si="27"/>
        <v>ALTO</v>
      </c>
      <c r="CO10" s="5">
        <v>1</v>
      </c>
      <c r="CP10" s="7">
        <v>5</v>
      </c>
      <c r="CQ10" s="7">
        <v>5</v>
      </c>
      <c r="CR10" s="7">
        <v>5</v>
      </c>
      <c r="CS10" s="5">
        <f t="shared" si="28"/>
        <v>5</v>
      </c>
      <c r="CT10" s="5" t="str">
        <f t="shared" si="29"/>
        <v>SUPERIOR</v>
      </c>
      <c r="CU10" s="5">
        <v>2</v>
      </c>
      <c r="CV10" s="7"/>
      <c r="CW10" s="7"/>
      <c r="CX10" s="7"/>
      <c r="CY10" s="5">
        <f t="shared" si="30"/>
        <v>0</v>
      </c>
      <c r="CZ10" s="5" t="str">
        <f t="shared" si="31"/>
        <v>BAJO</v>
      </c>
      <c r="DA10" s="5">
        <v>2</v>
      </c>
      <c r="DB10" s="7">
        <v>3.5</v>
      </c>
      <c r="DC10" s="7">
        <v>4</v>
      </c>
      <c r="DD10" s="7">
        <v>3.5</v>
      </c>
      <c r="DE10" s="5">
        <f t="shared" si="32"/>
        <v>3.7</v>
      </c>
      <c r="DF10" s="5" t="str">
        <f t="shared" si="33"/>
        <v>BASICO</v>
      </c>
      <c r="DG10" s="5">
        <v>0</v>
      </c>
      <c r="DH10" s="7"/>
      <c r="DI10" s="5" t="str">
        <f t="shared" si="34"/>
        <v>BAJO</v>
      </c>
      <c r="DJ10" s="5">
        <f t="shared" si="35"/>
        <v>2.8937499999999998</v>
      </c>
      <c r="DK10" s="5" t="str">
        <f t="shared" si="36"/>
        <v>Comprende el concepto de números reales, su relación de orden y las propiedades de sus operaciones, así como las relaciones de semejanza y congruencia de distintas figuras geométricas.</v>
      </c>
      <c r="DL10" s="5" t="str">
        <f t="shared" ref="DL10:FJ10" si="44">DL9</f>
        <v>Aplica correctamente las propiedades de las operaciones de números reales y expresiones algebraicas en la resolución de problemas.</v>
      </c>
      <c r="DM10" s="5" t="str">
        <f t="shared" si="44"/>
        <v>Valora el uso del pensamiento lógico a la hora de plantear y resolver problemas de las matemáticas y de la vida cotidiana.</v>
      </c>
      <c r="DN10" s="5" t="str">
        <f t="shared" si="4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0" s="5" t="str">
        <f t="shared" si="44"/>
        <v>Organiza y analiza datos mediante la construcción de tablas de frecuencias y diagramas estadísticos, identificando variables aleatorias y utilizando estas representaciones para resolver situaciones problema.</v>
      </c>
      <c r="DP10" s="5" t="str">
        <f t="shared" si="44"/>
        <v>Muestra disposición y responsabilidad en el manejo y análisis de datos, participando activamente en actividades individuales y colaborativas, y comunicando información estadística con claridad y sentido crítico.</v>
      </c>
      <c r="DQ10" s="5" t="str">
        <f t="shared" si="44"/>
        <v>Analiza las características de la literatura prehispánica y la literatura del descubrimiento y la conquista en Colombia identificando sus elementos fundamentales y su impacto en la cultura y el lenguaje actual.</v>
      </c>
      <c r="DR10" s="5" t="str">
        <f t="shared" si="44"/>
        <v>Realiza comprensión lectora cuando analiza un texto desde el discurso de la Enunciación e identifica la función de cada uno de sus componentes.
Responde preguntas en los tres niveles de lectura a una leyenda del Caribe.</v>
      </c>
      <c r="DS10" s="5" t="str">
        <f t="shared" si="44"/>
        <v>Muestra disposición para participar activamente en las clases, promoviendo el respeto por las ideas ajenas y reconociendo la importancia de la precisión como una herramienta clave para una comunicación</v>
      </c>
      <c r="DT10" s="5" t="str">
        <f t="shared" si="44"/>
        <v>Comprende el contenido del cuento A la deriva, identificando su tema central, la secuencia de los hechos, los personajes y las ideas explícitas e implícitas del texto.</v>
      </c>
      <c r="DU10" s="5" t="str">
        <f t="shared" si="44"/>
        <v>Analiza críticamente el cuento A la deriva mediante la identificación de información literal, inferencial y crítica, sustentando sus respuestas de forma oral y escrita.</v>
      </c>
      <c r="DV10" s="5" t="str">
        <f t="shared" si="44"/>
        <v>Valora la lectura literaria como una oportunidad para reflexionar sobre la vida, la naturaleza y la condición humana, participando con interés, respeto y sentido crítico en las actividades propuestas.</v>
      </c>
      <c r="DW10" s="5" t="str">
        <f t="shared" si="44"/>
        <v>Comprende y reconoce vocabulario y estructuras basicas del ingles para interpretar textos cortos y conversaciones sobre temas cotidianos de la vida diaria.</v>
      </c>
      <c r="DX10" s="5" t="str">
        <f t="shared" si="44"/>
        <v>Produce de forma oral y escrita frases y parrafos cortos en Ingles, utilizando correctamente las estructuras conocidas para describir rutinas, narrar experiencias y participar en conversaciones.</v>
      </c>
      <c r="DY10" s="5" t="str">
        <f t="shared" si="44"/>
        <v>Muestra disposicion positiva hacia el aprendizaje del Ingles participando activamente en clase.</v>
      </c>
      <c r="DZ10" s="5" t="str">
        <f t="shared" si="44"/>
        <v>Identifica vocabulario en Ingles  de situaciones cotidianas.</v>
      </c>
      <c r="EA10" s="5" t="str">
        <f t="shared" si="44"/>
        <v>Participa en actividades utilizando vocabulario aprendido para expresar gustos,emociones y necesidades.</v>
      </c>
      <c r="EB10" s="5" t="str">
        <f t="shared" si="44"/>
        <v>Respeta la opinion de los demas, muestra disposicion para participar en actividades orales.</v>
      </c>
      <c r="EC10" s="5" t="str">
        <f t="shared" si="44"/>
        <v>Identifica la conformación y funcionamiento del sistema inmunolófico y diferencia las característics de los estados de la materia.</v>
      </c>
      <c r="ED10" s="5" t="str">
        <f t="shared" si="44"/>
        <v>Reconoce experimentalmente las características de materiales en los diferentes estados de la materia.</v>
      </c>
      <c r="EE10" s="5" t="str">
        <f t="shared" si="44"/>
        <v xml:space="preserve">Valora la importancia de tener habitos saludables, para lograr el mantenimiento saludable del sistema inmune. </v>
      </c>
      <c r="EF10" s="5" t="str">
        <f t="shared" si="44"/>
        <v>Describe correctamente la secuencia de eventos biologicos de la fecundacion,incluyendo las recciones acrosomicas,la funcion de gametos y la formacion de gametos.</v>
      </c>
      <c r="EG10" s="5" t="str">
        <f t="shared" si="44"/>
        <v>Mide la capacidad del labolatrio para lograr la fecundacion exitosa de los ovulos con el espermatozoide.</v>
      </c>
      <c r="EH10" s="5" t="str">
        <f t="shared" si="44"/>
        <v>Valora la importancia del cuidado del cuerpo y de la salud reproductiva como la base para una fecundacion saludable.</v>
      </c>
      <c r="EI10" s="5" t="str">
        <f t="shared" si="44"/>
        <v>Explico las principales caracteristicas de algunas revoluciones de los siglos XVIII y XIX (Revolucion francesa, Industrial...)</v>
      </c>
      <c r="EJ10" s="5" t="str">
        <f t="shared" si="44"/>
        <v>Analiza las causas y consecuencias de procesos historicos como la Revolucion Industrial y Francesa.</v>
      </c>
      <c r="EK10" s="5" t="str">
        <f t="shared" si="44"/>
        <v>Muestra interes y curiosidad por comprender los procesos historicos y su impacto en la sociedad.</v>
      </c>
      <c r="EL10" s="5" t="str">
        <f t="shared" si="44"/>
        <v xml:space="preserve">Identifica los procesos historicos de algunas revoluciones de los siglos XVIII y XIX </v>
      </c>
      <c r="EM10" s="5">
        <f t="shared" si="44"/>
        <v>0</v>
      </c>
      <c r="EN10" s="5">
        <f t="shared" si="44"/>
        <v>0</v>
      </c>
      <c r="EO10" s="5" t="str">
        <f t="shared" si="44"/>
        <v xml:space="preserve">Comprende la distribucion espacial de la poblacion antes y despues de las revoluciones </v>
      </c>
      <c r="EP10" s="5" t="str">
        <f t="shared" si="44"/>
        <v xml:space="preserve">Ubica en mapas las regiones donde se desarrollaron las principales revoluciones y explica sus caracteristicas geograficas </v>
      </c>
      <c r="EQ10" s="5" t="str">
        <f t="shared" si="44"/>
        <v>Muestra interes por comprender la relacion entre sociedad, economia y territorio</v>
      </c>
      <c r="ER10" s="5" t="str">
        <f t="shared" si="44"/>
        <v>Comprende el concepto de cultura de paz y su importancia en la sociedad</v>
      </c>
      <c r="ES10" s="5" t="str">
        <f t="shared" si="44"/>
        <v>Practica normas de convivencia en diferentes espacios( aula, hogar, comunidad)</v>
      </c>
      <c r="ET10" s="5" t="str">
        <f t="shared" si="44"/>
        <v>Muestra actitud de respeto hacia la diversidad cuktural, social y de pensamiento</v>
      </c>
      <c r="EU10" s="5">
        <f t="shared" si="44"/>
        <v>0</v>
      </c>
      <c r="EV10" s="5">
        <f t="shared" si="44"/>
        <v>0</v>
      </c>
      <c r="EW10" s="5">
        <f t="shared" si="44"/>
        <v>0</v>
      </c>
      <c r="EX10" s="5">
        <f t="shared" si="44"/>
        <v>0</v>
      </c>
      <c r="EY10" s="5">
        <f t="shared" si="44"/>
        <v>0</v>
      </c>
      <c r="EZ10" s="5">
        <f t="shared" si="44"/>
        <v>0</v>
      </c>
      <c r="FA10" s="5">
        <f t="shared" si="44"/>
        <v>0</v>
      </c>
      <c r="FB10" s="5">
        <f t="shared" si="44"/>
        <v>0</v>
      </c>
      <c r="FC10" s="5">
        <f t="shared" si="44"/>
        <v>0</v>
      </c>
      <c r="FD10" s="5" t="str">
        <f t="shared" si="44"/>
        <v xml:space="preserve"> Identifica las expresiones motrices relacionadas con el juego del voleibol,  como una oportunidad para mejorar la salud, la estética y las relaciones con los demás.</v>
      </c>
      <c r="FE10" s="5" t="str">
        <f t="shared" si="44"/>
        <v>Pone en práctica los fundamentos básicos del voleibol.</v>
      </c>
      <c r="FF10" s="5" t="str">
        <f t="shared" si="44"/>
        <v>Muestra  responsabilidad y buena actitud al realizar el juego de voleibol.</v>
      </c>
      <c r="FG10" s="5" t="str">
        <f t="shared" si="44"/>
        <v>Comprende el concepto de variable como espacio de almacenamiento de datos y reconoce el uso de estructuras condicionales (si, si-no) para la toma de decisiones en un programa.</v>
      </c>
      <c r="FH10" s="5" t="str">
        <f t="shared" si="44"/>
        <v>Diseña y desarrolla programas que utilizan variables y estructuras condicionales para resolver problemas, evaluando condiciones y generando respuestas según diferentes situaciones.</v>
      </c>
      <c r="FI10" s="5" t="str">
        <f t="shared" si="44"/>
        <v>Muestra pensamiento lógico, perseverancia y actitud crítica al analizar errores y proponer soluciones en la construcción de programas con variables y condicionales.</v>
      </c>
      <c r="FJ10" s="5" t="str">
        <f t="shared" si="44"/>
        <v>Identifica y reconoce sus pricipales deberes y derechos dentro y fuera  de la Institución educativa.</v>
      </c>
    </row>
    <row r="11" spans="1:166">
      <c r="A11" s="5">
        <v>10</v>
      </c>
      <c r="B11" s="5" t="s">
        <v>80</v>
      </c>
      <c r="C11" s="6">
        <v>1043682927</v>
      </c>
      <c r="D11" s="5" t="s">
        <v>68</v>
      </c>
      <c r="E11" s="5" t="s">
        <v>69</v>
      </c>
      <c r="F11" s="5" t="s">
        <v>70</v>
      </c>
      <c r="G11" s="5" t="s">
        <v>71</v>
      </c>
      <c r="H11" s="5">
        <v>2026</v>
      </c>
      <c r="I11" s="5">
        <v>4</v>
      </c>
      <c r="J11" s="7">
        <v>2.4</v>
      </c>
      <c r="K11" s="7">
        <v>2.5</v>
      </c>
      <c r="L11" s="7">
        <v>2.6</v>
      </c>
      <c r="M11" s="5">
        <f t="shared" si="0"/>
        <v>2.5</v>
      </c>
      <c r="N11" s="5" t="str">
        <f t="shared" si="1"/>
        <v>BAJO</v>
      </c>
      <c r="O11" s="5">
        <v>1</v>
      </c>
      <c r="P11" s="7">
        <v>3.1</v>
      </c>
      <c r="Q11" s="7">
        <v>3.1</v>
      </c>
      <c r="R11" s="7">
        <v>3.1</v>
      </c>
      <c r="S11" s="5">
        <f t="shared" si="2"/>
        <v>3.0999999999999996</v>
      </c>
      <c r="T11" s="5" t="str">
        <f t="shared" si="3"/>
        <v>BASICO</v>
      </c>
      <c r="U11" s="5">
        <v>4</v>
      </c>
      <c r="V11" s="7">
        <v>3</v>
      </c>
      <c r="W11" s="7">
        <v>3</v>
      </c>
      <c r="X11" s="7">
        <v>3</v>
      </c>
      <c r="Y11" s="5">
        <f t="shared" si="4"/>
        <v>3</v>
      </c>
      <c r="Z11" s="5" t="str">
        <f t="shared" si="5"/>
        <v>BASICO</v>
      </c>
      <c r="AA11" s="5">
        <v>1</v>
      </c>
      <c r="AB11" s="7">
        <v>2.8</v>
      </c>
      <c r="AC11" s="7">
        <v>2.8</v>
      </c>
      <c r="AD11" s="7">
        <v>2.8</v>
      </c>
      <c r="AE11" s="5">
        <f t="shared" si="6"/>
        <v>2.8</v>
      </c>
      <c r="AF11" s="5" t="str">
        <f t="shared" si="7"/>
        <v>BAJO</v>
      </c>
      <c r="AG11" s="5">
        <v>2</v>
      </c>
      <c r="AH11" s="8">
        <v>2</v>
      </c>
      <c r="AI11" s="8">
        <v>3</v>
      </c>
      <c r="AJ11" s="8">
        <v>3</v>
      </c>
      <c r="AK11" s="5">
        <f t="shared" si="8"/>
        <v>2.7</v>
      </c>
      <c r="AL11" s="5" t="str">
        <f t="shared" si="9"/>
        <v>BAJO</v>
      </c>
      <c r="AM11" s="5">
        <v>1</v>
      </c>
      <c r="AN11" s="8">
        <v>2</v>
      </c>
      <c r="AO11" s="8">
        <v>3</v>
      </c>
      <c r="AP11" s="8">
        <v>3</v>
      </c>
      <c r="AQ11" s="5">
        <f t="shared" si="10"/>
        <v>2.7</v>
      </c>
      <c r="AR11" s="5" t="str">
        <f t="shared" si="11"/>
        <v>BAJO</v>
      </c>
      <c r="AS11" s="5">
        <v>4</v>
      </c>
      <c r="AT11" s="7">
        <v>2.5</v>
      </c>
      <c r="AU11" s="7">
        <v>2.5</v>
      </c>
      <c r="AV11" s="7">
        <v>2.5</v>
      </c>
      <c r="AW11" s="5">
        <f t="shared" si="12"/>
        <v>2.5</v>
      </c>
      <c r="AX11" s="5" t="str">
        <f t="shared" si="13"/>
        <v>BAJO</v>
      </c>
      <c r="AY11" s="5">
        <v>1</v>
      </c>
      <c r="AZ11" s="7">
        <v>3.5</v>
      </c>
      <c r="BA11" s="7">
        <v>3.5</v>
      </c>
      <c r="BB11" s="7">
        <v>3.5</v>
      </c>
      <c r="BC11" s="5">
        <f t="shared" si="14"/>
        <v>3.5</v>
      </c>
      <c r="BD11" s="5" t="str">
        <f t="shared" si="15"/>
        <v>BASICO</v>
      </c>
      <c r="BE11" s="7">
        <v>2</v>
      </c>
      <c r="BF11" s="7">
        <v>2</v>
      </c>
      <c r="BG11" s="7">
        <v>2</v>
      </c>
      <c r="BH11" s="7">
        <v>2</v>
      </c>
      <c r="BI11" s="5">
        <f t="shared" si="16"/>
        <v>2</v>
      </c>
      <c r="BJ11" s="5" t="str">
        <f t="shared" si="17"/>
        <v>BAJO</v>
      </c>
      <c r="BK11" s="5">
        <v>1</v>
      </c>
      <c r="BL11" s="7">
        <v>2</v>
      </c>
      <c r="BM11" s="7">
        <v>2</v>
      </c>
      <c r="BN11" s="7">
        <v>2</v>
      </c>
      <c r="BO11" s="5">
        <f t="shared" si="18"/>
        <v>2</v>
      </c>
      <c r="BP11" s="5" t="str">
        <f t="shared" si="19"/>
        <v>BAJO</v>
      </c>
      <c r="BQ11" s="7">
        <v>2</v>
      </c>
      <c r="BR11" s="7">
        <v>2</v>
      </c>
      <c r="BS11" s="7">
        <v>2</v>
      </c>
      <c r="BT11" s="7">
        <v>2</v>
      </c>
      <c r="BU11" s="5">
        <f t="shared" si="20"/>
        <v>2</v>
      </c>
      <c r="BV11" s="5" t="str">
        <f t="shared" si="21"/>
        <v>BAJO</v>
      </c>
      <c r="BW11" s="5">
        <v>1</v>
      </c>
      <c r="BX11" s="7">
        <v>2</v>
      </c>
      <c r="BY11" s="7">
        <v>2</v>
      </c>
      <c r="BZ11" s="7">
        <v>2</v>
      </c>
      <c r="CA11" s="5">
        <f t="shared" si="22"/>
        <v>2</v>
      </c>
      <c r="CB11" s="5" t="str">
        <f t="shared" si="23"/>
        <v>BAJO</v>
      </c>
      <c r="CC11" s="5">
        <v>1</v>
      </c>
      <c r="CD11" s="7">
        <v>3</v>
      </c>
      <c r="CE11" s="7">
        <v>3</v>
      </c>
      <c r="CF11" s="7">
        <v>3</v>
      </c>
      <c r="CG11" s="5">
        <f t="shared" si="24"/>
        <v>3</v>
      </c>
      <c r="CH11" s="5" t="str">
        <f t="shared" si="25"/>
        <v>BASICO</v>
      </c>
      <c r="CI11" s="5">
        <v>1</v>
      </c>
      <c r="CJ11" s="7">
        <v>3.5</v>
      </c>
      <c r="CK11" s="7">
        <v>3.5</v>
      </c>
      <c r="CL11" s="7">
        <v>3.5</v>
      </c>
      <c r="CM11" s="5">
        <f t="shared" si="26"/>
        <v>3.5</v>
      </c>
      <c r="CN11" s="5" t="str">
        <f t="shared" si="27"/>
        <v>BASICO</v>
      </c>
      <c r="CO11" s="5">
        <v>1</v>
      </c>
      <c r="CP11" s="7">
        <v>3</v>
      </c>
      <c r="CQ11" s="7">
        <v>3</v>
      </c>
      <c r="CR11" s="7">
        <v>3</v>
      </c>
      <c r="CS11" s="5">
        <f t="shared" si="28"/>
        <v>3</v>
      </c>
      <c r="CT11" s="5" t="str">
        <f t="shared" si="29"/>
        <v>BASICO</v>
      </c>
      <c r="CU11" s="5">
        <v>2</v>
      </c>
      <c r="CV11" s="7">
        <v>2</v>
      </c>
      <c r="CW11" s="7">
        <v>2</v>
      </c>
      <c r="CX11" s="7">
        <v>2</v>
      </c>
      <c r="CY11" s="5">
        <f t="shared" si="30"/>
        <v>2</v>
      </c>
      <c r="CZ11" s="5" t="str">
        <f t="shared" si="31"/>
        <v>BAJO</v>
      </c>
      <c r="DA11" s="5">
        <v>2</v>
      </c>
      <c r="DB11" s="7">
        <v>3.5</v>
      </c>
      <c r="DC11" s="7">
        <v>3</v>
      </c>
      <c r="DD11" s="7">
        <v>3.2</v>
      </c>
      <c r="DE11" s="5">
        <f t="shared" si="32"/>
        <v>3.21</v>
      </c>
      <c r="DF11" s="5" t="str">
        <f t="shared" si="33"/>
        <v>BASICO</v>
      </c>
      <c r="DG11" s="5">
        <v>0</v>
      </c>
      <c r="DH11" s="7"/>
      <c r="DI11" s="5" t="str">
        <f t="shared" si="34"/>
        <v>BAJO</v>
      </c>
      <c r="DJ11" s="5">
        <f t="shared" si="35"/>
        <v>2.7193750000000003</v>
      </c>
      <c r="DK11" s="5" t="str">
        <f t="shared" si="36"/>
        <v>Comprende el concepto de números reales, su relación de orden y las propiedades de sus operaciones, así como las relaciones de semejanza y congruencia de distintas figuras geométricas.</v>
      </c>
      <c r="DL11" s="5" t="str">
        <f t="shared" ref="DL11:FJ11" si="45">DL10</f>
        <v>Aplica correctamente las propiedades de las operaciones de números reales y expresiones algebraicas en la resolución de problemas.</v>
      </c>
      <c r="DM11" s="5" t="str">
        <f t="shared" si="45"/>
        <v>Valora el uso del pensamiento lógico a la hora de plantear y resolver problemas de las matemáticas y de la vida cotidiana.</v>
      </c>
      <c r="DN11" s="5" t="str">
        <f t="shared" si="4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1" s="5" t="str">
        <f t="shared" si="45"/>
        <v>Organiza y analiza datos mediante la construcción de tablas de frecuencias y diagramas estadísticos, identificando variables aleatorias y utilizando estas representaciones para resolver situaciones problema.</v>
      </c>
      <c r="DP11" s="5" t="str">
        <f t="shared" si="45"/>
        <v>Muestra disposición y responsabilidad en el manejo y análisis de datos, participando activamente en actividades individuales y colaborativas, y comunicando información estadística con claridad y sentido crítico.</v>
      </c>
      <c r="DQ11" s="5" t="str">
        <f t="shared" si="45"/>
        <v>Analiza las características de la literatura prehispánica y la literatura del descubrimiento y la conquista en Colombia identificando sus elementos fundamentales y su impacto en la cultura y el lenguaje actual.</v>
      </c>
      <c r="DR11" s="5" t="str">
        <f t="shared" si="45"/>
        <v>Realiza comprensión lectora cuando analiza un texto desde el discurso de la Enunciación e identifica la función de cada uno de sus componentes.
Responde preguntas en los tres niveles de lectura a una leyenda del Caribe.</v>
      </c>
      <c r="DS11" s="5" t="str">
        <f t="shared" si="45"/>
        <v>Muestra disposición para participar activamente en las clases, promoviendo el respeto por las ideas ajenas y reconociendo la importancia de la precisión como una herramienta clave para una comunicación</v>
      </c>
      <c r="DT11" s="5" t="str">
        <f t="shared" si="45"/>
        <v>Comprende el contenido del cuento A la deriva, identificando su tema central, la secuencia de los hechos, los personajes y las ideas explícitas e implícitas del texto.</v>
      </c>
      <c r="DU11" s="5" t="str">
        <f t="shared" si="45"/>
        <v>Analiza críticamente el cuento A la deriva mediante la identificación de información literal, inferencial y crítica, sustentando sus respuestas de forma oral y escrita.</v>
      </c>
      <c r="DV11" s="5" t="str">
        <f t="shared" si="45"/>
        <v>Valora la lectura literaria como una oportunidad para reflexionar sobre la vida, la naturaleza y la condición humana, participando con interés, respeto y sentido crítico en las actividades propuestas.</v>
      </c>
      <c r="DW11" s="5" t="str">
        <f t="shared" si="45"/>
        <v>Comprende y reconoce vocabulario y estructuras basicas del ingles para interpretar textos cortos y conversaciones sobre temas cotidianos de la vida diaria.</v>
      </c>
      <c r="DX11" s="5" t="str">
        <f t="shared" si="45"/>
        <v>Produce de forma oral y escrita frases y parrafos cortos en Ingles, utilizando correctamente las estructuras conocidas para describir rutinas, narrar experiencias y participar en conversaciones.</v>
      </c>
      <c r="DY11" s="5" t="str">
        <f t="shared" si="45"/>
        <v>Muestra disposicion positiva hacia el aprendizaje del Ingles participando activamente en clase.</v>
      </c>
      <c r="DZ11" s="5" t="str">
        <f t="shared" si="45"/>
        <v>Identifica vocabulario en Ingles  de situaciones cotidianas.</v>
      </c>
      <c r="EA11" s="5" t="str">
        <f t="shared" si="45"/>
        <v>Participa en actividades utilizando vocabulario aprendido para expresar gustos,emociones y necesidades.</v>
      </c>
      <c r="EB11" s="5" t="str">
        <f t="shared" si="45"/>
        <v>Respeta la opinion de los demas, muestra disposicion para participar en actividades orales.</v>
      </c>
      <c r="EC11" s="5" t="str">
        <f t="shared" si="45"/>
        <v>Identifica la conformación y funcionamiento del sistema inmunolófico y diferencia las característics de los estados de la materia.</v>
      </c>
      <c r="ED11" s="5" t="str">
        <f t="shared" si="45"/>
        <v>Reconoce experimentalmente las características de materiales en los diferentes estados de la materia.</v>
      </c>
      <c r="EE11" s="5" t="str">
        <f t="shared" si="45"/>
        <v xml:space="preserve">Valora la importancia de tener habitos saludables, para lograr el mantenimiento saludable del sistema inmune. </v>
      </c>
      <c r="EF11" s="5" t="str">
        <f t="shared" si="45"/>
        <v>Describe correctamente la secuencia de eventos biologicos de la fecundacion,incluyendo las recciones acrosomicas,la funcion de gametos y la formacion de gametos.</v>
      </c>
      <c r="EG11" s="5" t="str">
        <f t="shared" si="45"/>
        <v>Mide la capacidad del labolatrio para lograr la fecundacion exitosa de los ovulos con el espermatozoide.</v>
      </c>
      <c r="EH11" s="5" t="str">
        <f t="shared" si="45"/>
        <v>Valora la importancia del cuidado del cuerpo y de la salud reproductiva como la base para una fecundacion saludable.</v>
      </c>
      <c r="EI11" s="5" t="str">
        <f t="shared" si="45"/>
        <v>Explico las principales caracteristicas de algunas revoluciones de los siglos XVIII y XIX (Revolucion francesa, Industrial...)</v>
      </c>
      <c r="EJ11" s="5" t="str">
        <f t="shared" si="45"/>
        <v>Analiza las causas y consecuencias de procesos historicos como la Revolucion Industrial y Francesa.</v>
      </c>
      <c r="EK11" s="5" t="str">
        <f t="shared" si="45"/>
        <v>Muestra interes y curiosidad por comprender los procesos historicos y su impacto en la sociedad.</v>
      </c>
      <c r="EL11" s="5" t="str">
        <f t="shared" si="45"/>
        <v xml:space="preserve">Identifica los procesos historicos de algunas revoluciones de los siglos XVIII y XIX </v>
      </c>
      <c r="EM11" s="5">
        <f t="shared" si="45"/>
        <v>0</v>
      </c>
      <c r="EN11" s="5">
        <f t="shared" si="45"/>
        <v>0</v>
      </c>
      <c r="EO11" s="5" t="str">
        <f t="shared" si="45"/>
        <v xml:space="preserve">Comprende la distribucion espacial de la poblacion antes y despues de las revoluciones </v>
      </c>
      <c r="EP11" s="5" t="str">
        <f t="shared" si="45"/>
        <v xml:space="preserve">Ubica en mapas las regiones donde se desarrollaron las principales revoluciones y explica sus caracteristicas geograficas </v>
      </c>
      <c r="EQ11" s="5" t="str">
        <f t="shared" si="45"/>
        <v>Muestra interes por comprender la relacion entre sociedad, economia y territorio</v>
      </c>
      <c r="ER11" s="5" t="str">
        <f t="shared" si="45"/>
        <v>Comprende el concepto de cultura de paz y su importancia en la sociedad</v>
      </c>
      <c r="ES11" s="5" t="str">
        <f t="shared" si="45"/>
        <v>Practica normas de convivencia en diferentes espacios( aula, hogar, comunidad)</v>
      </c>
      <c r="ET11" s="5" t="str">
        <f t="shared" si="45"/>
        <v>Muestra actitud de respeto hacia la diversidad cuktural, social y de pensamiento</v>
      </c>
      <c r="EU11" s="5">
        <f t="shared" si="45"/>
        <v>0</v>
      </c>
      <c r="EV11" s="5">
        <f t="shared" si="45"/>
        <v>0</v>
      </c>
      <c r="EW11" s="5">
        <f t="shared" si="45"/>
        <v>0</v>
      </c>
      <c r="EX11" s="5">
        <f t="shared" si="45"/>
        <v>0</v>
      </c>
      <c r="EY11" s="5">
        <f t="shared" si="45"/>
        <v>0</v>
      </c>
      <c r="EZ11" s="5">
        <f t="shared" si="45"/>
        <v>0</v>
      </c>
      <c r="FA11" s="5">
        <f t="shared" si="45"/>
        <v>0</v>
      </c>
      <c r="FB11" s="5">
        <f t="shared" si="45"/>
        <v>0</v>
      </c>
      <c r="FC11" s="5">
        <f t="shared" si="45"/>
        <v>0</v>
      </c>
      <c r="FD11" s="5" t="str">
        <f t="shared" si="45"/>
        <v xml:space="preserve"> Identifica las expresiones motrices relacionadas con el juego del voleibol,  como una oportunidad para mejorar la salud, la estética y las relaciones con los demás.</v>
      </c>
      <c r="FE11" s="5" t="str">
        <f t="shared" si="45"/>
        <v>Pone en práctica los fundamentos básicos del voleibol.</v>
      </c>
      <c r="FF11" s="5" t="str">
        <f t="shared" si="45"/>
        <v>Muestra  responsabilidad y buena actitud al realizar el juego de voleibol.</v>
      </c>
      <c r="FG11" s="5" t="str">
        <f t="shared" si="45"/>
        <v>Comprende el concepto de variable como espacio de almacenamiento de datos y reconoce el uso de estructuras condicionales (si, si-no) para la toma de decisiones en un programa.</v>
      </c>
      <c r="FH11" s="5" t="str">
        <f t="shared" si="45"/>
        <v>Diseña y desarrolla programas que utilizan variables y estructuras condicionales para resolver problemas, evaluando condiciones y generando respuestas según diferentes situaciones.</v>
      </c>
      <c r="FI11" s="5" t="str">
        <f t="shared" si="45"/>
        <v>Muestra pensamiento lógico, perseverancia y actitud crítica al analizar errores y proponer soluciones en la construcción de programas con variables y condicionales.</v>
      </c>
      <c r="FJ11" s="5" t="str">
        <f t="shared" si="45"/>
        <v>Identifica y reconoce sus pricipales deberes y derechos dentro y fuera  de la Institución educativa.</v>
      </c>
    </row>
    <row r="12" spans="1:166">
      <c r="A12" s="5">
        <v>11</v>
      </c>
      <c r="B12" s="5" t="s">
        <v>81</v>
      </c>
      <c r="C12" s="6">
        <v>1143147694</v>
      </c>
      <c r="D12" s="5" t="s">
        <v>68</v>
      </c>
      <c r="E12" s="5" t="s">
        <v>69</v>
      </c>
      <c r="F12" s="5" t="s">
        <v>70</v>
      </c>
      <c r="G12" s="5" t="s">
        <v>71</v>
      </c>
      <c r="H12" s="5">
        <v>2026</v>
      </c>
      <c r="I12" s="5">
        <v>4</v>
      </c>
      <c r="J12" s="7">
        <v>4</v>
      </c>
      <c r="K12" s="7">
        <v>4</v>
      </c>
      <c r="L12" s="7">
        <v>4</v>
      </c>
      <c r="M12" s="5">
        <f t="shared" si="0"/>
        <v>4</v>
      </c>
      <c r="N12" s="5" t="str">
        <f t="shared" si="1"/>
        <v>ALTO</v>
      </c>
      <c r="O12" s="5">
        <v>1</v>
      </c>
      <c r="P12" s="7">
        <v>3.3</v>
      </c>
      <c r="Q12" s="7">
        <v>3.3</v>
      </c>
      <c r="R12" s="7">
        <v>3.3</v>
      </c>
      <c r="S12" s="5">
        <f t="shared" si="2"/>
        <v>3.3</v>
      </c>
      <c r="T12" s="5" t="str">
        <f t="shared" si="3"/>
        <v>BASICO</v>
      </c>
      <c r="U12" s="5">
        <v>4</v>
      </c>
      <c r="V12" s="7">
        <v>5</v>
      </c>
      <c r="W12" s="7">
        <v>5</v>
      </c>
      <c r="X12" s="7">
        <v>4.7</v>
      </c>
      <c r="Y12" s="5">
        <f t="shared" si="4"/>
        <v>4.91</v>
      </c>
      <c r="Z12" s="5" t="str">
        <f t="shared" si="5"/>
        <v>SUPERIOR</v>
      </c>
      <c r="AA12" s="5">
        <v>1</v>
      </c>
      <c r="AB12" s="7">
        <v>4.7</v>
      </c>
      <c r="AC12" s="7">
        <v>4.7</v>
      </c>
      <c r="AD12" s="7">
        <v>4.7</v>
      </c>
      <c r="AE12" s="5">
        <f t="shared" si="6"/>
        <v>4.7</v>
      </c>
      <c r="AF12" s="5" t="str">
        <f t="shared" si="7"/>
        <v>SUPERIOR</v>
      </c>
      <c r="AG12" s="5">
        <v>2</v>
      </c>
      <c r="AH12" s="8">
        <v>4</v>
      </c>
      <c r="AI12" s="8">
        <v>3.5</v>
      </c>
      <c r="AJ12" s="8">
        <v>3.5</v>
      </c>
      <c r="AK12" s="5">
        <f t="shared" si="8"/>
        <v>3.6500000000000004</v>
      </c>
      <c r="AL12" s="5" t="str">
        <f t="shared" si="9"/>
        <v>BASICO</v>
      </c>
      <c r="AM12" s="5">
        <v>1</v>
      </c>
      <c r="AN12" s="8">
        <v>4</v>
      </c>
      <c r="AO12" s="8">
        <v>3.5</v>
      </c>
      <c r="AP12" s="8">
        <v>3.5</v>
      </c>
      <c r="AQ12" s="5">
        <f t="shared" si="10"/>
        <v>3.6500000000000004</v>
      </c>
      <c r="AR12" s="5" t="str">
        <f t="shared" si="11"/>
        <v>BASICO</v>
      </c>
      <c r="AS12" s="5">
        <v>4</v>
      </c>
      <c r="AT12" s="7">
        <v>3.8</v>
      </c>
      <c r="AU12" s="7">
        <v>3.8</v>
      </c>
      <c r="AV12" s="7">
        <v>3.8</v>
      </c>
      <c r="AW12" s="5">
        <f t="shared" si="12"/>
        <v>3.8</v>
      </c>
      <c r="AX12" s="5" t="str">
        <f t="shared" si="13"/>
        <v>BASICO</v>
      </c>
      <c r="AY12" s="5">
        <v>1</v>
      </c>
      <c r="AZ12" s="7">
        <v>5</v>
      </c>
      <c r="BA12" s="7">
        <v>5</v>
      </c>
      <c r="BB12" s="7">
        <v>5</v>
      </c>
      <c r="BC12" s="5">
        <f t="shared" si="14"/>
        <v>5</v>
      </c>
      <c r="BD12" s="5" t="str">
        <f t="shared" si="15"/>
        <v>SUPERIOR</v>
      </c>
      <c r="BE12" s="7">
        <v>2</v>
      </c>
      <c r="BF12" s="7">
        <v>3.5</v>
      </c>
      <c r="BG12" s="7">
        <v>3.4</v>
      </c>
      <c r="BH12" s="7">
        <v>36</v>
      </c>
      <c r="BI12" s="5">
        <f t="shared" si="16"/>
        <v>13.209999999999999</v>
      </c>
      <c r="BJ12" s="5" t="b">
        <f t="shared" si="17"/>
        <v>0</v>
      </c>
      <c r="BK12" s="5">
        <v>1</v>
      </c>
      <c r="BL12" s="7">
        <v>3.5</v>
      </c>
      <c r="BM12" s="7">
        <v>3.6</v>
      </c>
      <c r="BN12" s="7">
        <v>3.8</v>
      </c>
      <c r="BO12" s="5">
        <f t="shared" si="18"/>
        <v>3.63</v>
      </c>
      <c r="BP12" s="5" t="str">
        <f t="shared" si="19"/>
        <v>BASICO</v>
      </c>
      <c r="BQ12" s="5">
        <v>1</v>
      </c>
      <c r="BR12" s="7">
        <v>3.5</v>
      </c>
      <c r="BS12" s="7">
        <v>3.6</v>
      </c>
      <c r="BT12" s="7">
        <v>3.8</v>
      </c>
      <c r="BU12" s="5">
        <f t="shared" si="20"/>
        <v>3.63</v>
      </c>
      <c r="BV12" s="5" t="str">
        <f t="shared" si="21"/>
        <v>BASICO</v>
      </c>
      <c r="BW12" s="5">
        <v>1</v>
      </c>
      <c r="BX12" s="7">
        <v>3.5</v>
      </c>
      <c r="BY12" s="7">
        <v>3.6</v>
      </c>
      <c r="BZ12" s="7">
        <v>3.8</v>
      </c>
      <c r="CA12" s="5">
        <f t="shared" si="22"/>
        <v>3.63</v>
      </c>
      <c r="CB12" s="5" t="str">
        <f t="shared" si="23"/>
        <v>BASICO</v>
      </c>
      <c r="CC12" s="5">
        <v>1</v>
      </c>
      <c r="CD12" s="7">
        <v>4</v>
      </c>
      <c r="CE12" s="7">
        <v>4.2</v>
      </c>
      <c r="CF12" s="7">
        <v>4.2</v>
      </c>
      <c r="CG12" s="5">
        <f t="shared" si="24"/>
        <v>4.1399999999999997</v>
      </c>
      <c r="CH12" s="5" t="str">
        <f t="shared" si="25"/>
        <v>ALTO</v>
      </c>
      <c r="CI12" s="5">
        <v>1</v>
      </c>
      <c r="CJ12" s="7">
        <v>4.2</v>
      </c>
      <c r="CK12" s="7">
        <v>4.2</v>
      </c>
      <c r="CL12" s="7">
        <v>4.2</v>
      </c>
      <c r="CM12" s="5">
        <f t="shared" si="26"/>
        <v>4.2</v>
      </c>
      <c r="CN12" s="5" t="str">
        <f t="shared" si="27"/>
        <v>ALTO</v>
      </c>
      <c r="CO12" s="5">
        <v>1</v>
      </c>
      <c r="CP12" s="7">
        <v>5</v>
      </c>
      <c r="CQ12" s="7">
        <v>5</v>
      </c>
      <c r="CR12" s="7">
        <v>5</v>
      </c>
      <c r="CS12" s="5">
        <f t="shared" si="28"/>
        <v>5</v>
      </c>
      <c r="CT12" s="5" t="str">
        <f t="shared" si="29"/>
        <v>SUPERIOR</v>
      </c>
      <c r="CU12" s="5">
        <v>2</v>
      </c>
      <c r="CV12" s="7">
        <v>3.5</v>
      </c>
      <c r="CW12" s="7">
        <v>3.5</v>
      </c>
      <c r="CX12" s="7">
        <v>3.5</v>
      </c>
      <c r="CY12" s="5">
        <f t="shared" si="30"/>
        <v>3.5</v>
      </c>
      <c r="CZ12" s="5" t="str">
        <f t="shared" si="31"/>
        <v>BASICO</v>
      </c>
      <c r="DA12" s="5">
        <v>2</v>
      </c>
      <c r="DB12" s="7">
        <v>3.5</v>
      </c>
      <c r="DC12" s="7">
        <v>3.6</v>
      </c>
      <c r="DD12" s="7">
        <v>3.8</v>
      </c>
      <c r="DE12" s="5">
        <f t="shared" si="32"/>
        <v>3.63</v>
      </c>
      <c r="DF12" s="5" t="str">
        <f t="shared" si="33"/>
        <v>BASICO</v>
      </c>
      <c r="DG12" s="5">
        <v>0</v>
      </c>
      <c r="DH12" s="7"/>
      <c r="DI12" s="5" t="str">
        <f t="shared" si="34"/>
        <v>BAJO</v>
      </c>
      <c r="DJ12" s="5">
        <f t="shared" si="35"/>
        <v>4.6218750000000002</v>
      </c>
      <c r="DK12" s="5" t="str">
        <f t="shared" si="36"/>
        <v>Comprende el concepto de números reales, su relación de orden y las propiedades de sus operaciones, así como las relaciones de semejanza y congruencia de distintas figuras geométricas.</v>
      </c>
      <c r="DL12" s="5" t="str">
        <f t="shared" ref="DL12:FJ12" si="46">DL11</f>
        <v>Aplica correctamente las propiedades de las operaciones de números reales y expresiones algebraicas en la resolución de problemas.</v>
      </c>
      <c r="DM12" s="5" t="str">
        <f t="shared" si="46"/>
        <v>Valora el uso del pensamiento lógico a la hora de plantear y resolver problemas de las matemáticas y de la vida cotidiana.</v>
      </c>
      <c r="DN12" s="5" t="str">
        <f t="shared" si="4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2" s="5" t="str">
        <f t="shared" si="46"/>
        <v>Organiza y analiza datos mediante la construcción de tablas de frecuencias y diagramas estadísticos, identificando variables aleatorias y utilizando estas representaciones para resolver situaciones problema.</v>
      </c>
      <c r="DP12" s="5" t="str">
        <f t="shared" si="46"/>
        <v>Muestra disposición y responsabilidad en el manejo y análisis de datos, participando activamente en actividades individuales y colaborativas, y comunicando información estadística con claridad y sentido crítico.</v>
      </c>
      <c r="DQ12" s="5" t="str">
        <f t="shared" si="46"/>
        <v>Analiza las características de la literatura prehispánica y la literatura del descubrimiento y la conquista en Colombia identificando sus elementos fundamentales y su impacto en la cultura y el lenguaje actual.</v>
      </c>
      <c r="DR12" s="5" t="str">
        <f t="shared" si="46"/>
        <v>Realiza comprensión lectora cuando analiza un texto desde el discurso de la Enunciación e identifica la función de cada uno de sus componentes.
Responde preguntas en los tres niveles de lectura a una leyenda del Caribe.</v>
      </c>
      <c r="DS12" s="5" t="str">
        <f t="shared" si="46"/>
        <v>Muestra disposición para participar activamente en las clases, promoviendo el respeto por las ideas ajenas y reconociendo la importancia de la precisión como una herramienta clave para una comunicación</v>
      </c>
      <c r="DT12" s="5" t="str">
        <f t="shared" si="46"/>
        <v>Comprende el contenido del cuento A la deriva, identificando su tema central, la secuencia de los hechos, los personajes y las ideas explícitas e implícitas del texto.</v>
      </c>
      <c r="DU12" s="5" t="str">
        <f t="shared" si="46"/>
        <v>Analiza críticamente el cuento A la deriva mediante la identificación de información literal, inferencial y crítica, sustentando sus respuestas de forma oral y escrita.</v>
      </c>
      <c r="DV12" s="5" t="str">
        <f t="shared" si="46"/>
        <v>Valora la lectura literaria como una oportunidad para reflexionar sobre la vida, la naturaleza y la condición humana, participando con interés, respeto y sentido crítico en las actividades propuestas.</v>
      </c>
      <c r="DW12" s="5" t="str">
        <f t="shared" si="46"/>
        <v>Comprende y reconoce vocabulario y estructuras basicas del ingles para interpretar textos cortos y conversaciones sobre temas cotidianos de la vida diaria.</v>
      </c>
      <c r="DX12" s="5" t="str">
        <f t="shared" si="46"/>
        <v>Produce de forma oral y escrita frases y parrafos cortos en Ingles, utilizando correctamente las estructuras conocidas para describir rutinas, narrar experiencias y participar en conversaciones.</v>
      </c>
      <c r="DY12" s="5" t="str">
        <f t="shared" si="46"/>
        <v>Muestra disposicion positiva hacia el aprendizaje del Ingles participando activamente en clase.</v>
      </c>
      <c r="DZ12" s="5" t="str">
        <f t="shared" si="46"/>
        <v>Identifica vocabulario en Ingles  de situaciones cotidianas.</v>
      </c>
      <c r="EA12" s="5" t="str">
        <f t="shared" si="46"/>
        <v>Participa en actividades utilizando vocabulario aprendido para expresar gustos,emociones y necesidades.</v>
      </c>
      <c r="EB12" s="5" t="str">
        <f t="shared" si="46"/>
        <v>Respeta la opinion de los demas, muestra disposicion para participar en actividades orales.</v>
      </c>
      <c r="EC12" s="5" t="str">
        <f t="shared" si="46"/>
        <v>Identifica la conformación y funcionamiento del sistema inmunolófico y diferencia las característics de los estados de la materia.</v>
      </c>
      <c r="ED12" s="5" t="str">
        <f t="shared" si="46"/>
        <v>Reconoce experimentalmente las características de materiales en los diferentes estados de la materia.</v>
      </c>
      <c r="EE12" s="5" t="str">
        <f t="shared" si="46"/>
        <v xml:space="preserve">Valora la importancia de tener habitos saludables, para lograr el mantenimiento saludable del sistema inmune. </v>
      </c>
      <c r="EF12" s="5" t="str">
        <f t="shared" si="46"/>
        <v>Describe correctamente la secuencia de eventos biologicos de la fecundacion,incluyendo las recciones acrosomicas,la funcion de gametos y la formacion de gametos.</v>
      </c>
      <c r="EG12" s="5" t="str">
        <f t="shared" si="46"/>
        <v>Mide la capacidad del labolatrio para lograr la fecundacion exitosa de los ovulos con el espermatozoide.</v>
      </c>
      <c r="EH12" s="5" t="str">
        <f t="shared" si="46"/>
        <v>Valora la importancia del cuidado del cuerpo y de la salud reproductiva como la base para una fecundacion saludable.</v>
      </c>
      <c r="EI12" s="5" t="str">
        <f t="shared" si="46"/>
        <v>Explico las principales caracteristicas de algunas revoluciones de los siglos XVIII y XIX (Revolucion francesa, Industrial...)</v>
      </c>
      <c r="EJ12" s="5" t="str">
        <f t="shared" si="46"/>
        <v>Analiza las causas y consecuencias de procesos historicos como la Revolucion Industrial y Francesa.</v>
      </c>
      <c r="EK12" s="5" t="str">
        <f t="shared" si="46"/>
        <v>Muestra interes y curiosidad por comprender los procesos historicos y su impacto en la sociedad.</v>
      </c>
      <c r="EL12" s="5" t="str">
        <f t="shared" si="46"/>
        <v xml:space="preserve">Identifica los procesos historicos de algunas revoluciones de los siglos XVIII y XIX </v>
      </c>
      <c r="EM12" s="5">
        <f t="shared" si="46"/>
        <v>0</v>
      </c>
      <c r="EN12" s="5">
        <f t="shared" si="46"/>
        <v>0</v>
      </c>
      <c r="EO12" s="5" t="str">
        <f t="shared" si="46"/>
        <v xml:space="preserve">Comprende la distribucion espacial de la poblacion antes y despues de las revoluciones </v>
      </c>
      <c r="EP12" s="5" t="str">
        <f t="shared" si="46"/>
        <v xml:space="preserve">Ubica en mapas las regiones donde se desarrollaron las principales revoluciones y explica sus caracteristicas geograficas </v>
      </c>
      <c r="EQ12" s="5" t="str">
        <f t="shared" si="46"/>
        <v>Muestra interes por comprender la relacion entre sociedad, economia y territorio</v>
      </c>
      <c r="ER12" s="5" t="str">
        <f t="shared" si="46"/>
        <v>Comprende el concepto de cultura de paz y su importancia en la sociedad</v>
      </c>
      <c r="ES12" s="5" t="str">
        <f t="shared" si="46"/>
        <v>Practica normas de convivencia en diferentes espacios( aula, hogar, comunidad)</v>
      </c>
      <c r="ET12" s="5" t="str">
        <f t="shared" si="46"/>
        <v>Muestra actitud de respeto hacia la diversidad cuktural, social y de pensamiento</v>
      </c>
      <c r="EU12" s="5">
        <f t="shared" si="46"/>
        <v>0</v>
      </c>
      <c r="EV12" s="5">
        <f t="shared" si="46"/>
        <v>0</v>
      </c>
      <c r="EW12" s="5">
        <f t="shared" si="46"/>
        <v>0</v>
      </c>
      <c r="EX12" s="5">
        <f t="shared" si="46"/>
        <v>0</v>
      </c>
      <c r="EY12" s="5">
        <f t="shared" si="46"/>
        <v>0</v>
      </c>
      <c r="EZ12" s="5">
        <f t="shared" si="46"/>
        <v>0</v>
      </c>
      <c r="FA12" s="5">
        <f t="shared" si="46"/>
        <v>0</v>
      </c>
      <c r="FB12" s="5">
        <f t="shared" si="46"/>
        <v>0</v>
      </c>
      <c r="FC12" s="5">
        <f t="shared" si="46"/>
        <v>0</v>
      </c>
      <c r="FD12" s="5" t="str">
        <f t="shared" si="46"/>
        <v xml:space="preserve"> Identifica las expresiones motrices relacionadas con el juego del voleibol,  como una oportunidad para mejorar la salud, la estética y las relaciones con los demás.</v>
      </c>
      <c r="FE12" s="5" t="str">
        <f t="shared" si="46"/>
        <v>Pone en práctica los fundamentos básicos del voleibol.</v>
      </c>
      <c r="FF12" s="5" t="str">
        <f t="shared" si="46"/>
        <v>Muestra  responsabilidad y buena actitud al realizar el juego de voleibol.</v>
      </c>
      <c r="FG12" s="5" t="str">
        <f t="shared" si="46"/>
        <v>Comprende el concepto de variable como espacio de almacenamiento de datos y reconoce el uso de estructuras condicionales (si, si-no) para la toma de decisiones en un programa.</v>
      </c>
      <c r="FH12" s="5" t="str">
        <f t="shared" si="46"/>
        <v>Diseña y desarrolla programas que utilizan variables y estructuras condicionales para resolver problemas, evaluando condiciones y generando respuestas según diferentes situaciones.</v>
      </c>
      <c r="FI12" s="5" t="str">
        <f t="shared" si="46"/>
        <v>Muestra pensamiento lógico, perseverancia y actitud crítica al analizar errores y proponer soluciones en la construcción de programas con variables y condicionales.</v>
      </c>
      <c r="FJ12" s="5" t="str">
        <f t="shared" si="46"/>
        <v>Identifica y reconoce sus pricipales deberes y derechos dentro y fuera  de la Institución educativa.</v>
      </c>
    </row>
    <row r="13" spans="1:166">
      <c r="A13" s="5">
        <v>12</v>
      </c>
      <c r="B13" s="5" t="s">
        <v>82</v>
      </c>
      <c r="C13" s="6">
        <v>1048078819</v>
      </c>
      <c r="D13" s="5" t="s">
        <v>68</v>
      </c>
      <c r="E13" s="5" t="s">
        <v>69</v>
      </c>
      <c r="F13" s="5" t="s">
        <v>70</v>
      </c>
      <c r="G13" s="5" t="s">
        <v>71</v>
      </c>
      <c r="H13" s="5">
        <v>2026</v>
      </c>
      <c r="I13" s="5">
        <v>4</v>
      </c>
      <c r="J13" s="7">
        <v>3.8</v>
      </c>
      <c r="K13" s="7">
        <v>4</v>
      </c>
      <c r="L13" s="7">
        <v>4.2</v>
      </c>
      <c r="M13" s="5">
        <f t="shared" si="0"/>
        <v>4</v>
      </c>
      <c r="N13" s="5" t="str">
        <f t="shared" si="1"/>
        <v>ALTO</v>
      </c>
      <c r="O13" s="5">
        <v>1</v>
      </c>
      <c r="P13" s="7">
        <v>3.5</v>
      </c>
      <c r="Q13" s="7">
        <v>3.5</v>
      </c>
      <c r="R13" s="7">
        <v>3.5</v>
      </c>
      <c r="S13" s="5">
        <f t="shared" si="2"/>
        <v>3.5</v>
      </c>
      <c r="T13" s="5" t="str">
        <f t="shared" si="3"/>
        <v>BASICO</v>
      </c>
      <c r="U13" s="5">
        <v>4</v>
      </c>
      <c r="V13" s="7">
        <v>3.5</v>
      </c>
      <c r="W13" s="7">
        <v>3</v>
      </c>
      <c r="X13" s="7">
        <v>3.5</v>
      </c>
      <c r="Y13" s="5">
        <f t="shared" si="4"/>
        <v>3.3</v>
      </c>
      <c r="Z13" s="5" t="str">
        <f t="shared" si="5"/>
        <v>BASICO</v>
      </c>
      <c r="AA13" s="5">
        <v>1</v>
      </c>
      <c r="AB13" s="7">
        <v>2.4</v>
      </c>
      <c r="AC13" s="7">
        <v>2.4</v>
      </c>
      <c r="AD13" s="7">
        <v>2.4</v>
      </c>
      <c r="AE13" s="5">
        <f t="shared" si="6"/>
        <v>2.4</v>
      </c>
      <c r="AF13" s="5" t="str">
        <f t="shared" si="7"/>
        <v>BAJO</v>
      </c>
      <c r="AG13" s="5">
        <v>2</v>
      </c>
      <c r="AH13" s="8">
        <v>4</v>
      </c>
      <c r="AI13" s="8">
        <v>4.5</v>
      </c>
      <c r="AJ13" s="8">
        <v>4.5</v>
      </c>
      <c r="AK13" s="5">
        <f t="shared" si="8"/>
        <v>4.3499999999999996</v>
      </c>
      <c r="AL13" s="5" t="str">
        <f t="shared" si="9"/>
        <v>ALTO</v>
      </c>
      <c r="AM13" s="5">
        <v>1</v>
      </c>
      <c r="AN13" s="8">
        <v>4</v>
      </c>
      <c r="AO13" s="8">
        <v>4.5</v>
      </c>
      <c r="AP13" s="8">
        <v>4.5</v>
      </c>
      <c r="AQ13" s="5">
        <f t="shared" si="10"/>
        <v>4.3499999999999996</v>
      </c>
      <c r="AR13" s="5" t="str">
        <f t="shared" si="11"/>
        <v>ALTO</v>
      </c>
      <c r="AS13" s="5">
        <v>4</v>
      </c>
      <c r="AT13" s="7">
        <v>3</v>
      </c>
      <c r="AU13" s="7">
        <v>3</v>
      </c>
      <c r="AV13" s="7">
        <v>3</v>
      </c>
      <c r="AW13" s="5">
        <f t="shared" si="12"/>
        <v>3</v>
      </c>
      <c r="AX13" s="5" t="str">
        <f t="shared" si="13"/>
        <v>BASICO</v>
      </c>
      <c r="AY13" s="5">
        <v>1</v>
      </c>
      <c r="AZ13" s="7">
        <v>4.5</v>
      </c>
      <c r="BA13" s="7">
        <v>4</v>
      </c>
      <c r="BB13" s="7">
        <v>4</v>
      </c>
      <c r="BC13" s="5">
        <f t="shared" si="14"/>
        <v>4.1500000000000004</v>
      </c>
      <c r="BD13" s="5" t="str">
        <f t="shared" si="15"/>
        <v>ALTO</v>
      </c>
      <c r="BE13" s="7">
        <v>2</v>
      </c>
      <c r="BF13" s="7">
        <v>3.8</v>
      </c>
      <c r="BG13" s="7">
        <v>3.5</v>
      </c>
      <c r="BH13" s="7">
        <v>4</v>
      </c>
      <c r="BI13" s="5">
        <f t="shared" si="16"/>
        <v>3.74</v>
      </c>
      <c r="BJ13" s="7">
        <v>3.5</v>
      </c>
      <c r="BK13" s="7">
        <v>3.8</v>
      </c>
      <c r="BL13" s="7">
        <v>4</v>
      </c>
      <c r="BM13" s="7">
        <v>3.5</v>
      </c>
      <c r="BN13" s="7">
        <v>3.8</v>
      </c>
      <c r="BO13" s="7">
        <v>4</v>
      </c>
      <c r="BP13" s="5" t="str">
        <f t="shared" si="19"/>
        <v>ALTO</v>
      </c>
      <c r="BQ13" s="5">
        <v>1</v>
      </c>
      <c r="BR13" s="7">
        <v>3.5</v>
      </c>
      <c r="BS13" s="7">
        <v>3.8</v>
      </c>
      <c r="BT13" s="7">
        <v>4</v>
      </c>
      <c r="BU13" s="5">
        <f t="shared" si="20"/>
        <v>3.7700000000000005</v>
      </c>
      <c r="BV13" s="5" t="str">
        <f t="shared" si="21"/>
        <v>BASICO</v>
      </c>
      <c r="BW13" s="5">
        <v>1</v>
      </c>
      <c r="BX13" s="7">
        <v>3.5</v>
      </c>
      <c r="BY13" s="7">
        <v>3.8</v>
      </c>
      <c r="BZ13" s="7">
        <v>4</v>
      </c>
      <c r="CA13" s="5">
        <f t="shared" si="22"/>
        <v>3.7700000000000005</v>
      </c>
      <c r="CB13" s="5" t="str">
        <f t="shared" si="23"/>
        <v>BASICO</v>
      </c>
      <c r="CC13" s="5">
        <v>1</v>
      </c>
      <c r="CD13" s="7">
        <v>4.7</v>
      </c>
      <c r="CE13" s="7">
        <v>4.5</v>
      </c>
      <c r="CF13" s="7">
        <v>4.5</v>
      </c>
      <c r="CG13" s="5">
        <f t="shared" si="24"/>
        <v>4.5599999999999996</v>
      </c>
      <c r="CH13" s="5" t="str">
        <f t="shared" si="25"/>
        <v>SUPERIOR</v>
      </c>
      <c r="CI13" s="5">
        <v>1</v>
      </c>
      <c r="CJ13" s="7">
        <v>4</v>
      </c>
      <c r="CK13" s="7">
        <v>4</v>
      </c>
      <c r="CL13" s="7">
        <v>4</v>
      </c>
      <c r="CM13" s="5">
        <f t="shared" si="26"/>
        <v>4</v>
      </c>
      <c r="CN13" s="5" t="str">
        <f t="shared" si="27"/>
        <v>ALTO</v>
      </c>
      <c r="CO13" s="5">
        <v>1</v>
      </c>
      <c r="CP13" s="7">
        <v>5</v>
      </c>
      <c r="CQ13" s="7">
        <v>5</v>
      </c>
      <c r="CR13" s="7">
        <v>5</v>
      </c>
      <c r="CS13" s="5">
        <f t="shared" si="28"/>
        <v>5</v>
      </c>
      <c r="CT13" s="5" t="str">
        <f t="shared" si="29"/>
        <v>SUPERIOR</v>
      </c>
      <c r="CU13" s="5">
        <v>2</v>
      </c>
      <c r="CV13" s="7">
        <v>3</v>
      </c>
      <c r="CW13" s="7">
        <v>3</v>
      </c>
      <c r="CX13" s="7">
        <v>3</v>
      </c>
      <c r="CY13" s="5">
        <f t="shared" si="30"/>
        <v>3</v>
      </c>
      <c r="CZ13" s="5" t="str">
        <f t="shared" si="31"/>
        <v>BASICO</v>
      </c>
      <c r="DA13" s="5">
        <v>2</v>
      </c>
      <c r="DB13" s="7">
        <v>3.5</v>
      </c>
      <c r="DC13" s="7">
        <v>3.5</v>
      </c>
      <c r="DD13" s="7">
        <v>3.5</v>
      </c>
      <c r="DE13" s="5">
        <f t="shared" si="32"/>
        <v>3.5</v>
      </c>
      <c r="DF13" s="5" t="str">
        <f t="shared" si="33"/>
        <v>BASICO</v>
      </c>
      <c r="DG13" s="5">
        <v>0</v>
      </c>
      <c r="DH13" s="7"/>
      <c r="DI13" s="5" t="str">
        <f t="shared" si="34"/>
        <v>BAJO</v>
      </c>
      <c r="DJ13" s="5">
        <f t="shared" si="35"/>
        <v>3.7887500000000003</v>
      </c>
      <c r="DK13" s="5" t="str">
        <f t="shared" si="36"/>
        <v>Comprende el concepto de números reales, su relación de orden y las propiedades de sus operaciones, así como las relaciones de semejanza y congruencia de distintas figuras geométricas.</v>
      </c>
      <c r="DL13" s="5" t="str">
        <f t="shared" ref="DL13:FJ13" si="47">DL12</f>
        <v>Aplica correctamente las propiedades de las operaciones de números reales y expresiones algebraicas en la resolución de problemas.</v>
      </c>
      <c r="DM13" s="5" t="str">
        <f t="shared" si="47"/>
        <v>Valora el uso del pensamiento lógico a la hora de plantear y resolver problemas de las matemáticas y de la vida cotidiana.</v>
      </c>
      <c r="DN13" s="5" t="str">
        <f t="shared" si="4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3" s="5" t="str">
        <f t="shared" si="47"/>
        <v>Organiza y analiza datos mediante la construcción de tablas de frecuencias y diagramas estadísticos, identificando variables aleatorias y utilizando estas representaciones para resolver situaciones problema.</v>
      </c>
      <c r="DP13" s="5" t="str">
        <f t="shared" si="47"/>
        <v>Muestra disposición y responsabilidad en el manejo y análisis de datos, participando activamente en actividades individuales y colaborativas, y comunicando información estadística con claridad y sentido crítico.</v>
      </c>
      <c r="DQ13" s="5" t="str">
        <f t="shared" si="47"/>
        <v>Analiza las características de la literatura prehispánica y la literatura del descubrimiento y la conquista en Colombia identificando sus elementos fundamentales y su impacto en la cultura y el lenguaje actual.</v>
      </c>
      <c r="DR13" s="5" t="str">
        <f t="shared" si="47"/>
        <v>Realiza comprensión lectora cuando analiza un texto desde el discurso de la Enunciación e identifica la función de cada uno de sus componentes.
Responde preguntas en los tres niveles de lectura a una leyenda del Caribe.</v>
      </c>
      <c r="DS13" s="5" t="str">
        <f t="shared" si="47"/>
        <v>Muestra disposición para participar activamente en las clases, promoviendo el respeto por las ideas ajenas y reconociendo la importancia de la precisión como una herramienta clave para una comunicación</v>
      </c>
      <c r="DT13" s="5" t="str">
        <f t="shared" si="47"/>
        <v>Comprende el contenido del cuento A la deriva, identificando su tema central, la secuencia de los hechos, los personajes y las ideas explícitas e implícitas del texto.</v>
      </c>
      <c r="DU13" s="5" t="str">
        <f t="shared" si="47"/>
        <v>Analiza críticamente el cuento A la deriva mediante la identificación de información literal, inferencial y crítica, sustentando sus respuestas de forma oral y escrita.</v>
      </c>
      <c r="DV13" s="5" t="str">
        <f t="shared" si="47"/>
        <v>Valora la lectura literaria como una oportunidad para reflexionar sobre la vida, la naturaleza y la condición humana, participando con interés, respeto y sentido crítico en las actividades propuestas.</v>
      </c>
      <c r="DW13" s="5" t="str">
        <f t="shared" si="47"/>
        <v>Comprende y reconoce vocabulario y estructuras basicas del ingles para interpretar textos cortos y conversaciones sobre temas cotidianos de la vida diaria.</v>
      </c>
      <c r="DX13" s="5" t="str">
        <f t="shared" si="47"/>
        <v>Produce de forma oral y escrita frases y parrafos cortos en Ingles, utilizando correctamente las estructuras conocidas para describir rutinas, narrar experiencias y participar en conversaciones.</v>
      </c>
      <c r="DY13" s="5" t="str">
        <f t="shared" si="47"/>
        <v>Muestra disposicion positiva hacia el aprendizaje del Ingles participando activamente en clase.</v>
      </c>
      <c r="DZ13" s="5" t="str">
        <f t="shared" si="47"/>
        <v>Identifica vocabulario en Ingles  de situaciones cotidianas.</v>
      </c>
      <c r="EA13" s="5" t="str">
        <f t="shared" si="47"/>
        <v>Participa en actividades utilizando vocabulario aprendido para expresar gustos,emociones y necesidades.</v>
      </c>
      <c r="EB13" s="5" t="str">
        <f t="shared" si="47"/>
        <v>Respeta la opinion de los demas, muestra disposicion para participar en actividades orales.</v>
      </c>
      <c r="EC13" s="5" t="str">
        <f t="shared" si="47"/>
        <v>Identifica la conformación y funcionamiento del sistema inmunolófico y diferencia las característics de los estados de la materia.</v>
      </c>
      <c r="ED13" s="5" t="str">
        <f t="shared" si="47"/>
        <v>Reconoce experimentalmente las características de materiales en los diferentes estados de la materia.</v>
      </c>
      <c r="EE13" s="5" t="str">
        <f t="shared" si="47"/>
        <v xml:space="preserve">Valora la importancia de tener habitos saludables, para lograr el mantenimiento saludable del sistema inmune. </v>
      </c>
      <c r="EF13" s="5" t="str">
        <f t="shared" si="47"/>
        <v>Describe correctamente la secuencia de eventos biologicos de la fecundacion,incluyendo las recciones acrosomicas,la funcion de gametos y la formacion de gametos.</v>
      </c>
      <c r="EG13" s="5" t="str">
        <f t="shared" si="47"/>
        <v>Mide la capacidad del labolatrio para lograr la fecundacion exitosa de los ovulos con el espermatozoide.</v>
      </c>
      <c r="EH13" s="5" t="str">
        <f t="shared" si="47"/>
        <v>Valora la importancia del cuidado del cuerpo y de la salud reproductiva como la base para una fecundacion saludable.</v>
      </c>
      <c r="EI13" s="5" t="str">
        <f t="shared" si="47"/>
        <v>Explico las principales caracteristicas de algunas revoluciones de los siglos XVIII y XIX (Revolucion francesa, Industrial...)</v>
      </c>
      <c r="EJ13" s="5" t="str">
        <f t="shared" si="47"/>
        <v>Analiza las causas y consecuencias de procesos historicos como la Revolucion Industrial y Francesa.</v>
      </c>
      <c r="EK13" s="5" t="str">
        <f t="shared" si="47"/>
        <v>Muestra interes y curiosidad por comprender los procesos historicos y su impacto en la sociedad.</v>
      </c>
      <c r="EL13" s="5" t="str">
        <f t="shared" si="47"/>
        <v xml:space="preserve">Identifica los procesos historicos de algunas revoluciones de los siglos XVIII y XIX </v>
      </c>
      <c r="EM13" s="5">
        <f t="shared" si="47"/>
        <v>0</v>
      </c>
      <c r="EN13" s="5">
        <f t="shared" si="47"/>
        <v>0</v>
      </c>
      <c r="EO13" s="5" t="str">
        <f t="shared" si="47"/>
        <v xml:space="preserve">Comprende la distribucion espacial de la poblacion antes y despues de las revoluciones </v>
      </c>
      <c r="EP13" s="5" t="str">
        <f t="shared" si="47"/>
        <v xml:space="preserve">Ubica en mapas las regiones donde se desarrollaron las principales revoluciones y explica sus caracteristicas geograficas </v>
      </c>
      <c r="EQ13" s="5" t="str">
        <f t="shared" si="47"/>
        <v>Muestra interes por comprender la relacion entre sociedad, economia y territorio</v>
      </c>
      <c r="ER13" s="5" t="str">
        <f t="shared" si="47"/>
        <v>Comprende el concepto de cultura de paz y su importancia en la sociedad</v>
      </c>
      <c r="ES13" s="5" t="str">
        <f t="shared" si="47"/>
        <v>Practica normas de convivencia en diferentes espacios( aula, hogar, comunidad)</v>
      </c>
      <c r="ET13" s="5" t="str">
        <f t="shared" si="47"/>
        <v>Muestra actitud de respeto hacia la diversidad cuktural, social y de pensamiento</v>
      </c>
      <c r="EU13" s="5">
        <f t="shared" si="47"/>
        <v>0</v>
      </c>
      <c r="EV13" s="5">
        <f t="shared" si="47"/>
        <v>0</v>
      </c>
      <c r="EW13" s="5">
        <f t="shared" si="47"/>
        <v>0</v>
      </c>
      <c r="EX13" s="5">
        <f t="shared" si="47"/>
        <v>0</v>
      </c>
      <c r="EY13" s="5">
        <f t="shared" si="47"/>
        <v>0</v>
      </c>
      <c r="EZ13" s="5">
        <f t="shared" si="47"/>
        <v>0</v>
      </c>
      <c r="FA13" s="5">
        <f t="shared" si="47"/>
        <v>0</v>
      </c>
      <c r="FB13" s="5">
        <f t="shared" si="47"/>
        <v>0</v>
      </c>
      <c r="FC13" s="5">
        <f t="shared" si="47"/>
        <v>0</v>
      </c>
      <c r="FD13" s="5" t="str">
        <f t="shared" si="47"/>
        <v xml:space="preserve"> Identifica las expresiones motrices relacionadas con el juego del voleibol,  como una oportunidad para mejorar la salud, la estética y las relaciones con los demás.</v>
      </c>
      <c r="FE13" s="5" t="str">
        <f t="shared" si="47"/>
        <v>Pone en práctica los fundamentos básicos del voleibol.</v>
      </c>
      <c r="FF13" s="5" t="str">
        <f t="shared" si="47"/>
        <v>Muestra  responsabilidad y buena actitud al realizar el juego de voleibol.</v>
      </c>
      <c r="FG13" s="5" t="str">
        <f t="shared" si="47"/>
        <v>Comprende el concepto de variable como espacio de almacenamiento de datos y reconoce el uso de estructuras condicionales (si, si-no) para la toma de decisiones en un programa.</v>
      </c>
      <c r="FH13" s="5" t="str">
        <f t="shared" si="47"/>
        <v>Diseña y desarrolla programas que utilizan variables y estructuras condicionales para resolver problemas, evaluando condiciones y generando respuestas según diferentes situaciones.</v>
      </c>
      <c r="FI13" s="5" t="str">
        <f t="shared" si="47"/>
        <v>Muestra pensamiento lógico, perseverancia y actitud crítica al analizar errores y proponer soluciones en la construcción de programas con variables y condicionales.</v>
      </c>
      <c r="FJ13" s="5" t="str">
        <f t="shared" si="47"/>
        <v>Identifica y reconoce sus pricipales deberes y derechos dentro y fuera  de la Institución educativa.</v>
      </c>
    </row>
    <row r="14" spans="1:166">
      <c r="A14" s="5">
        <v>13</v>
      </c>
      <c r="B14" s="5" t="s">
        <v>83</v>
      </c>
      <c r="C14" s="6">
        <v>1043689986</v>
      </c>
      <c r="D14" s="5" t="s">
        <v>68</v>
      </c>
      <c r="E14" s="5" t="s">
        <v>69</v>
      </c>
      <c r="F14" s="5" t="s">
        <v>70</v>
      </c>
      <c r="G14" s="5" t="s">
        <v>71</v>
      </c>
      <c r="H14" s="5">
        <v>2026</v>
      </c>
      <c r="I14" s="5">
        <v>4</v>
      </c>
      <c r="J14" s="7">
        <v>3</v>
      </c>
      <c r="K14" s="7">
        <v>3.2</v>
      </c>
      <c r="L14" s="7">
        <v>3.4</v>
      </c>
      <c r="M14" s="5">
        <f t="shared" si="0"/>
        <v>3.2</v>
      </c>
      <c r="N14" s="5" t="str">
        <f t="shared" si="1"/>
        <v>BASICO</v>
      </c>
      <c r="O14" s="5">
        <v>1</v>
      </c>
      <c r="P14" s="7">
        <v>1.8</v>
      </c>
      <c r="Q14" s="7">
        <v>1.8</v>
      </c>
      <c r="R14" s="7">
        <v>1.8</v>
      </c>
      <c r="S14" s="5">
        <f t="shared" si="2"/>
        <v>1.8000000000000003</v>
      </c>
      <c r="T14" s="5" t="str">
        <f t="shared" si="3"/>
        <v>BAJO</v>
      </c>
      <c r="U14" s="5">
        <v>4</v>
      </c>
      <c r="V14" s="7">
        <v>3.7</v>
      </c>
      <c r="W14" s="7">
        <v>3.9</v>
      </c>
      <c r="X14" s="7">
        <v>3.8</v>
      </c>
      <c r="Y14" s="5">
        <f t="shared" si="4"/>
        <v>3.8099999999999996</v>
      </c>
      <c r="Z14" s="5" t="str">
        <f t="shared" si="5"/>
        <v>BASICO</v>
      </c>
      <c r="AA14" s="5">
        <v>1</v>
      </c>
      <c r="AB14" s="7">
        <v>4</v>
      </c>
      <c r="AC14" s="7">
        <v>4</v>
      </c>
      <c r="AD14" s="7">
        <v>4</v>
      </c>
      <c r="AE14" s="5">
        <f t="shared" si="6"/>
        <v>4</v>
      </c>
      <c r="AF14" s="5" t="str">
        <f t="shared" si="7"/>
        <v>ALTO</v>
      </c>
      <c r="AG14" s="5">
        <v>2</v>
      </c>
      <c r="AH14" s="8">
        <v>3.5</v>
      </c>
      <c r="AI14" s="8">
        <v>3.5</v>
      </c>
      <c r="AJ14" s="8">
        <v>3.5</v>
      </c>
      <c r="AK14" s="5">
        <f t="shared" si="8"/>
        <v>3.5</v>
      </c>
      <c r="AL14" s="5" t="str">
        <f t="shared" si="9"/>
        <v>BASICO</v>
      </c>
      <c r="AM14" s="8">
        <v>1</v>
      </c>
      <c r="AN14" s="8">
        <v>3.5</v>
      </c>
      <c r="AO14" s="8">
        <v>3.5</v>
      </c>
      <c r="AP14" s="8">
        <v>3.5</v>
      </c>
      <c r="AQ14" s="5">
        <f t="shared" si="10"/>
        <v>3.5</v>
      </c>
      <c r="AR14" s="5" t="str">
        <f t="shared" si="11"/>
        <v>BASICO</v>
      </c>
      <c r="AS14" s="5">
        <v>4</v>
      </c>
      <c r="AT14" s="7">
        <v>2.5</v>
      </c>
      <c r="AU14" s="7">
        <v>2.5</v>
      </c>
      <c r="AV14" s="7">
        <v>2.5</v>
      </c>
      <c r="AW14" s="5">
        <f t="shared" si="12"/>
        <v>2.5</v>
      </c>
      <c r="AX14" s="5" t="str">
        <f t="shared" si="13"/>
        <v>BAJO</v>
      </c>
      <c r="AY14" s="5">
        <v>1</v>
      </c>
      <c r="AZ14" s="7">
        <v>3.8</v>
      </c>
      <c r="BA14" s="7">
        <v>4</v>
      </c>
      <c r="BB14" s="7">
        <v>3.8</v>
      </c>
      <c r="BC14" s="5">
        <f t="shared" si="14"/>
        <v>3.88</v>
      </c>
      <c r="BD14" s="5" t="str">
        <f t="shared" si="15"/>
        <v>BASICO</v>
      </c>
      <c r="BE14" s="7">
        <v>2</v>
      </c>
      <c r="BF14" s="7">
        <v>3.3</v>
      </c>
      <c r="BG14" s="7">
        <v>3.5</v>
      </c>
      <c r="BH14" s="7">
        <v>3.8</v>
      </c>
      <c r="BI14" s="5">
        <f t="shared" si="16"/>
        <v>3.5300000000000002</v>
      </c>
      <c r="BJ14" s="5" t="str">
        <f t="shared" ref="BJ14:BJ42" si="48">IF(BI14&lt;3,"BAJO",IF(BI14&lt;4,"BASICO",IF(BI14&lt;4.5,"ALTO",IF(BI14&lt;=5,"SUPERIOR"))))</f>
        <v>BASICO</v>
      </c>
      <c r="BK14" s="5">
        <v>1</v>
      </c>
      <c r="BL14" s="7">
        <v>3.5</v>
      </c>
      <c r="BM14" s="7">
        <v>3.8</v>
      </c>
      <c r="BN14" s="7">
        <v>3.6</v>
      </c>
      <c r="BO14" s="5">
        <f t="shared" ref="BO14:BO20" si="49">((BL14*0.3)+(BM14*0.4)+(BN14*0.3))</f>
        <v>3.6500000000000004</v>
      </c>
      <c r="BP14" s="5" t="str">
        <f t="shared" si="19"/>
        <v>BASICO</v>
      </c>
      <c r="BQ14" s="5">
        <v>1</v>
      </c>
      <c r="BR14" s="7">
        <v>3.4</v>
      </c>
      <c r="BS14" s="7">
        <v>3.6</v>
      </c>
      <c r="BT14" s="7">
        <v>3.8</v>
      </c>
      <c r="BU14" s="5">
        <f t="shared" si="20"/>
        <v>3.5999999999999996</v>
      </c>
      <c r="BV14" s="5" t="str">
        <f t="shared" si="21"/>
        <v>BASICO</v>
      </c>
      <c r="BW14" s="5">
        <v>1</v>
      </c>
      <c r="BX14" s="7">
        <v>3.5</v>
      </c>
      <c r="BY14" s="7">
        <v>3.7</v>
      </c>
      <c r="BZ14" s="7">
        <v>3.6</v>
      </c>
      <c r="CA14" s="5">
        <f t="shared" si="22"/>
        <v>3.6100000000000003</v>
      </c>
      <c r="CB14" s="5" t="str">
        <f t="shared" si="23"/>
        <v>BASICO</v>
      </c>
      <c r="CC14" s="5">
        <v>1</v>
      </c>
      <c r="CD14" s="7">
        <v>3.7</v>
      </c>
      <c r="CE14" s="7">
        <v>3.5</v>
      </c>
      <c r="CF14" s="7">
        <v>3.5</v>
      </c>
      <c r="CG14" s="5">
        <f t="shared" si="24"/>
        <v>3.5600000000000005</v>
      </c>
      <c r="CH14" s="5" t="str">
        <f t="shared" si="25"/>
        <v>BASICO</v>
      </c>
      <c r="CI14" s="5">
        <v>1</v>
      </c>
      <c r="CJ14" s="7">
        <v>4</v>
      </c>
      <c r="CK14" s="7">
        <v>4</v>
      </c>
      <c r="CL14" s="7">
        <v>4</v>
      </c>
      <c r="CM14" s="5">
        <f t="shared" si="26"/>
        <v>4</v>
      </c>
      <c r="CN14" s="5" t="str">
        <f t="shared" si="27"/>
        <v>ALTO</v>
      </c>
      <c r="CO14" s="5">
        <v>1</v>
      </c>
      <c r="CP14" s="7">
        <v>5</v>
      </c>
      <c r="CQ14" s="7">
        <v>5</v>
      </c>
      <c r="CR14" s="7">
        <v>5</v>
      </c>
      <c r="CS14" s="5">
        <f t="shared" si="28"/>
        <v>5</v>
      </c>
      <c r="CT14" s="5" t="str">
        <f t="shared" si="29"/>
        <v>SUPERIOR</v>
      </c>
      <c r="CU14" s="5">
        <v>2</v>
      </c>
      <c r="CV14" s="7">
        <v>2</v>
      </c>
      <c r="CW14" s="7">
        <v>2</v>
      </c>
      <c r="CX14" s="7">
        <v>2</v>
      </c>
      <c r="CY14" s="5">
        <f t="shared" si="30"/>
        <v>2</v>
      </c>
      <c r="CZ14" s="5" t="str">
        <f t="shared" si="31"/>
        <v>BAJO</v>
      </c>
      <c r="DA14" s="5">
        <v>2</v>
      </c>
      <c r="DB14" s="7">
        <v>3.5</v>
      </c>
      <c r="DC14" s="7">
        <v>3</v>
      </c>
      <c r="DD14" s="7">
        <v>3</v>
      </c>
      <c r="DE14" s="5">
        <f t="shared" si="32"/>
        <v>3.15</v>
      </c>
      <c r="DF14" s="5" t="str">
        <f t="shared" si="33"/>
        <v>BASICO</v>
      </c>
      <c r="DG14" s="5">
        <v>0</v>
      </c>
      <c r="DH14" s="7"/>
      <c r="DI14" s="5" t="str">
        <f t="shared" si="34"/>
        <v>BAJO</v>
      </c>
      <c r="DJ14" s="5">
        <f t="shared" si="35"/>
        <v>3.4181249999999999</v>
      </c>
      <c r="DK14" s="5" t="str">
        <f t="shared" si="36"/>
        <v>Comprende el concepto de números reales, su relación de orden y las propiedades de sus operaciones, así como las relaciones de semejanza y congruencia de distintas figuras geométricas.</v>
      </c>
      <c r="DL14" s="5" t="str">
        <f t="shared" ref="DL14:FJ14" si="50">DL13</f>
        <v>Aplica correctamente las propiedades de las operaciones de números reales y expresiones algebraicas en la resolución de problemas.</v>
      </c>
      <c r="DM14" s="5" t="str">
        <f t="shared" si="50"/>
        <v>Valora el uso del pensamiento lógico a la hora de plantear y resolver problemas de las matemáticas y de la vida cotidiana.</v>
      </c>
      <c r="DN14" s="5" t="str">
        <f t="shared" si="5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4" s="5" t="str">
        <f t="shared" si="50"/>
        <v>Organiza y analiza datos mediante la construcción de tablas de frecuencias y diagramas estadísticos, identificando variables aleatorias y utilizando estas representaciones para resolver situaciones problema.</v>
      </c>
      <c r="DP14" s="5" t="str">
        <f t="shared" si="50"/>
        <v>Muestra disposición y responsabilidad en el manejo y análisis de datos, participando activamente en actividades individuales y colaborativas, y comunicando información estadística con claridad y sentido crítico.</v>
      </c>
      <c r="DQ14" s="5" t="str">
        <f t="shared" si="50"/>
        <v>Analiza las características de la literatura prehispánica y la literatura del descubrimiento y la conquista en Colombia identificando sus elementos fundamentales y su impacto en la cultura y el lenguaje actual.</v>
      </c>
      <c r="DR14" s="5" t="str">
        <f t="shared" si="50"/>
        <v>Realiza comprensión lectora cuando analiza un texto desde el discurso de la Enunciación e identifica la función de cada uno de sus componentes.
Responde preguntas en los tres niveles de lectura a una leyenda del Caribe.</v>
      </c>
      <c r="DS14" s="5" t="str">
        <f t="shared" si="50"/>
        <v>Muestra disposición para participar activamente en las clases, promoviendo el respeto por las ideas ajenas y reconociendo la importancia de la precisión como una herramienta clave para una comunicación</v>
      </c>
      <c r="DT14" s="5" t="str">
        <f t="shared" si="50"/>
        <v>Comprende el contenido del cuento A la deriva, identificando su tema central, la secuencia de los hechos, los personajes y las ideas explícitas e implícitas del texto.</v>
      </c>
      <c r="DU14" s="5" t="str">
        <f t="shared" si="50"/>
        <v>Analiza críticamente el cuento A la deriva mediante la identificación de información literal, inferencial y crítica, sustentando sus respuestas de forma oral y escrita.</v>
      </c>
      <c r="DV14" s="5" t="str">
        <f t="shared" si="50"/>
        <v>Valora la lectura literaria como una oportunidad para reflexionar sobre la vida, la naturaleza y la condición humana, participando con interés, respeto y sentido crítico en las actividades propuestas.</v>
      </c>
      <c r="DW14" s="5" t="str">
        <f t="shared" si="50"/>
        <v>Comprende y reconoce vocabulario y estructuras basicas del ingles para interpretar textos cortos y conversaciones sobre temas cotidianos de la vida diaria.</v>
      </c>
      <c r="DX14" s="5" t="str">
        <f t="shared" si="50"/>
        <v>Produce de forma oral y escrita frases y parrafos cortos en Ingles, utilizando correctamente las estructuras conocidas para describir rutinas, narrar experiencias y participar en conversaciones.</v>
      </c>
      <c r="DY14" s="5" t="str">
        <f t="shared" si="50"/>
        <v>Muestra disposicion positiva hacia el aprendizaje del Ingles participando activamente en clase.</v>
      </c>
      <c r="DZ14" s="5" t="str">
        <f t="shared" si="50"/>
        <v>Identifica vocabulario en Ingles  de situaciones cotidianas.</v>
      </c>
      <c r="EA14" s="5" t="str">
        <f t="shared" si="50"/>
        <v>Participa en actividades utilizando vocabulario aprendido para expresar gustos,emociones y necesidades.</v>
      </c>
      <c r="EB14" s="5" t="str">
        <f t="shared" si="50"/>
        <v>Respeta la opinion de los demas, muestra disposicion para participar en actividades orales.</v>
      </c>
      <c r="EC14" s="5" t="str">
        <f t="shared" si="50"/>
        <v>Identifica la conformación y funcionamiento del sistema inmunolófico y diferencia las característics de los estados de la materia.</v>
      </c>
      <c r="ED14" s="5" t="str">
        <f t="shared" si="50"/>
        <v>Reconoce experimentalmente las características de materiales en los diferentes estados de la materia.</v>
      </c>
      <c r="EE14" s="5" t="str">
        <f t="shared" si="50"/>
        <v xml:space="preserve">Valora la importancia de tener habitos saludables, para lograr el mantenimiento saludable del sistema inmune. </v>
      </c>
      <c r="EF14" s="5" t="str">
        <f t="shared" si="50"/>
        <v>Describe correctamente la secuencia de eventos biologicos de la fecundacion,incluyendo las recciones acrosomicas,la funcion de gametos y la formacion de gametos.</v>
      </c>
      <c r="EG14" s="5" t="str">
        <f t="shared" si="50"/>
        <v>Mide la capacidad del labolatrio para lograr la fecundacion exitosa de los ovulos con el espermatozoide.</v>
      </c>
      <c r="EH14" s="5" t="str">
        <f t="shared" si="50"/>
        <v>Valora la importancia del cuidado del cuerpo y de la salud reproductiva como la base para una fecundacion saludable.</v>
      </c>
      <c r="EI14" s="5" t="str">
        <f t="shared" si="50"/>
        <v>Explico las principales caracteristicas de algunas revoluciones de los siglos XVIII y XIX (Revolucion francesa, Industrial...)</v>
      </c>
      <c r="EJ14" s="5" t="str">
        <f t="shared" si="50"/>
        <v>Analiza las causas y consecuencias de procesos historicos como la Revolucion Industrial y Francesa.</v>
      </c>
      <c r="EK14" s="5" t="str">
        <f t="shared" si="50"/>
        <v>Muestra interes y curiosidad por comprender los procesos historicos y su impacto en la sociedad.</v>
      </c>
      <c r="EL14" s="5" t="str">
        <f t="shared" si="50"/>
        <v xml:space="preserve">Identifica los procesos historicos de algunas revoluciones de los siglos XVIII y XIX </v>
      </c>
      <c r="EM14" s="5">
        <f t="shared" si="50"/>
        <v>0</v>
      </c>
      <c r="EN14" s="5">
        <f t="shared" si="50"/>
        <v>0</v>
      </c>
      <c r="EO14" s="5" t="str">
        <f t="shared" si="50"/>
        <v xml:space="preserve">Comprende la distribucion espacial de la poblacion antes y despues de las revoluciones </v>
      </c>
      <c r="EP14" s="5" t="str">
        <f t="shared" si="50"/>
        <v xml:space="preserve">Ubica en mapas las regiones donde se desarrollaron las principales revoluciones y explica sus caracteristicas geograficas </v>
      </c>
      <c r="EQ14" s="5" t="str">
        <f t="shared" si="50"/>
        <v>Muestra interes por comprender la relacion entre sociedad, economia y territorio</v>
      </c>
      <c r="ER14" s="5" t="str">
        <f t="shared" si="50"/>
        <v>Comprende el concepto de cultura de paz y su importancia en la sociedad</v>
      </c>
      <c r="ES14" s="5" t="str">
        <f t="shared" si="50"/>
        <v>Practica normas de convivencia en diferentes espacios( aula, hogar, comunidad)</v>
      </c>
      <c r="ET14" s="5" t="str">
        <f t="shared" si="50"/>
        <v>Muestra actitud de respeto hacia la diversidad cuktural, social y de pensamiento</v>
      </c>
      <c r="EU14" s="5">
        <f t="shared" si="50"/>
        <v>0</v>
      </c>
      <c r="EV14" s="5">
        <f t="shared" si="50"/>
        <v>0</v>
      </c>
      <c r="EW14" s="5">
        <f t="shared" si="50"/>
        <v>0</v>
      </c>
      <c r="EX14" s="5">
        <f t="shared" si="50"/>
        <v>0</v>
      </c>
      <c r="EY14" s="5">
        <f t="shared" si="50"/>
        <v>0</v>
      </c>
      <c r="EZ14" s="5">
        <f t="shared" si="50"/>
        <v>0</v>
      </c>
      <c r="FA14" s="5">
        <f t="shared" si="50"/>
        <v>0</v>
      </c>
      <c r="FB14" s="5">
        <f t="shared" si="50"/>
        <v>0</v>
      </c>
      <c r="FC14" s="5">
        <f t="shared" si="50"/>
        <v>0</v>
      </c>
      <c r="FD14" s="5" t="str">
        <f t="shared" si="50"/>
        <v xml:space="preserve"> Identifica las expresiones motrices relacionadas con el juego del voleibol,  como una oportunidad para mejorar la salud, la estética y las relaciones con los demás.</v>
      </c>
      <c r="FE14" s="5" t="str">
        <f t="shared" si="50"/>
        <v>Pone en práctica los fundamentos básicos del voleibol.</v>
      </c>
      <c r="FF14" s="5" t="str">
        <f t="shared" si="50"/>
        <v>Muestra  responsabilidad y buena actitud al realizar el juego de voleibol.</v>
      </c>
      <c r="FG14" s="5" t="str">
        <f t="shared" si="50"/>
        <v>Comprende el concepto de variable como espacio de almacenamiento de datos y reconoce el uso de estructuras condicionales (si, si-no) para la toma de decisiones en un programa.</v>
      </c>
      <c r="FH14" s="5" t="str">
        <f t="shared" si="50"/>
        <v>Diseña y desarrolla programas que utilizan variables y estructuras condicionales para resolver problemas, evaluando condiciones y generando respuestas según diferentes situaciones.</v>
      </c>
      <c r="FI14" s="5" t="str">
        <f t="shared" si="50"/>
        <v>Muestra pensamiento lógico, perseverancia y actitud crítica al analizar errores y proponer soluciones en la construcción de programas con variables y condicionales.</v>
      </c>
      <c r="FJ14" s="5" t="str">
        <f t="shared" si="50"/>
        <v>Identifica y reconoce sus pricipales deberes y derechos dentro y fuera  de la Institución educativa.</v>
      </c>
    </row>
    <row r="15" spans="1:166">
      <c r="A15" s="5">
        <v>14</v>
      </c>
      <c r="B15" s="5" t="s">
        <v>84</v>
      </c>
      <c r="C15" s="6">
        <v>1047359186</v>
      </c>
      <c r="D15" s="5" t="s">
        <v>68</v>
      </c>
      <c r="E15" s="5" t="s">
        <v>69</v>
      </c>
      <c r="F15" s="5" t="s">
        <v>70</v>
      </c>
      <c r="G15" s="5" t="s">
        <v>71</v>
      </c>
      <c r="H15" s="5">
        <v>2026</v>
      </c>
      <c r="I15" s="5">
        <v>4</v>
      </c>
      <c r="J15" s="7">
        <v>3</v>
      </c>
      <c r="K15" s="7">
        <v>3</v>
      </c>
      <c r="L15" s="7">
        <v>3</v>
      </c>
      <c r="M15" s="5">
        <f t="shared" si="0"/>
        <v>3</v>
      </c>
      <c r="N15" s="5" t="str">
        <f t="shared" si="1"/>
        <v>BASICO</v>
      </c>
      <c r="O15" s="5">
        <v>1</v>
      </c>
      <c r="P15" s="7">
        <v>3.1</v>
      </c>
      <c r="Q15" s="7">
        <v>3.1</v>
      </c>
      <c r="R15" s="7">
        <v>3.1</v>
      </c>
      <c r="S15" s="5">
        <f t="shared" si="2"/>
        <v>3.0999999999999996</v>
      </c>
      <c r="T15" s="5" t="str">
        <f t="shared" si="3"/>
        <v>BASICO</v>
      </c>
      <c r="U15" s="5">
        <v>4</v>
      </c>
      <c r="V15" s="7">
        <v>4</v>
      </c>
      <c r="W15" s="7">
        <v>4</v>
      </c>
      <c r="X15" s="7">
        <v>4</v>
      </c>
      <c r="Y15" s="5">
        <f t="shared" si="4"/>
        <v>4</v>
      </c>
      <c r="Z15" s="5" t="str">
        <f t="shared" si="5"/>
        <v>ALTO</v>
      </c>
      <c r="AA15" s="5">
        <v>1</v>
      </c>
      <c r="AB15" s="7">
        <v>3.2</v>
      </c>
      <c r="AC15" s="7">
        <v>3.2</v>
      </c>
      <c r="AD15" s="7">
        <v>3.2</v>
      </c>
      <c r="AE15" s="5">
        <f t="shared" si="6"/>
        <v>3.2</v>
      </c>
      <c r="AF15" s="5" t="str">
        <f t="shared" si="7"/>
        <v>BASICO</v>
      </c>
      <c r="AG15" s="5">
        <v>2</v>
      </c>
      <c r="AH15" s="8">
        <v>4</v>
      </c>
      <c r="AI15" s="8">
        <v>4</v>
      </c>
      <c r="AJ15" s="8">
        <v>4</v>
      </c>
      <c r="AK15" s="5">
        <f t="shared" si="8"/>
        <v>4</v>
      </c>
      <c r="AL15" s="5" t="str">
        <f t="shared" si="9"/>
        <v>ALTO</v>
      </c>
      <c r="AM15" s="5">
        <v>1</v>
      </c>
      <c r="AN15" s="8">
        <v>4</v>
      </c>
      <c r="AO15" s="8">
        <v>4</v>
      </c>
      <c r="AP15" s="8">
        <v>4</v>
      </c>
      <c r="AQ15" s="5">
        <f t="shared" si="10"/>
        <v>4</v>
      </c>
      <c r="AR15" s="5" t="str">
        <f t="shared" si="11"/>
        <v>ALTO</v>
      </c>
      <c r="AS15" s="5">
        <v>4</v>
      </c>
      <c r="AT15" s="7">
        <v>3</v>
      </c>
      <c r="AU15" s="7">
        <v>3</v>
      </c>
      <c r="AV15" s="7">
        <v>3</v>
      </c>
      <c r="AW15" s="5">
        <f t="shared" si="12"/>
        <v>3</v>
      </c>
      <c r="AX15" s="5" t="str">
        <f t="shared" si="13"/>
        <v>BASICO</v>
      </c>
      <c r="AY15" s="5">
        <v>1</v>
      </c>
      <c r="AZ15" s="7">
        <v>5</v>
      </c>
      <c r="BA15" s="7">
        <v>5</v>
      </c>
      <c r="BB15" s="7">
        <v>5</v>
      </c>
      <c r="BC15" s="5">
        <f t="shared" si="14"/>
        <v>5</v>
      </c>
      <c r="BD15" s="5" t="str">
        <f t="shared" si="15"/>
        <v>SUPERIOR</v>
      </c>
      <c r="BE15" s="7">
        <v>2</v>
      </c>
      <c r="BF15" s="7">
        <v>3.8</v>
      </c>
      <c r="BG15" s="7">
        <v>3.5</v>
      </c>
      <c r="BH15" s="7">
        <v>3.8</v>
      </c>
      <c r="BI15" s="5">
        <f t="shared" si="16"/>
        <v>3.6799999999999997</v>
      </c>
      <c r="BJ15" s="5" t="str">
        <f t="shared" si="48"/>
        <v>BASICO</v>
      </c>
      <c r="BK15" s="5">
        <v>1</v>
      </c>
      <c r="BL15" s="7">
        <v>3.8</v>
      </c>
      <c r="BM15" s="7">
        <v>3.5</v>
      </c>
      <c r="BN15" s="7">
        <v>4</v>
      </c>
      <c r="BO15" s="5">
        <f t="shared" si="49"/>
        <v>3.74</v>
      </c>
      <c r="BP15" s="5" t="str">
        <f t="shared" si="19"/>
        <v>BASICO</v>
      </c>
      <c r="BQ15" s="5">
        <v>1</v>
      </c>
      <c r="BR15" s="7">
        <v>3.5</v>
      </c>
      <c r="BS15" s="7">
        <v>3.8</v>
      </c>
      <c r="BT15" s="7">
        <v>4</v>
      </c>
      <c r="BU15" s="5">
        <f t="shared" si="20"/>
        <v>3.7700000000000005</v>
      </c>
      <c r="BV15" s="5" t="str">
        <f t="shared" si="21"/>
        <v>BASICO</v>
      </c>
      <c r="BW15" s="5">
        <v>1</v>
      </c>
      <c r="BX15" s="7">
        <v>3.6</v>
      </c>
      <c r="BY15" s="7">
        <v>3.8</v>
      </c>
      <c r="BZ15" s="7">
        <v>4</v>
      </c>
      <c r="CA15" s="5">
        <f t="shared" si="22"/>
        <v>3.8</v>
      </c>
      <c r="CB15" s="5" t="str">
        <f t="shared" si="23"/>
        <v>BASICO</v>
      </c>
      <c r="CC15" s="5">
        <v>1</v>
      </c>
      <c r="CD15" s="7">
        <v>3.5</v>
      </c>
      <c r="CE15" s="7">
        <v>3.5</v>
      </c>
      <c r="CF15" s="7">
        <v>3.5</v>
      </c>
      <c r="CG15" s="5">
        <f t="shared" si="24"/>
        <v>3.5</v>
      </c>
      <c r="CH15" s="5" t="str">
        <f t="shared" si="25"/>
        <v>BASICO</v>
      </c>
      <c r="CI15" s="5">
        <v>1</v>
      </c>
      <c r="CJ15" s="7">
        <v>4.5</v>
      </c>
      <c r="CK15" s="7">
        <v>4.5</v>
      </c>
      <c r="CL15" s="7">
        <v>4.5</v>
      </c>
      <c r="CM15" s="5">
        <f t="shared" si="26"/>
        <v>4.5</v>
      </c>
      <c r="CN15" s="5" t="str">
        <f t="shared" si="27"/>
        <v>SUPERIOR</v>
      </c>
      <c r="CO15" s="5">
        <v>1</v>
      </c>
      <c r="CP15" s="7">
        <v>5</v>
      </c>
      <c r="CQ15" s="7">
        <v>5</v>
      </c>
      <c r="CR15" s="7">
        <v>5</v>
      </c>
      <c r="CS15" s="5">
        <f t="shared" si="28"/>
        <v>5</v>
      </c>
      <c r="CT15" s="5" t="str">
        <f t="shared" si="29"/>
        <v>SUPERIOR</v>
      </c>
      <c r="CU15" s="5">
        <v>2</v>
      </c>
      <c r="CV15" s="7">
        <v>3</v>
      </c>
      <c r="CW15" s="7">
        <v>3</v>
      </c>
      <c r="CX15" s="7">
        <v>3</v>
      </c>
      <c r="CY15" s="5">
        <f t="shared" si="30"/>
        <v>3</v>
      </c>
      <c r="CZ15" s="5" t="str">
        <f t="shared" si="31"/>
        <v>BASICO</v>
      </c>
      <c r="DA15" s="5">
        <v>2</v>
      </c>
      <c r="DB15" s="7">
        <v>3.5</v>
      </c>
      <c r="DC15" s="7">
        <v>3.5</v>
      </c>
      <c r="DD15" s="7">
        <v>3.5</v>
      </c>
      <c r="DE15" s="5">
        <f t="shared" si="32"/>
        <v>3.5</v>
      </c>
      <c r="DF15" s="5" t="str">
        <f t="shared" si="33"/>
        <v>BASICO</v>
      </c>
      <c r="DG15" s="5">
        <v>0</v>
      </c>
      <c r="DH15" s="7"/>
      <c r="DI15" s="5" t="str">
        <f t="shared" si="34"/>
        <v>BAJO</v>
      </c>
      <c r="DJ15" s="5">
        <f t="shared" si="35"/>
        <v>3.7512499999999998</v>
      </c>
      <c r="DK15" s="5" t="str">
        <f t="shared" si="36"/>
        <v>Comprende el concepto de números reales, su relación de orden y las propiedades de sus operaciones, así como las relaciones de semejanza y congruencia de distintas figuras geométricas.</v>
      </c>
      <c r="DL15" s="5" t="str">
        <f t="shared" ref="DL15:FJ15" si="51">DL14</f>
        <v>Aplica correctamente las propiedades de las operaciones de números reales y expresiones algebraicas en la resolución de problemas.</v>
      </c>
      <c r="DM15" s="5" t="str">
        <f t="shared" si="51"/>
        <v>Valora el uso del pensamiento lógico a la hora de plantear y resolver problemas de las matemáticas y de la vida cotidiana.</v>
      </c>
      <c r="DN15" s="5" t="str">
        <f t="shared" si="5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5" s="5" t="str">
        <f t="shared" si="51"/>
        <v>Organiza y analiza datos mediante la construcción de tablas de frecuencias y diagramas estadísticos, identificando variables aleatorias y utilizando estas representaciones para resolver situaciones problema.</v>
      </c>
      <c r="DP15" s="5" t="str">
        <f t="shared" si="51"/>
        <v>Muestra disposición y responsabilidad en el manejo y análisis de datos, participando activamente en actividades individuales y colaborativas, y comunicando información estadística con claridad y sentido crítico.</v>
      </c>
      <c r="DQ15" s="5" t="str">
        <f t="shared" si="51"/>
        <v>Analiza las características de la literatura prehispánica y la literatura del descubrimiento y la conquista en Colombia identificando sus elementos fundamentales y su impacto en la cultura y el lenguaje actual.</v>
      </c>
      <c r="DR15" s="5" t="str">
        <f t="shared" si="51"/>
        <v>Realiza comprensión lectora cuando analiza un texto desde el discurso de la Enunciación e identifica la función de cada uno de sus componentes.
Responde preguntas en los tres niveles de lectura a una leyenda del Caribe.</v>
      </c>
      <c r="DS15" s="5" t="str">
        <f t="shared" si="51"/>
        <v>Muestra disposición para participar activamente en las clases, promoviendo el respeto por las ideas ajenas y reconociendo la importancia de la precisión como una herramienta clave para una comunicación</v>
      </c>
      <c r="DT15" s="5" t="str">
        <f t="shared" si="51"/>
        <v>Comprende el contenido del cuento A la deriva, identificando su tema central, la secuencia de los hechos, los personajes y las ideas explícitas e implícitas del texto.</v>
      </c>
      <c r="DU15" s="5" t="str">
        <f t="shared" si="51"/>
        <v>Analiza críticamente el cuento A la deriva mediante la identificación de información literal, inferencial y crítica, sustentando sus respuestas de forma oral y escrita.</v>
      </c>
      <c r="DV15" s="5" t="str">
        <f t="shared" si="51"/>
        <v>Valora la lectura literaria como una oportunidad para reflexionar sobre la vida, la naturaleza y la condición humana, participando con interés, respeto y sentido crítico en las actividades propuestas.</v>
      </c>
      <c r="DW15" s="5" t="str">
        <f t="shared" si="51"/>
        <v>Comprende y reconoce vocabulario y estructuras basicas del ingles para interpretar textos cortos y conversaciones sobre temas cotidianos de la vida diaria.</v>
      </c>
      <c r="DX15" s="5" t="str">
        <f t="shared" si="51"/>
        <v>Produce de forma oral y escrita frases y parrafos cortos en Ingles, utilizando correctamente las estructuras conocidas para describir rutinas, narrar experiencias y participar en conversaciones.</v>
      </c>
      <c r="DY15" s="5" t="str">
        <f t="shared" si="51"/>
        <v>Muestra disposicion positiva hacia el aprendizaje del Ingles participando activamente en clase.</v>
      </c>
      <c r="DZ15" s="5" t="str">
        <f t="shared" si="51"/>
        <v>Identifica vocabulario en Ingles  de situaciones cotidianas.</v>
      </c>
      <c r="EA15" s="5" t="str">
        <f t="shared" si="51"/>
        <v>Participa en actividades utilizando vocabulario aprendido para expresar gustos,emociones y necesidades.</v>
      </c>
      <c r="EB15" s="5" t="str">
        <f t="shared" si="51"/>
        <v>Respeta la opinion de los demas, muestra disposicion para participar en actividades orales.</v>
      </c>
      <c r="EC15" s="5" t="str">
        <f t="shared" si="51"/>
        <v>Identifica la conformación y funcionamiento del sistema inmunolófico y diferencia las característics de los estados de la materia.</v>
      </c>
      <c r="ED15" s="5" t="str">
        <f t="shared" si="51"/>
        <v>Reconoce experimentalmente las características de materiales en los diferentes estados de la materia.</v>
      </c>
      <c r="EE15" s="5" t="str">
        <f t="shared" si="51"/>
        <v xml:space="preserve">Valora la importancia de tener habitos saludables, para lograr el mantenimiento saludable del sistema inmune. </v>
      </c>
      <c r="EF15" s="5" t="str">
        <f t="shared" si="51"/>
        <v>Describe correctamente la secuencia de eventos biologicos de la fecundacion,incluyendo las recciones acrosomicas,la funcion de gametos y la formacion de gametos.</v>
      </c>
      <c r="EG15" s="5" t="str">
        <f t="shared" si="51"/>
        <v>Mide la capacidad del labolatrio para lograr la fecundacion exitosa de los ovulos con el espermatozoide.</v>
      </c>
      <c r="EH15" s="5" t="str">
        <f t="shared" si="51"/>
        <v>Valora la importancia del cuidado del cuerpo y de la salud reproductiva como la base para una fecundacion saludable.</v>
      </c>
      <c r="EI15" s="5" t="str">
        <f t="shared" si="51"/>
        <v>Explico las principales caracteristicas de algunas revoluciones de los siglos XVIII y XIX (Revolucion francesa, Industrial...)</v>
      </c>
      <c r="EJ15" s="5" t="str">
        <f t="shared" si="51"/>
        <v>Analiza las causas y consecuencias de procesos historicos como la Revolucion Industrial y Francesa.</v>
      </c>
      <c r="EK15" s="5" t="str">
        <f t="shared" si="51"/>
        <v>Muestra interes y curiosidad por comprender los procesos historicos y su impacto en la sociedad.</v>
      </c>
      <c r="EL15" s="5" t="str">
        <f t="shared" si="51"/>
        <v xml:space="preserve">Identifica los procesos historicos de algunas revoluciones de los siglos XVIII y XIX </v>
      </c>
      <c r="EM15" s="5">
        <f t="shared" si="51"/>
        <v>0</v>
      </c>
      <c r="EN15" s="5">
        <f t="shared" si="51"/>
        <v>0</v>
      </c>
      <c r="EO15" s="5" t="str">
        <f t="shared" si="51"/>
        <v xml:space="preserve">Comprende la distribucion espacial de la poblacion antes y despues de las revoluciones </v>
      </c>
      <c r="EP15" s="5" t="str">
        <f t="shared" si="51"/>
        <v xml:space="preserve">Ubica en mapas las regiones donde se desarrollaron las principales revoluciones y explica sus caracteristicas geograficas </v>
      </c>
      <c r="EQ15" s="5" t="str">
        <f t="shared" si="51"/>
        <v>Muestra interes por comprender la relacion entre sociedad, economia y territorio</v>
      </c>
      <c r="ER15" s="5" t="str">
        <f t="shared" si="51"/>
        <v>Comprende el concepto de cultura de paz y su importancia en la sociedad</v>
      </c>
      <c r="ES15" s="5" t="str">
        <f t="shared" si="51"/>
        <v>Practica normas de convivencia en diferentes espacios( aula, hogar, comunidad)</v>
      </c>
      <c r="ET15" s="5" t="str">
        <f t="shared" si="51"/>
        <v>Muestra actitud de respeto hacia la diversidad cuktural, social y de pensamiento</v>
      </c>
      <c r="EU15" s="5">
        <f t="shared" si="51"/>
        <v>0</v>
      </c>
      <c r="EV15" s="5">
        <f t="shared" si="51"/>
        <v>0</v>
      </c>
      <c r="EW15" s="5">
        <f t="shared" si="51"/>
        <v>0</v>
      </c>
      <c r="EX15" s="5">
        <f t="shared" si="51"/>
        <v>0</v>
      </c>
      <c r="EY15" s="5">
        <f t="shared" si="51"/>
        <v>0</v>
      </c>
      <c r="EZ15" s="5">
        <f t="shared" si="51"/>
        <v>0</v>
      </c>
      <c r="FA15" s="5">
        <f t="shared" si="51"/>
        <v>0</v>
      </c>
      <c r="FB15" s="5">
        <f t="shared" si="51"/>
        <v>0</v>
      </c>
      <c r="FC15" s="5">
        <f t="shared" si="51"/>
        <v>0</v>
      </c>
      <c r="FD15" s="5" t="str">
        <f t="shared" si="51"/>
        <v xml:space="preserve"> Identifica las expresiones motrices relacionadas con el juego del voleibol,  como una oportunidad para mejorar la salud, la estética y las relaciones con los demás.</v>
      </c>
      <c r="FE15" s="5" t="str">
        <f t="shared" si="51"/>
        <v>Pone en práctica los fundamentos básicos del voleibol.</v>
      </c>
      <c r="FF15" s="5" t="str">
        <f t="shared" si="51"/>
        <v>Muestra  responsabilidad y buena actitud al realizar el juego de voleibol.</v>
      </c>
      <c r="FG15" s="5" t="str">
        <f t="shared" si="51"/>
        <v>Comprende el concepto de variable como espacio de almacenamiento de datos y reconoce el uso de estructuras condicionales (si, si-no) para la toma de decisiones en un programa.</v>
      </c>
      <c r="FH15" s="5" t="str">
        <f t="shared" si="51"/>
        <v>Diseña y desarrolla programas que utilizan variables y estructuras condicionales para resolver problemas, evaluando condiciones y generando respuestas según diferentes situaciones.</v>
      </c>
      <c r="FI15" s="5" t="str">
        <f t="shared" si="51"/>
        <v>Muestra pensamiento lógico, perseverancia y actitud crítica al analizar errores y proponer soluciones en la construcción de programas con variables y condicionales.</v>
      </c>
      <c r="FJ15" s="5" t="str">
        <f t="shared" si="51"/>
        <v>Identifica y reconoce sus pricipales deberes y derechos dentro y fuera  de la Institución educativa.</v>
      </c>
    </row>
    <row r="16" spans="1:166">
      <c r="A16" s="5">
        <v>15</v>
      </c>
      <c r="B16" s="5" t="s">
        <v>85</v>
      </c>
      <c r="C16" s="6">
        <v>1044642866</v>
      </c>
      <c r="D16" s="5" t="s">
        <v>68</v>
      </c>
      <c r="E16" s="5" t="s">
        <v>69</v>
      </c>
      <c r="F16" s="5" t="s">
        <v>70</v>
      </c>
      <c r="G16" s="5" t="s">
        <v>71</v>
      </c>
      <c r="H16" s="5">
        <v>2026</v>
      </c>
      <c r="I16" s="5">
        <v>4</v>
      </c>
      <c r="J16" s="7">
        <v>3</v>
      </c>
      <c r="K16" s="7">
        <v>3.5</v>
      </c>
      <c r="L16" s="7">
        <v>4</v>
      </c>
      <c r="M16" s="5">
        <f t="shared" si="0"/>
        <v>3.5</v>
      </c>
      <c r="N16" s="5" t="str">
        <f t="shared" si="1"/>
        <v>BASICO</v>
      </c>
      <c r="O16" s="5">
        <v>1</v>
      </c>
      <c r="P16" s="7">
        <v>3.7</v>
      </c>
      <c r="Q16" s="7">
        <v>3.7</v>
      </c>
      <c r="R16" s="7">
        <v>3.7</v>
      </c>
      <c r="S16" s="5">
        <f t="shared" si="2"/>
        <v>3.7</v>
      </c>
      <c r="T16" s="5" t="str">
        <f t="shared" si="3"/>
        <v>BASICO</v>
      </c>
      <c r="U16" s="5">
        <v>4</v>
      </c>
      <c r="V16" s="7">
        <v>4</v>
      </c>
      <c r="W16" s="7">
        <v>4</v>
      </c>
      <c r="X16" s="7">
        <v>4</v>
      </c>
      <c r="Y16" s="5">
        <f t="shared" si="4"/>
        <v>4</v>
      </c>
      <c r="Z16" s="5" t="str">
        <f t="shared" si="5"/>
        <v>ALTO</v>
      </c>
      <c r="AA16" s="5">
        <v>1</v>
      </c>
      <c r="AB16" s="7">
        <v>3.4</v>
      </c>
      <c r="AC16" s="7">
        <v>3.4</v>
      </c>
      <c r="AD16" s="7">
        <v>3.4</v>
      </c>
      <c r="AE16" s="5">
        <f t="shared" si="6"/>
        <v>3.4</v>
      </c>
      <c r="AF16" s="5" t="str">
        <f t="shared" si="7"/>
        <v>BASICO</v>
      </c>
      <c r="AG16" s="5">
        <v>2</v>
      </c>
      <c r="AH16" s="8">
        <v>3.8</v>
      </c>
      <c r="AI16" s="8">
        <v>3.8</v>
      </c>
      <c r="AJ16" s="8">
        <v>3.8</v>
      </c>
      <c r="AK16" s="5">
        <f t="shared" si="8"/>
        <v>3.8</v>
      </c>
      <c r="AL16" s="5" t="str">
        <f t="shared" si="9"/>
        <v>BASICO</v>
      </c>
      <c r="AM16" s="5">
        <v>1</v>
      </c>
      <c r="AN16" s="8">
        <v>3.8</v>
      </c>
      <c r="AO16" s="8">
        <v>3.8</v>
      </c>
      <c r="AP16" s="8">
        <v>3.8</v>
      </c>
      <c r="AQ16" s="5">
        <f t="shared" si="10"/>
        <v>3.8</v>
      </c>
      <c r="AR16" s="5" t="str">
        <f t="shared" si="11"/>
        <v>BASICO</v>
      </c>
      <c r="AS16" s="5">
        <v>4</v>
      </c>
      <c r="AT16" s="7">
        <v>3.6</v>
      </c>
      <c r="AU16" s="7">
        <v>3.6</v>
      </c>
      <c r="AV16" s="7">
        <v>3.6</v>
      </c>
      <c r="AW16" s="5">
        <f t="shared" si="12"/>
        <v>3.6000000000000005</v>
      </c>
      <c r="AX16" s="5" t="str">
        <f t="shared" si="13"/>
        <v>BASICO</v>
      </c>
      <c r="AY16" s="5">
        <v>1</v>
      </c>
      <c r="AZ16" s="7">
        <v>5</v>
      </c>
      <c r="BA16" s="7">
        <v>5</v>
      </c>
      <c r="BB16" s="7">
        <v>5</v>
      </c>
      <c r="BC16" s="5">
        <f t="shared" si="14"/>
        <v>5</v>
      </c>
      <c r="BD16" s="5" t="str">
        <f t="shared" si="15"/>
        <v>SUPERIOR</v>
      </c>
      <c r="BE16" s="7">
        <v>2</v>
      </c>
      <c r="BF16" s="7">
        <v>3.5</v>
      </c>
      <c r="BG16" s="7">
        <v>3.8</v>
      </c>
      <c r="BH16" s="7">
        <v>4</v>
      </c>
      <c r="BI16" s="5">
        <f t="shared" si="16"/>
        <v>3.7700000000000005</v>
      </c>
      <c r="BJ16" s="5" t="str">
        <f t="shared" si="48"/>
        <v>BASICO</v>
      </c>
      <c r="BK16" s="5">
        <v>1</v>
      </c>
      <c r="BL16" s="7">
        <v>3.3</v>
      </c>
      <c r="BM16" s="7">
        <v>3.5</v>
      </c>
      <c r="BN16" s="7">
        <v>3.8</v>
      </c>
      <c r="BO16" s="5">
        <f t="shared" si="49"/>
        <v>3.5300000000000002</v>
      </c>
      <c r="BP16" s="5" t="str">
        <f t="shared" si="19"/>
        <v>BASICO</v>
      </c>
      <c r="BQ16" s="5">
        <v>1</v>
      </c>
      <c r="BR16" s="7">
        <v>3.5</v>
      </c>
      <c r="BS16" s="7">
        <v>3.8</v>
      </c>
      <c r="BT16" s="7">
        <v>4</v>
      </c>
      <c r="BU16" s="5">
        <f t="shared" si="20"/>
        <v>3.7700000000000005</v>
      </c>
      <c r="BV16" s="5" t="str">
        <f t="shared" si="21"/>
        <v>BASICO</v>
      </c>
      <c r="BW16" s="5">
        <v>1</v>
      </c>
      <c r="BX16" s="7">
        <v>3.3</v>
      </c>
      <c r="BY16" s="7">
        <v>3.7</v>
      </c>
      <c r="BZ16" s="7">
        <v>3.8</v>
      </c>
      <c r="CA16" s="5">
        <f t="shared" si="22"/>
        <v>3.6100000000000003</v>
      </c>
      <c r="CB16" s="5" t="str">
        <f t="shared" si="23"/>
        <v>BASICO</v>
      </c>
      <c r="CC16" s="5">
        <v>1</v>
      </c>
      <c r="CD16" s="7">
        <v>4.2</v>
      </c>
      <c r="CE16" s="7">
        <v>4</v>
      </c>
      <c r="CF16" s="7">
        <v>4</v>
      </c>
      <c r="CG16" s="5">
        <f t="shared" si="24"/>
        <v>4.0600000000000005</v>
      </c>
      <c r="CH16" s="5" t="str">
        <f t="shared" si="25"/>
        <v>ALTO</v>
      </c>
      <c r="CI16" s="5">
        <v>1</v>
      </c>
      <c r="CJ16" s="7">
        <v>4.4000000000000004</v>
      </c>
      <c r="CK16" s="7">
        <v>4.4000000000000004</v>
      </c>
      <c r="CL16" s="7">
        <v>4.4000000000000004</v>
      </c>
      <c r="CM16" s="5">
        <f t="shared" si="26"/>
        <v>4.4000000000000004</v>
      </c>
      <c r="CN16" s="5" t="str">
        <f t="shared" si="27"/>
        <v>ALTO</v>
      </c>
      <c r="CO16" s="5">
        <v>1</v>
      </c>
      <c r="CP16" s="7">
        <v>3.8</v>
      </c>
      <c r="CQ16" s="7">
        <v>3.8</v>
      </c>
      <c r="CR16" s="7">
        <v>3.8</v>
      </c>
      <c r="CS16" s="5">
        <f t="shared" si="28"/>
        <v>3.8</v>
      </c>
      <c r="CT16" s="5" t="str">
        <f t="shared" si="29"/>
        <v>BASICO</v>
      </c>
      <c r="CU16" s="5">
        <v>2</v>
      </c>
      <c r="CV16" s="7">
        <v>3</v>
      </c>
      <c r="CW16" s="7">
        <v>3</v>
      </c>
      <c r="CX16" s="7">
        <v>3</v>
      </c>
      <c r="CY16" s="5">
        <f t="shared" si="30"/>
        <v>3</v>
      </c>
      <c r="CZ16" s="5" t="str">
        <f t="shared" si="31"/>
        <v>BASICO</v>
      </c>
      <c r="DA16" s="5">
        <v>2</v>
      </c>
      <c r="DB16" s="7">
        <v>3.5</v>
      </c>
      <c r="DC16" s="7">
        <v>3.5</v>
      </c>
      <c r="DD16" s="7">
        <v>4</v>
      </c>
      <c r="DE16" s="5">
        <f t="shared" si="32"/>
        <v>3.6500000000000004</v>
      </c>
      <c r="DF16" s="5" t="str">
        <f t="shared" si="33"/>
        <v>BASICO</v>
      </c>
      <c r="DG16" s="5">
        <v>0</v>
      </c>
      <c r="DH16" s="7"/>
      <c r="DI16" s="5" t="str">
        <f t="shared" si="34"/>
        <v>BAJO</v>
      </c>
      <c r="DJ16" s="5">
        <f t="shared" si="35"/>
        <v>3.7887499999999998</v>
      </c>
      <c r="DK16" s="5" t="str">
        <f t="shared" si="36"/>
        <v>Comprende el concepto de números reales, su relación de orden y las propiedades de sus operaciones, así como las relaciones de semejanza y congruencia de distintas figuras geométricas.</v>
      </c>
      <c r="DL16" s="5" t="str">
        <f t="shared" ref="DL16:FJ16" si="52">DL15</f>
        <v>Aplica correctamente las propiedades de las operaciones de números reales y expresiones algebraicas en la resolución de problemas.</v>
      </c>
      <c r="DM16" s="5" t="str">
        <f t="shared" si="52"/>
        <v>Valora el uso del pensamiento lógico a la hora de plantear y resolver problemas de las matemáticas y de la vida cotidiana.</v>
      </c>
      <c r="DN16" s="5" t="str">
        <f t="shared" si="5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6" s="5" t="str">
        <f t="shared" si="52"/>
        <v>Organiza y analiza datos mediante la construcción de tablas de frecuencias y diagramas estadísticos, identificando variables aleatorias y utilizando estas representaciones para resolver situaciones problema.</v>
      </c>
      <c r="DP16" s="5" t="str">
        <f t="shared" si="52"/>
        <v>Muestra disposición y responsabilidad en el manejo y análisis de datos, participando activamente en actividades individuales y colaborativas, y comunicando información estadística con claridad y sentido crítico.</v>
      </c>
      <c r="DQ16" s="5" t="str">
        <f t="shared" si="52"/>
        <v>Analiza las características de la literatura prehispánica y la literatura del descubrimiento y la conquista en Colombia identificando sus elementos fundamentales y su impacto en la cultura y el lenguaje actual.</v>
      </c>
      <c r="DR16" s="5" t="str">
        <f t="shared" si="52"/>
        <v>Realiza comprensión lectora cuando analiza un texto desde el discurso de la Enunciación e identifica la función de cada uno de sus componentes.
Responde preguntas en los tres niveles de lectura a una leyenda del Caribe.</v>
      </c>
      <c r="DS16" s="5" t="str">
        <f t="shared" si="52"/>
        <v>Muestra disposición para participar activamente en las clases, promoviendo el respeto por las ideas ajenas y reconociendo la importancia de la precisión como una herramienta clave para una comunicación</v>
      </c>
      <c r="DT16" s="5" t="str">
        <f t="shared" si="52"/>
        <v>Comprende el contenido del cuento A la deriva, identificando su tema central, la secuencia de los hechos, los personajes y las ideas explícitas e implícitas del texto.</v>
      </c>
      <c r="DU16" s="5" t="str">
        <f t="shared" si="52"/>
        <v>Analiza críticamente el cuento A la deriva mediante la identificación de información literal, inferencial y crítica, sustentando sus respuestas de forma oral y escrita.</v>
      </c>
      <c r="DV16" s="5" t="str">
        <f t="shared" si="52"/>
        <v>Valora la lectura literaria como una oportunidad para reflexionar sobre la vida, la naturaleza y la condición humana, participando con interés, respeto y sentido crítico en las actividades propuestas.</v>
      </c>
      <c r="DW16" s="5" t="str">
        <f t="shared" si="52"/>
        <v>Comprende y reconoce vocabulario y estructuras basicas del ingles para interpretar textos cortos y conversaciones sobre temas cotidianos de la vida diaria.</v>
      </c>
      <c r="DX16" s="5" t="str">
        <f t="shared" si="52"/>
        <v>Produce de forma oral y escrita frases y parrafos cortos en Ingles, utilizando correctamente las estructuras conocidas para describir rutinas, narrar experiencias y participar en conversaciones.</v>
      </c>
      <c r="DY16" s="5" t="str">
        <f t="shared" si="52"/>
        <v>Muestra disposicion positiva hacia el aprendizaje del Ingles participando activamente en clase.</v>
      </c>
      <c r="DZ16" s="5" t="str">
        <f t="shared" si="52"/>
        <v>Identifica vocabulario en Ingles  de situaciones cotidianas.</v>
      </c>
      <c r="EA16" s="5" t="str">
        <f t="shared" si="52"/>
        <v>Participa en actividades utilizando vocabulario aprendido para expresar gustos,emociones y necesidades.</v>
      </c>
      <c r="EB16" s="5" t="str">
        <f t="shared" si="52"/>
        <v>Respeta la opinion de los demas, muestra disposicion para participar en actividades orales.</v>
      </c>
      <c r="EC16" s="5" t="str">
        <f t="shared" si="52"/>
        <v>Identifica la conformación y funcionamiento del sistema inmunolófico y diferencia las característics de los estados de la materia.</v>
      </c>
      <c r="ED16" s="5" t="str">
        <f t="shared" si="52"/>
        <v>Reconoce experimentalmente las características de materiales en los diferentes estados de la materia.</v>
      </c>
      <c r="EE16" s="5" t="str">
        <f t="shared" si="52"/>
        <v xml:space="preserve">Valora la importancia de tener habitos saludables, para lograr el mantenimiento saludable del sistema inmune. </v>
      </c>
      <c r="EF16" s="5" t="str">
        <f t="shared" si="52"/>
        <v>Describe correctamente la secuencia de eventos biologicos de la fecundacion,incluyendo las recciones acrosomicas,la funcion de gametos y la formacion de gametos.</v>
      </c>
      <c r="EG16" s="5" t="str">
        <f t="shared" si="52"/>
        <v>Mide la capacidad del labolatrio para lograr la fecundacion exitosa de los ovulos con el espermatozoide.</v>
      </c>
      <c r="EH16" s="5" t="str">
        <f t="shared" si="52"/>
        <v>Valora la importancia del cuidado del cuerpo y de la salud reproductiva como la base para una fecundacion saludable.</v>
      </c>
      <c r="EI16" s="5" t="str">
        <f t="shared" si="52"/>
        <v>Explico las principales caracteristicas de algunas revoluciones de los siglos XVIII y XIX (Revolucion francesa, Industrial...)</v>
      </c>
      <c r="EJ16" s="5" t="str">
        <f t="shared" si="52"/>
        <v>Analiza las causas y consecuencias de procesos historicos como la Revolucion Industrial y Francesa.</v>
      </c>
      <c r="EK16" s="5" t="str">
        <f t="shared" si="52"/>
        <v>Muestra interes y curiosidad por comprender los procesos historicos y su impacto en la sociedad.</v>
      </c>
      <c r="EL16" s="5" t="str">
        <f t="shared" si="52"/>
        <v xml:space="preserve">Identifica los procesos historicos de algunas revoluciones de los siglos XVIII y XIX </v>
      </c>
      <c r="EM16" s="5">
        <f t="shared" si="52"/>
        <v>0</v>
      </c>
      <c r="EN16" s="5">
        <f t="shared" si="52"/>
        <v>0</v>
      </c>
      <c r="EO16" s="5" t="str">
        <f t="shared" si="52"/>
        <v xml:space="preserve">Comprende la distribucion espacial de la poblacion antes y despues de las revoluciones </v>
      </c>
      <c r="EP16" s="5" t="str">
        <f t="shared" si="52"/>
        <v xml:space="preserve">Ubica en mapas las regiones donde se desarrollaron las principales revoluciones y explica sus caracteristicas geograficas </v>
      </c>
      <c r="EQ16" s="5" t="str">
        <f t="shared" si="52"/>
        <v>Muestra interes por comprender la relacion entre sociedad, economia y territorio</v>
      </c>
      <c r="ER16" s="5" t="str">
        <f t="shared" si="52"/>
        <v>Comprende el concepto de cultura de paz y su importancia en la sociedad</v>
      </c>
      <c r="ES16" s="5" t="str">
        <f t="shared" si="52"/>
        <v>Practica normas de convivencia en diferentes espacios( aula, hogar, comunidad)</v>
      </c>
      <c r="ET16" s="5" t="str">
        <f t="shared" si="52"/>
        <v>Muestra actitud de respeto hacia la diversidad cuktural, social y de pensamiento</v>
      </c>
      <c r="EU16" s="5">
        <f t="shared" si="52"/>
        <v>0</v>
      </c>
      <c r="EV16" s="5">
        <f t="shared" si="52"/>
        <v>0</v>
      </c>
      <c r="EW16" s="5">
        <f t="shared" si="52"/>
        <v>0</v>
      </c>
      <c r="EX16" s="5">
        <f t="shared" si="52"/>
        <v>0</v>
      </c>
      <c r="EY16" s="5">
        <f t="shared" si="52"/>
        <v>0</v>
      </c>
      <c r="EZ16" s="5">
        <f t="shared" si="52"/>
        <v>0</v>
      </c>
      <c r="FA16" s="5">
        <f t="shared" si="52"/>
        <v>0</v>
      </c>
      <c r="FB16" s="5">
        <f t="shared" si="52"/>
        <v>0</v>
      </c>
      <c r="FC16" s="5">
        <f t="shared" si="52"/>
        <v>0</v>
      </c>
      <c r="FD16" s="5" t="str">
        <f t="shared" si="52"/>
        <v xml:space="preserve"> Identifica las expresiones motrices relacionadas con el juego del voleibol,  como una oportunidad para mejorar la salud, la estética y las relaciones con los demás.</v>
      </c>
      <c r="FE16" s="5" t="str">
        <f t="shared" si="52"/>
        <v>Pone en práctica los fundamentos básicos del voleibol.</v>
      </c>
      <c r="FF16" s="5" t="str">
        <f t="shared" si="52"/>
        <v>Muestra  responsabilidad y buena actitud al realizar el juego de voleibol.</v>
      </c>
      <c r="FG16" s="5" t="str">
        <f t="shared" si="52"/>
        <v>Comprende el concepto de variable como espacio de almacenamiento de datos y reconoce el uso de estructuras condicionales (si, si-no) para la toma de decisiones en un programa.</v>
      </c>
      <c r="FH16" s="5" t="str">
        <f t="shared" si="52"/>
        <v>Diseña y desarrolla programas que utilizan variables y estructuras condicionales para resolver problemas, evaluando condiciones y generando respuestas según diferentes situaciones.</v>
      </c>
      <c r="FI16" s="5" t="str">
        <f t="shared" si="52"/>
        <v>Muestra pensamiento lógico, perseverancia y actitud crítica al analizar errores y proponer soluciones en la construcción de programas con variables y condicionales.</v>
      </c>
      <c r="FJ16" s="5" t="str">
        <f t="shared" si="52"/>
        <v>Identifica y reconoce sus pricipales deberes y derechos dentro y fuera  de la Institución educativa.</v>
      </c>
    </row>
    <row r="17" spans="1:166">
      <c r="A17" s="5">
        <v>16</v>
      </c>
      <c r="B17" s="5" t="s">
        <v>86</v>
      </c>
      <c r="C17" s="6">
        <v>1044649891</v>
      </c>
      <c r="D17" s="5" t="s">
        <v>68</v>
      </c>
      <c r="E17" s="5" t="s">
        <v>69</v>
      </c>
      <c r="F17" s="5" t="s">
        <v>70</v>
      </c>
      <c r="G17" s="5" t="s">
        <v>71</v>
      </c>
      <c r="H17" s="5">
        <v>2026</v>
      </c>
      <c r="I17" s="5">
        <v>4</v>
      </c>
      <c r="J17" s="7">
        <v>4</v>
      </c>
      <c r="K17" s="7">
        <v>4</v>
      </c>
      <c r="L17" s="7">
        <v>4</v>
      </c>
      <c r="M17" s="5">
        <f t="shared" si="0"/>
        <v>4</v>
      </c>
      <c r="N17" s="5" t="str">
        <f t="shared" si="1"/>
        <v>ALTO</v>
      </c>
      <c r="O17" s="5">
        <v>1</v>
      </c>
      <c r="P17" s="7">
        <v>4.5</v>
      </c>
      <c r="Q17" s="7">
        <v>4.5</v>
      </c>
      <c r="R17" s="7">
        <v>4.5</v>
      </c>
      <c r="S17" s="5">
        <f t="shared" si="2"/>
        <v>4.5</v>
      </c>
      <c r="T17" s="5" t="str">
        <f t="shared" si="3"/>
        <v>SUPERIOR</v>
      </c>
      <c r="U17" s="5">
        <v>4</v>
      </c>
      <c r="V17" s="7">
        <v>5</v>
      </c>
      <c r="W17" s="7">
        <v>5</v>
      </c>
      <c r="X17" s="7">
        <v>5</v>
      </c>
      <c r="Y17" s="5">
        <f t="shared" si="4"/>
        <v>5</v>
      </c>
      <c r="Z17" s="5" t="str">
        <f t="shared" si="5"/>
        <v>SUPERIOR</v>
      </c>
      <c r="AA17" s="5">
        <v>1</v>
      </c>
      <c r="AB17" s="7">
        <v>3.6</v>
      </c>
      <c r="AC17" s="7">
        <v>3.6</v>
      </c>
      <c r="AD17" s="7">
        <v>3.6</v>
      </c>
      <c r="AE17" s="5">
        <f t="shared" si="6"/>
        <v>3.6000000000000005</v>
      </c>
      <c r="AF17" s="5" t="str">
        <f t="shared" si="7"/>
        <v>BASICO</v>
      </c>
      <c r="AG17" s="5">
        <v>2</v>
      </c>
      <c r="AH17" s="8">
        <v>4.8</v>
      </c>
      <c r="AI17" s="8">
        <v>4.8</v>
      </c>
      <c r="AJ17" s="8">
        <v>4.8</v>
      </c>
      <c r="AK17" s="5">
        <f t="shared" si="8"/>
        <v>4.8</v>
      </c>
      <c r="AL17" s="5" t="str">
        <f t="shared" si="9"/>
        <v>SUPERIOR</v>
      </c>
      <c r="AM17" s="5">
        <v>1</v>
      </c>
      <c r="AN17" s="8">
        <v>4.8</v>
      </c>
      <c r="AO17" s="8">
        <v>4.8</v>
      </c>
      <c r="AP17" s="8">
        <v>4.8</v>
      </c>
      <c r="AQ17" s="5">
        <f t="shared" si="10"/>
        <v>4.8</v>
      </c>
      <c r="AR17" s="5" t="str">
        <f t="shared" si="11"/>
        <v>SUPERIOR</v>
      </c>
      <c r="AS17" s="5">
        <v>4</v>
      </c>
      <c r="AT17" s="7">
        <v>3.8</v>
      </c>
      <c r="AU17" s="7">
        <v>3.8</v>
      </c>
      <c r="AV17" s="7">
        <v>3.8</v>
      </c>
      <c r="AW17" s="5">
        <f t="shared" si="12"/>
        <v>3.8</v>
      </c>
      <c r="AX17" s="5" t="str">
        <f t="shared" ref="AX17:AX42" si="53">IF(AW17&lt;3,"BAJO",IF(AW17&lt;4,"BASICO",IF(AW17&lt;4.5,"ALTO",IF(AW61&lt;=5,"SUPERIOR"))))</f>
        <v>BASICO</v>
      </c>
      <c r="AY17" s="5">
        <v>1</v>
      </c>
      <c r="AZ17" s="7">
        <v>5</v>
      </c>
      <c r="BA17" s="7">
        <v>5</v>
      </c>
      <c r="BB17" s="7">
        <v>5</v>
      </c>
      <c r="BC17" s="5">
        <f t="shared" si="14"/>
        <v>5</v>
      </c>
      <c r="BD17" s="5" t="str">
        <f t="shared" si="15"/>
        <v>SUPERIOR</v>
      </c>
      <c r="BE17" s="7">
        <v>2</v>
      </c>
      <c r="BF17" s="7">
        <v>4</v>
      </c>
      <c r="BG17" s="7">
        <v>4.5</v>
      </c>
      <c r="BH17" s="7">
        <v>4</v>
      </c>
      <c r="BI17" s="5">
        <f t="shared" si="16"/>
        <v>4.2</v>
      </c>
      <c r="BJ17" s="5" t="str">
        <f t="shared" si="48"/>
        <v>ALTO</v>
      </c>
      <c r="BK17" s="5">
        <v>1</v>
      </c>
      <c r="BL17" s="7">
        <v>4.5</v>
      </c>
      <c r="BM17" s="7">
        <v>4.4000000000000004</v>
      </c>
      <c r="BN17" s="7">
        <v>4</v>
      </c>
      <c r="BO17" s="5">
        <f t="shared" si="49"/>
        <v>4.3100000000000005</v>
      </c>
      <c r="BP17" s="5" t="str">
        <f t="shared" si="19"/>
        <v>ALTO</v>
      </c>
      <c r="BQ17" s="5">
        <v>1</v>
      </c>
      <c r="BR17" s="7">
        <v>4</v>
      </c>
      <c r="BS17" s="7">
        <v>4.5</v>
      </c>
      <c r="BT17" s="7">
        <v>4.5</v>
      </c>
      <c r="BU17" s="5">
        <f t="shared" si="20"/>
        <v>4.3499999999999996</v>
      </c>
      <c r="BV17" s="5" t="str">
        <f t="shared" si="21"/>
        <v>ALTO</v>
      </c>
      <c r="BW17" s="5">
        <v>1</v>
      </c>
      <c r="BX17" s="7">
        <v>4</v>
      </c>
      <c r="BY17" s="7">
        <v>4.5</v>
      </c>
      <c r="BZ17" s="7">
        <v>4.3</v>
      </c>
      <c r="CA17" s="5">
        <f t="shared" si="22"/>
        <v>4.29</v>
      </c>
      <c r="CB17" s="5" t="str">
        <f t="shared" si="23"/>
        <v>ALTO</v>
      </c>
      <c r="CC17" s="5">
        <v>1</v>
      </c>
      <c r="CD17" s="7">
        <v>5</v>
      </c>
      <c r="CE17" s="7">
        <v>4.9000000000000004</v>
      </c>
      <c r="CF17" s="7">
        <v>4.9000000000000004</v>
      </c>
      <c r="CG17" s="5">
        <f t="shared" si="24"/>
        <v>4.93</v>
      </c>
      <c r="CH17" s="5" t="str">
        <f t="shared" si="25"/>
        <v>SUPERIOR</v>
      </c>
      <c r="CI17" s="5">
        <v>1</v>
      </c>
      <c r="CJ17" s="7">
        <v>4.5</v>
      </c>
      <c r="CK17" s="7">
        <v>4.5</v>
      </c>
      <c r="CL17" s="7">
        <v>4.5</v>
      </c>
      <c r="CM17" s="5">
        <f t="shared" si="26"/>
        <v>4.5</v>
      </c>
      <c r="CN17" s="5" t="str">
        <f t="shared" si="27"/>
        <v>SUPERIOR</v>
      </c>
      <c r="CO17" s="5">
        <v>1</v>
      </c>
      <c r="CP17" s="7">
        <v>5</v>
      </c>
      <c r="CQ17" s="7">
        <v>5</v>
      </c>
      <c r="CR17" s="7">
        <v>5</v>
      </c>
      <c r="CS17" s="5">
        <f t="shared" si="28"/>
        <v>5</v>
      </c>
      <c r="CT17" s="5" t="str">
        <f t="shared" si="29"/>
        <v>SUPERIOR</v>
      </c>
      <c r="CU17" s="5">
        <v>2</v>
      </c>
      <c r="CV17" s="7">
        <v>3.5</v>
      </c>
      <c r="CW17" s="7">
        <v>3.5</v>
      </c>
      <c r="CX17" s="7">
        <v>3.5</v>
      </c>
      <c r="CY17" s="5">
        <f t="shared" si="30"/>
        <v>3.5</v>
      </c>
      <c r="CZ17" s="5" t="str">
        <f t="shared" si="31"/>
        <v>BASICO</v>
      </c>
      <c r="DA17" s="5">
        <v>2</v>
      </c>
      <c r="DB17" s="7">
        <v>3.5</v>
      </c>
      <c r="DC17" s="7">
        <v>3.5</v>
      </c>
      <c r="DD17" s="7">
        <v>4.5</v>
      </c>
      <c r="DE17" s="5">
        <f t="shared" si="32"/>
        <v>3.8</v>
      </c>
      <c r="DF17" s="5" t="str">
        <f t="shared" si="33"/>
        <v>BASICO</v>
      </c>
      <c r="DG17" s="5">
        <v>0</v>
      </c>
      <c r="DH17" s="7"/>
      <c r="DI17" s="5" t="str">
        <f t="shared" si="34"/>
        <v>BAJO</v>
      </c>
      <c r="DJ17" s="5">
        <f t="shared" si="35"/>
        <v>4.3768750000000001</v>
      </c>
      <c r="DK17" s="5" t="str">
        <f t="shared" si="36"/>
        <v>Comprende el concepto de números reales, su relación de orden y las propiedades de sus operaciones, así como las relaciones de semejanza y congruencia de distintas figuras geométricas.</v>
      </c>
      <c r="DL17" s="5" t="str">
        <f t="shared" ref="DL17:FJ17" si="54">DL15</f>
        <v>Aplica correctamente las propiedades de las operaciones de números reales y expresiones algebraicas en la resolución de problemas.</v>
      </c>
      <c r="DM17" s="5" t="str">
        <f t="shared" si="54"/>
        <v>Valora el uso del pensamiento lógico a la hora de plantear y resolver problemas de las matemáticas y de la vida cotidiana.</v>
      </c>
      <c r="DN17" s="5" t="str">
        <f t="shared" si="5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7" s="5" t="str">
        <f t="shared" si="54"/>
        <v>Organiza y analiza datos mediante la construcción de tablas de frecuencias y diagramas estadísticos, identificando variables aleatorias y utilizando estas representaciones para resolver situaciones problema.</v>
      </c>
      <c r="DP17" s="5" t="str">
        <f t="shared" si="54"/>
        <v>Muestra disposición y responsabilidad en el manejo y análisis de datos, participando activamente en actividades individuales y colaborativas, y comunicando información estadística con claridad y sentido crítico.</v>
      </c>
      <c r="DQ17" s="5" t="str">
        <f t="shared" si="54"/>
        <v>Analiza las características de la literatura prehispánica y la literatura del descubrimiento y la conquista en Colombia identificando sus elementos fundamentales y su impacto en la cultura y el lenguaje actual.</v>
      </c>
      <c r="DR17" s="5" t="str">
        <f t="shared" si="54"/>
        <v>Realiza comprensión lectora cuando analiza un texto desde el discurso de la Enunciación e identifica la función de cada uno de sus componentes.
Responde preguntas en los tres niveles de lectura a una leyenda del Caribe.</v>
      </c>
      <c r="DS17" s="5" t="str">
        <f t="shared" si="54"/>
        <v>Muestra disposición para participar activamente en las clases, promoviendo el respeto por las ideas ajenas y reconociendo la importancia de la precisión como una herramienta clave para una comunicación</v>
      </c>
      <c r="DT17" s="5" t="str">
        <f t="shared" si="54"/>
        <v>Comprende el contenido del cuento A la deriva, identificando su tema central, la secuencia de los hechos, los personajes y las ideas explícitas e implícitas del texto.</v>
      </c>
      <c r="DU17" s="5" t="str">
        <f t="shared" si="54"/>
        <v>Analiza críticamente el cuento A la deriva mediante la identificación de información literal, inferencial y crítica, sustentando sus respuestas de forma oral y escrita.</v>
      </c>
      <c r="DV17" s="5" t="str">
        <f t="shared" si="54"/>
        <v>Valora la lectura literaria como una oportunidad para reflexionar sobre la vida, la naturaleza y la condición humana, participando con interés, respeto y sentido crítico en las actividades propuestas.</v>
      </c>
      <c r="DW17" s="5" t="str">
        <f t="shared" si="54"/>
        <v>Comprende y reconoce vocabulario y estructuras basicas del ingles para interpretar textos cortos y conversaciones sobre temas cotidianos de la vida diaria.</v>
      </c>
      <c r="DX17" s="5" t="str">
        <f t="shared" si="54"/>
        <v>Produce de forma oral y escrita frases y parrafos cortos en Ingles, utilizando correctamente las estructuras conocidas para describir rutinas, narrar experiencias y participar en conversaciones.</v>
      </c>
      <c r="DY17" s="5" t="str">
        <f t="shared" si="54"/>
        <v>Muestra disposicion positiva hacia el aprendizaje del Ingles participando activamente en clase.</v>
      </c>
      <c r="DZ17" s="5" t="str">
        <f t="shared" si="54"/>
        <v>Identifica vocabulario en Ingles  de situaciones cotidianas.</v>
      </c>
      <c r="EA17" s="5" t="str">
        <f t="shared" si="54"/>
        <v>Participa en actividades utilizando vocabulario aprendido para expresar gustos,emociones y necesidades.</v>
      </c>
      <c r="EB17" s="5" t="str">
        <f t="shared" si="54"/>
        <v>Respeta la opinion de los demas, muestra disposicion para participar en actividades orales.</v>
      </c>
      <c r="EC17" s="5" t="str">
        <f t="shared" si="54"/>
        <v>Identifica la conformación y funcionamiento del sistema inmunolófico y diferencia las característics de los estados de la materia.</v>
      </c>
      <c r="ED17" s="5" t="str">
        <f t="shared" si="54"/>
        <v>Reconoce experimentalmente las características de materiales en los diferentes estados de la materia.</v>
      </c>
      <c r="EE17" s="5" t="str">
        <f t="shared" si="54"/>
        <v xml:space="preserve">Valora la importancia de tener habitos saludables, para lograr el mantenimiento saludable del sistema inmune. </v>
      </c>
      <c r="EF17" s="5" t="str">
        <f t="shared" si="54"/>
        <v>Describe correctamente la secuencia de eventos biologicos de la fecundacion,incluyendo las recciones acrosomicas,la funcion de gametos y la formacion de gametos.</v>
      </c>
      <c r="EG17" s="5" t="str">
        <f t="shared" si="54"/>
        <v>Mide la capacidad del labolatrio para lograr la fecundacion exitosa de los ovulos con el espermatozoide.</v>
      </c>
      <c r="EH17" s="5" t="str">
        <f t="shared" si="54"/>
        <v>Valora la importancia del cuidado del cuerpo y de la salud reproductiva como la base para una fecundacion saludable.</v>
      </c>
      <c r="EI17" s="5" t="str">
        <f t="shared" si="54"/>
        <v>Explico las principales caracteristicas de algunas revoluciones de los siglos XVIII y XIX (Revolucion francesa, Industrial...)</v>
      </c>
      <c r="EJ17" s="5" t="str">
        <f t="shared" si="54"/>
        <v>Analiza las causas y consecuencias de procesos historicos como la Revolucion Industrial y Francesa.</v>
      </c>
      <c r="EK17" s="5" t="str">
        <f t="shared" si="54"/>
        <v>Muestra interes y curiosidad por comprender los procesos historicos y su impacto en la sociedad.</v>
      </c>
      <c r="EL17" s="5" t="str">
        <f t="shared" si="54"/>
        <v xml:space="preserve">Identifica los procesos historicos de algunas revoluciones de los siglos XVIII y XIX </v>
      </c>
      <c r="EM17" s="5">
        <f t="shared" si="54"/>
        <v>0</v>
      </c>
      <c r="EN17" s="5">
        <f t="shared" si="54"/>
        <v>0</v>
      </c>
      <c r="EO17" s="5" t="str">
        <f t="shared" si="54"/>
        <v xml:space="preserve">Comprende la distribucion espacial de la poblacion antes y despues de las revoluciones </v>
      </c>
      <c r="EP17" s="5" t="str">
        <f t="shared" si="54"/>
        <v xml:space="preserve">Ubica en mapas las regiones donde se desarrollaron las principales revoluciones y explica sus caracteristicas geograficas </v>
      </c>
      <c r="EQ17" s="5" t="str">
        <f t="shared" si="54"/>
        <v>Muestra interes por comprender la relacion entre sociedad, economia y territorio</v>
      </c>
      <c r="ER17" s="5" t="str">
        <f t="shared" si="54"/>
        <v>Comprende el concepto de cultura de paz y su importancia en la sociedad</v>
      </c>
      <c r="ES17" s="5" t="str">
        <f t="shared" si="54"/>
        <v>Practica normas de convivencia en diferentes espacios( aula, hogar, comunidad)</v>
      </c>
      <c r="ET17" s="5" t="str">
        <f t="shared" si="54"/>
        <v>Muestra actitud de respeto hacia la diversidad cuktural, social y de pensamiento</v>
      </c>
      <c r="EU17" s="5">
        <f t="shared" si="54"/>
        <v>0</v>
      </c>
      <c r="EV17" s="5">
        <f t="shared" si="54"/>
        <v>0</v>
      </c>
      <c r="EW17" s="5">
        <f t="shared" si="54"/>
        <v>0</v>
      </c>
      <c r="EX17" s="5">
        <f t="shared" si="54"/>
        <v>0</v>
      </c>
      <c r="EY17" s="5">
        <f t="shared" si="54"/>
        <v>0</v>
      </c>
      <c r="EZ17" s="5">
        <f t="shared" si="54"/>
        <v>0</v>
      </c>
      <c r="FA17" s="5">
        <f t="shared" si="54"/>
        <v>0</v>
      </c>
      <c r="FB17" s="5">
        <f t="shared" si="54"/>
        <v>0</v>
      </c>
      <c r="FC17" s="5">
        <f t="shared" si="54"/>
        <v>0</v>
      </c>
      <c r="FD17" s="5" t="str">
        <f t="shared" si="54"/>
        <v xml:space="preserve"> Identifica las expresiones motrices relacionadas con el juego del voleibol,  como una oportunidad para mejorar la salud, la estética y las relaciones con los demás.</v>
      </c>
      <c r="FE17" s="5" t="str">
        <f t="shared" si="54"/>
        <v>Pone en práctica los fundamentos básicos del voleibol.</v>
      </c>
      <c r="FF17" s="5" t="str">
        <f t="shared" si="54"/>
        <v>Muestra  responsabilidad y buena actitud al realizar el juego de voleibol.</v>
      </c>
      <c r="FG17" s="5" t="str">
        <f t="shared" si="54"/>
        <v>Comprende el concepto de variable como espacio de almacenamiento de datos y reconoce el uso de estructuras condicionales (si, si-no) para la toma de decisiones en un programa.</v>
      </c>
      <c r="FH17" s="5" t="str">
        <f t="shared" si="54"/>
        <v>Diseña y desarrolla programas que utilizan variables y estructuras condicionales para resolver problemas, evaluando condiciones y generando respuestas según diferentes situaciones.</v>
      </c>
      <c r="FI17" s="5" t="str">
        <f t="shared" si="54"/>
        <v>Muestra pensamiento lógico, perseverancia y actitud crítica al analizar errores y proponer soluciones en la construcción de programas con variables y condicionales.</v>
      </c>
      <c r="FJ17" s="5" t="str">
        <f t="shared" si="54"/>
        <v>Identifica y reconoce sus pricipales deberes y derechos dentro y fuera  de la Institución educativa.</v>
      </c>
    </row>
    <row r="18" spans="1:166">
      <c r="A18" s="5">
        <v>17</v>
      </c>
      <c r="B18" s="5" t="s">
        <v>87</v>
      </c>
      <c r="C18" s="6">
        <v>1046711252</v>
      </c>
      <c r="D18" s="5" t="s">
        <v>68</v>
      </c>
      <c r="E18" s="5" t="s">
        <v>69</v>
      </c>
      <c r="F18" s="5" t="s">
        <v>70</v>
      </c>
      <c r="G18" s="5" t="s">
        <v>71</v>
      </c>
      <c r="H18" s="5">
        <v>2026</v>
      </c>
      <c r="I18" s="5">
        <v>4</v>
      </c>
      <c r="J18" s="7">
        <v>3</v>
      </c>
      <c r="K18" s="7">
        <v>3.1</v>
      </c>
      <c r="L18" s="7">
        <v>3.2</v>
      </c>
      <c r="M18" s="5">
        <f t="shared" si="0"/>
        <v>3.1</v>
      </c>
      <c r="N18" s="5" t="str">
        <f t="shared" si="1"/>
        <v>BASICO</v>
      </c>
      <c r="O18" s="5">
        <v>1</v>
      </c>
      <c r="P18" s="7">
        <v>2.5</v>
      </c>
      <c r="Q18" s="7">
        <v>2.5</v>
      </c>
      <c r="R18" s="7">
        <v>2.5</v>
      </c>
      <c r="S18" s="5">
        <f t="shared" si="2"/>
        <v>2.5</v>
      </c>
      <c r="T18" s="5" t="str">
        <f t="shared" si="3"/>
        <v>BAJO</v>
      </c>
      <c r="U18" s="5">
        <v>4</v>
      </c>
      <c r="V18" s="7">
        <v>3.5</v>
      </c>
      <c r="W18" s="7">
        <v>3.5</v>
      </c>
      <c r="X18" s="7">
        <v>3.5</v>
      </c>
      <c r="Y18" s="5">
        <f t="shared" si="4"/>
        <v>3.5</v>
      </c>
      <c r="Z18" s="5" t="str">
        <f t="shared" si="5"/>
        <v>BASICO</v>
      </c>
      <c r="AA18" s="5">
        <v>1</v>
      </c>
      <c r="AB18" s="7">
        <v>2.7</v>
      </c>
      <c r="AC18" s="7">
        <v>2.7</v>
      </c>
      <c r="AD18" s="7">
        <v>2.7</v>
      </c>
      <c r="AE18" s="5">
        <f t="shared" si="6"/>
        <v>2.7</v>
      </c>
      <c r="AF18" s="5" t="str">
        <f t="shared" si="7"/>
        <v>BAJO</v>
      </c>
      <c r="AG18" s="5">
        <v>2</v>
      </c>
      <c r="AH18" s="8">
        <v>3</v>
      </c>
      <c r="AI18" s="8">
        <v>3.5</v>
      </c>
      <c r="AJ18" s="8">
        <v>3.5</v>
      </c>
      <c r="AK18" s="5">
        <f t="shared" si="8"/>
        <v>3.3499999999999996</v>
      </c>
      <c r="AL18" s="5" t="str">
        <f t="shared" si="9"/>
        <v>BASICO</v>
      </c>
      <c r="AM18" s="5">
        <v>1</v>
      </c>
      <c r="AN18" s="8">
        <v>3</v>
      </c>
      <c r="AO18" s="8">
        <v>3.5</v>
      </c>
      <c r="AP18" s="8">
        <v>3.5</v>
      </c>
      <c r="AQ18" s="5">
        <f t="shared" si="10"/>
        <v>3.3499999999999996</v>
      </c>
      <c r="AR18" s="5" t="str">
        <f t="shared" si="11"/>
        <v>BASICO</v>
      </c>
      <c r="AS18" s="5">
        <v>4</v>
      </c>
      <c r="AT18" s="7">
        <v>3.5</v>
      </c>
      <c r="AU18" s="7">
        <v>3.5</v>
      </c>
      <c r="AV18" s="7">
        <v>3.5</v>
      </c>
      <c r="AW18" s="5">
        <f t="shared" si="12"/>
        <v>3.5</v>
      </c>
      <c r="AX18" s="5" t="str">
        <f t="shared" si="53"/>
        <v>BASICO</v>
      </c>
      <c r="AY18" s="5">
        <v>1</v>
      </c>
      <c r="AZ18" s="7">
        <v>4</v>
      </c>
      <c r="BA18" s="7">
        <v>4</v>
      </c>
      <c r="BB18" s="7">
        <v>4</v>
      </c>
      <c r="BC18" s="5">
        <f t="shared" si="14"/>
        <v>4</v>
      </c>
      <c r="BD18" s="5" t="str">
        <f t="shared" si="15"/>
        <v>ALTO</v>
      </c>
      <c r="BE18" s="7">
        <v>2</v>
      </c>
      <c r="BF18" s="7">
        <v>3.6</v>
      </c>
      <c r="BG18" s="7">
        <v>3.5</v>
      </c>
      <c r="BH18" s="7">
        <v>3.7</v>
      </c>
      <c r="BI18" s="5">
        <f t="shared" si="16"/>
        <v>3.5900000000000007</v>
      </c>
      <c r="BJ18" s="5" t="str">
        <f t="shared" si="48"/>
        <v>BASICO</v>
      </c>
      <c r="BK18" s="5">
        <v>1</v>
      </c>
      <c r="BL18" s="7">
        <v>3.5</v>
      </c>
      <c r="BM18" s="7">
        <v>3.8</v>
      </c>
      <c r="BN18" s="7">
        <v>3.3</v>
      </c>
      <c r="BO18" s="5">
        <f t="shared" si="49"/>
        <v>3.56</v>
      </c>
      <c r="BP18" s="5" t="str">
        <f t="shared" si="19"/>
        <v>BASICO</v>
      </c>
      <c r="BQ18" s="5">
        <v>1</v>
      </c>
      <c r="BR18" s="7">
        <v>3.3</v>
      </c>
      <c r="BS18" s="7">
        <v>3.6</v>
      </c>
      <c r="BT18" s="7">
        <v>3.8</v>
      </c>
      <c r="BU18" s="5">
        <f t="shared" si="20"/>
        <v>3.5700000000000003</v>
      </c>
      <c r="BV18" s="5" t="str">
        <f t="shared" si="21"/>
        <v>BASICO</v>
      </c>
      <c r="BW18" s="5">
        <v>1</v>
      </c>
      <c r="BX18" s="7">
        <v>2</v>
      </c>
      <c r="BY18" s="7">
        <v>2.5</v>
      </c>
      <c r="BZ18" s="7">
        <v>2.6</v>
      </c>
      <c r="CA18" s="5">
        <f t="shared" si="22"/>
        <v>2.38</v>
      </c>
      <c r="CB18" s="5" t="str">
        <f t="shared" si="23"/>
        <v>BAJO</v>
      </c>
      <c r="CC18" s="5">
        <v>1</v>
      </c>
      <c r="CD18" s="7">
        <v>3.8</v>
      </c>
      <c r="CE18" s="7">
        <v>3.7</v>
      </c>
      <c r="CF18" s="7">
        <v>3.7</v>
      </c>
      <c r="CG18" s="5">
        <f t="shared" si="24"/>
        <v>3.7300000000000004</v>
      </c>
      <c r="CH18" s="5" t="str">
        <f t="shared" si="25"/>
        <v>BASICO</v>
      </c>
      <c r="CI18" s="5">
        <v>1</v>
      </c>
      <c r="CJ18" s="7">
        <v>4</v>
      </c>
      <c r="CK18" s="7">
        <v>4</v>
      </c>
      <c r="CL18" s="7">
        <v>4</v>
      </c>
      <c r="CM18" s="5">
        <f t="shared" si="26"/>
        <v>4</v>
      </c>
      <c r="CN18" s="5" t="str">
        <f t="shared" si="27"/>
        <v>ALTO</v>
      </c>
      <c r="CO18" s="5">
        <v>1</v>
      </c>
      <c r="CP18" s="7">
        <v>5</v>
      </c>
      <c r="CQ18" s="7">
        <v>5</v>
      </c>
      <c r="CR18" s="7">
        <v>5</v>
      </c>
      <c r="CS18" s="5">
        <f t="shared" si="28"/>
        <v>5</v>
      </c>
      <c r="CT18" s="5" t="str">
        <f t="shared" si="29"/>
        <v>SUPERIOR</v>
      </c>
      <c r="CU18" s="5">
        <v>2</v>
      </c>
      <c r="CV18" s="7">
        <v>3</v>
      </c>
      <c r="CW18" s="7">
        <v>3</v>
      </c>
      <c r="CX18" s="7">
        <v>3</v>
      </c>
      <c r="CY18" s="5">
        <f t="shared" si="30"/>
        <v>3</v>
      </c>
      <c r="CZ18" s="5" t="str">
        <f t="shared" si="31"/>
        <v>BASICO</v>
      </c>
      <c r="DA18" s="5">
        <v>2</v>
      </c>
      <c r="DB18" s="7">
        <v>3</v>
      </c>
      <c r="DC18" s="7">
        <v>3</v>
      </c>
      <c r="DD18" s="7">
        <v>3</v>
      </c>
      <c r="DE18" s="5">
        <f t="shared" si="32"/>
        <v>3</v>
      </c>
      <c r="DF18" s="5" t="str">
        <f t="shared" si="33"/>
        <v>BASICO</v>
      </c>
      <c r="DG18" s="5">
        <v>0</v>
      </c>
      <c r="DH18" s="7"/>
      <c r="DI18" s="5" t="str">
        <f t="shared" si="34"/>
        <v>BAJO</v>
      </c>
      <c r="DJ18" s="5">
        <f t="shared" si="35"/>
        <v>3.3912499999999999</v>
      </c>
      <c r="DK18" s="5" t="str">
        <f t="shared" si="36"/>
        <v>Comprende el concepto de números reales, su relación de orden y las propiedades de sus operaciones, así como las relaciones de semejanza y congruencia de distintas figuras geométricas.</v>
      </c>
      <c r="DL18" s="5" t="str">
        <f t="shared" ref="DL18:FJ18" si="55">DL16</f>
        <v>Aplica correctamente las propiedades de las operaciones de números reales y expresiones algebraicas en la resolución de problemas.</v>
      </c>
      <c r="DM18" s="5" t="str">
        <f t="shared" si="55"/>
        <v>Valora el uso del pensamiento lógico a la hora de plantear y resolver problemas de las matemáticas y de la vida cotidiana.</v>
      </c>
      <c r="DN18" s="5" t="str">
        <f t="shared" si="5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8" s="5" t="str">
        <f t="shared" si="55"/>
        <v>Organiza y analiza datos mediante la construcción de tablas de frecuencias y diagramas estadísticos, identificando variables aleatorias y utilizando estas representaciones para resolver situaciones problema.</v>
      </c>
      <c r="DP18" s="5" t="str">
        <f t="shared" si="55"/>
        <v>Muestra disposición y responsabilidad en el manejo y análisis de datos, participando activamente en actividades individuales y colaborativas, y comunicando información estadística con claridad y sentido crítico.</v>
      </c>
      <c r="DQ18" s="5" t="str">
        <f t="shared" si="55"/>
        <v>Analiza las características de la literatura prehispánica y la literatura del descubrimiento y la conquista en Colombia identificando sus elementos fundamentales y su impacto en la cultura y el lenguaje actual.</v>
      </c>
      <c r="DR18" s="5" t="str">
        <f t="shared" si="55"/>
        <v>Realiza comprensión lectora cuando analiza un texto desde el discurso de la Enunciación e identifica la función de cada uno de sus componentes.
Responde preguntas en los tres niveles de lectura a una leyenda del Caribe.</v>
      </c>
      <c r="DS18" s="5" t="str">
        <f t="shared" si="55"/>
        <v>Muestra disposición para participar activamente en las clases, promoviendo el respeto por las ideas ajenas y reconociendo la importancia de la precisión como una herramienta clave para una comunicación</v>
      </c>
      <c r="DT18" s="5" t="str">
        <f t="shared" si="55"/>
        <v>Comprende el contenido del cuento A la deriva, identificando su tema central, la secuencia de los hechos, los personajes y las ideas explícitas e implícitas del texto.</v>
      </c>
      <c r="DU18" s="5" t="str">
        <f t="shared" si="55"/>
        <v>Analiza críticamente el cuento A la deriva mediante la identificación de información literal, inferencial y crítica, sustentando sus respuestas de forma oral y escrita.</v>
      </c>
      <c r="DV18" s="5" t="str">
        <f t="shared" si="55"/>
        <v>Valora la lectura literaria como una oportunidad para reflexionar sobre la vida, la naturaleza y la condición humana, participando con interés, respeto y sentido crítico en las actividades propuestas.</v>
      </c>
      <c r="DW18" s="5" t="str">
        <f t="shared" si="55"/>
        <v>Comprende y reconoce vocabulario y estructuras basicas del ingles para interpretar textos cortos y conversaciones sobre temas cotidianos de la vida diaria.</v>
      </c>
      <c r="DX18" s="5" t="str">
        <f t="shared" si="55"/>
        <v>Produce de forma oral y escrita frases y parrafos cortos en Ingles, utilizando correctamente las estructuras conocidas para describir rutinas, narrar experiencias y participar en conversaciones.</v>
      </c>
      <c r="DY18" s="5" t="str">
        <f t="shared" si="55"/>
        <v>Muestra disposicion positiva hacia el aprendizaje del Ingles participando activamente en clase.</v>
      </c>
      <c r="DZ18" s="5" t="str">
        <f t="shared" si="55"/>
        <v>Identifica vocabulario en Ingles  de situaciones cotidianas.</v>
      </c>
      <c r="EA18" s="5" t="str">
        <f t="shared" si="55"/>
        <v>Participa en actividades utilizando vocabulario aprendido para expresar gustos,emociones y necesidades.</v>
      </c>
      <c r="EB18" s="5" t="str">
        <f t="shared" si="55"/>
        <v>Respeta la opinion de los demas, muestra disposicion para participar en actividades orales.</v>
      </c>
      <c r="EC18" s="5" t="str">
        <f t="shared" si="55"/>
        <v>Identifica la conformación y funcionamiento del sistema inmunolófico y diferencia las característics de los estados de la materia.</v>
      </c>
      <c r="ED18" s="5" t="str">
        <f t="shared" si="55"/>
        <v>Reconoce experimentalmente las características de materiales en los diferentes estados de la materia.</v>
      </c>
      <c r="EE18" s="5" t="str">
        <f t="shared" si="55"/>
        <v xml:space="preserve">Valora la importancia de tener habitos saludables, para lograr el mantenimiento saludable del sistema inmune. </v>
      </c>
      <c r="EF18" s="5" t="str">
        <f t="shared" si="55"/>
        <v>Describe correctamente la secuencia de eventos biologicos de la fecundacion,incluyendo las recciones acrosomicas,la funcion de gametos y la formacion de gametos.</v>
      </c>
      <c r="EG18" s="5" t="str">
        <f t="shared" si="55"/>
        <v>Mide la capacidad del labolatrio para lograr la fecundacion exitosa de los ovulos con el espermatozoide.</v>
      </c>
      <c r="EH18" s="5" t="str">
        <f t="shared" si="55"/>
        <v>Valora la importancia del cuidado del cuerpo y de la salud reproductiva como la base para una fecundacion saludable.</v>
      </c>
      <c r="EI18" s="5" t="str">
        <f t="shared" si="55"/>
        <v>Explico las principales caracteristicas de algunas revoluciones de los siglos XVIII y XIX (Revolucion francesa, Industrial...)</v>
      </c>
      <c r="EJ18" s="5" t="str">
        <f t="shared" si="55"/>
        <v>Analiza las causas y consecuencias de procesos historicos como la Revolucion Industrial y Francesa.</v>
      </c>
      <c r="EK18" s="5" t="str">
        <f t="shared" si="55"/>
        <v>Muestra interes y curiosidad por comprender los procesos historicos y su impacto en la sociedad.</v>
      </c>
      <c r="EL18" s="5" t="str">
        <f t="shared" si="55"/>
        <v xml:space="preserve">Identifica los procesos historicos de algunas revoluciones de los siglos XVIII y XIX </v>
      </c>
      <c r="EM18" s="5">
        <f t="shared" si="55"/>
        <v>0</v>
      </c>
      <c r="EN18" s="5">
        <f t="shared" si="55"/>
        <v>0</v>
      </c>
      <c r="EO18" s="5" t="str">
        <f t="shared" si="55"/>
        <v xml:space="preserve">Comprende la distribucion espacial de la poblacion antes y despues de las revoluciones </v>
      </c>
      <c r="EP18" s="5" t="str">
        <f t="shared" si="55"/>
        <v xml:space="preserve">Ubica en mapas las regiones donde se desarrollaron las principales revoluciones y explica sus caracteristicas geograficas </v>
      </c>
      <c r="EQ18" s="5" t="str">
        <f t="shared" si="55"/>
        <v>Muestra interes por comprender la relacion entre sociedad, economia y territorio</v>
      </c>
      <c r="ER18" s="5" t="str">
        <f t="shared" si="55"/>
        <v>Comprende el concepto de cultura de paz y su importancia en la sociedad</v>
      </c>
      <c r="ES18" s="5" t="str">
        <f t="shared" si="55"/>
        <v>Practica normas de convivencia en diferentes espacios( aula, hogar, comunidad)</v>
      </c>
      <c r="ET18" s="5" t="str">
        <f t="shared" si="55"/>
        <v>Muestra actitud de respeto hacia la diversidad cuktural, social y de pensamiento</v>
      </c>
      <c r="EU18" s="5">
        <f t="shared" si="55"/>
        <v>0</v>
      </c>
      <c r="EV18" s="5">
        <f t="shared" si="55"/>
        <v>0</v>
      </c>
      <c r="EW18" s="5">
        <f t="shared" si="55"/>
        <v>0</v>
      </c>
      <c r="EX18" s="5">
        <f t="shared" si="55"/>
        <v>0</v>
      </c>
      <c r="EY18" s="5">
        <f t="shared" si="55"/>
        <v>0</v>
      </c>
      <c r="EZ18" s="5">
        <f t="shared" si="55"/>
        <v>0</v>
      </c>
      <c r="FA18" s="5">
        <f t="shared" si="55"/>
        <v>0</v>
      </c>
      <c r="FB18" s="5">
        <f t="shared" si="55"/>
        <v>0</v>
      </c>
      <c r="FC18" s="5">
        <f t="shared" si="55"/>
        <v>0</v>
      </c>
      <c r="FD18" s="5" t="str">
        <f t="shared" si="55"/>
        <v xml:space="preserve"> Identifica las expresiones motrices relacionadas con el juego del voleibol,  como una oportunidad para mejorar la salud, la estética y las relaciones con los demás.</v>
      </c>
      <c r="FE18" s="5" t="str">
        <f t="shared" si="55"/>
        <v>Pone en práctica los fundamentos básicos del voleibol.</v>
      </c>
      <c r="FF18" s="5" t="str">
        <f t="shared" si="55"/>
        <v>Muestra  responsabilidad y buena actitud al realizar el juego de voleibol.</v>
      </c>
      <c r="FG18" s="5" t="str">
        <f t="shared" si="55"/>
        <v>Comprende el concepto de variable como espacio de almacenamiento de datos y reconoce el uso de estructuras condicionales (si, si-no) para la toma de decisiones en un programa.</v>
      </c>
      <c r="FH18" s="5" t="str">
        <f t="shared" si="55"/>
        <v>Diseña y desarrolla programas que utilizan variables y estructuras condicionales para resolver problemas, evaluando condiciones y generando respuestas según diferentes situaciones.</v>
      </c>
      <c r="FI18" s="5" t="str">
        <f t="shared" si="55"/>
        <v>Muestra pensamiento lógico, perseverancia y actitud crítica al analizar errores y proponer soluciones en la construcción de programas con variables y condicionales.</v>
      </c>
      <c r="FJ18" s="5" t="str">
        <f t="shared" si="55"/>
        <v>Identifica y reconoce sus pricipales deberes y derechos dentro y fuera  de la Institución educativa.</v>
      </c>
    </row>
    <row r="19" spans="1:166">
      <c r="A19" s="5">
        <v>18</v>
      </c>
      <c r="B19" s="5" t="s">
        <v>88</v>
      </c>
      <c r="C19" s="6">
        <v>1043688718</v>
      </c>
      <c r="D19" s="5" t="s">
        <v>68</v>
      </c>
      <c r="E19" s="5" t="s">
        <v>69</v>
      </c>
      <c r="F19" s="5" t="s">
        <v>70</v>
      </c>
      <c r="G19" s="5" t="s">
        <v>71</v>
      </c>
      <c r="H19" s="5">
        <v>2026</v>
      </c>
      <c r="I19" s="5">
        <v>4</v>
      </c>
      <c r="J19" s="7">
        <v>3.1</v>
      </c>
      <c r="K19" s="7">
        <v>3.2</v>
      </c>
      <c r="L19" s="7">
        <v>3.3</v>
      </c>
      <c r="M19" s="5">
        <f t="shared" si="0"/>
        <v>3.1999999999999997</v>
      </c>
      <c r="N19" s="5" t="str">
        <f t="shared" si="1"/>
        <v>BASICO</v>
      </c>
      <c r="O19" s="5">
        <v>1</v>
      </c>
      <c r="P19" s="7">
        <v>3.7</v>
      </c>
      <c r="Q19" s="7">
        <v>3.7</v>
      </c>
      <c r="R19" s="7">
        <v>3.7</v>
      </c>
      <c r="S19" s="5">
        <f t="shared" si="2"/>
        <v>3.7</v>
      </c>
      <c r="T19" s="5" t="str">
        <f t="shared" si="3"/>
        <v>BASICO</v>
      </c>
      <c r="U19" s="5">
        <v>4</v>
      </c>
      <c r="V19" s="7">
        <v>4</v>
      </c>
      <c r="W19" s="7">
        <v>4</v>
      </c>
      <c r="X19" s="7">
        <v>4</v>
      </c>
      <c r="Y19" s="5">
        <f t="shared" si="4"/>
        <v>4</v>
      </c>
      <c r="Z19" s="5" t="str">
        <f t="shared" si="5"/>
        <v>ALTO</v>
      </c>
      <c r="AA19" s="5">
        <v>1</v>
      </c>
      <c r="AB19" s="7">
        <v>3.6</v>
      </c>
      <c r="AC19" s="7">
        <v>3.6</v>
      </c>
      <c r="AD19" s="7">
        <v>3.6</v>
      </c>
      <c r="AE19" s="5">
        <f t="shared" si="6"/>
        <v>3.6000000000000005</v>
      </c>
      <c r="AF19" s="5" t="str">
        <f t="shared" si="7"/>
        <v>BASICO</v>
      </c>
      <c r="AG19" s="5">
        <v>2</v>
      </c>
      <c r="AH19" s="8">
        <v>3.5</v>
      </c>
      <c r="AI19" s="8">
        <v>3.5</v>
      </c>
      <c r="AJ19" s="8">
        <v>3.5</v>
      </c>
      <c r="AK19" s="5">
        <f t="shared" si="8"/>
        <v>3.5</v>
      </c>
      <c r="AL19" s="5" t="str">
        <f t="shared" si="9"/>
        <v>BASICO</v>
      </c>
      <c r="AM19" s="5">
        <v>1</v>
      </c>
      <c r="AN19" s="8">
        <v>3.5</v>
      </c>
      <c r="AO19" s="8">
        <v>3.5</v>
      </c>
      <c r="AP19" s="8">
        <v>3.5</v>
      </c>
      <c r="AQ19" s="5">
        <f t="shared" si="10"/>
        <v>3.5</v>
      </c>
      <c r="AR19" s="5" t="str">
        <f t="shared" si="11"/>
        <v>BASICO</v>
      </c>
      <c r="AS19" s="5">
        <v>4</v>
      </c>
      <c r="AT19" s="7">
        <v>3.6</v>
      </c>
      <c r="AU19" s="7">
        <v>3.6</v>
      </c>
      <c r="AV19" s="7">
        <v>3.6</v>
      </c>
      <c r="AW19" s="5">
        <f t="shared" si="12"/>
        <v>3.6000000000000005</v>
      </c>
      <c r="AX19" s="5" t="str">
        <f t="shared" si="53"/>
        <v>BASICO</v>
      </c>
      <c r="AY19" s="5">
        <v>1</v>
      </c>
      <c r="AZ19" s="7">
        <v>3.5</v>
      </c>
      <c r="BA19" s="7">
        <v>3.8</v>
      </c>
      <c r="BB19" s="7">
        <v>3.8</v>
      </c>
      <c r="BC19" s="5">
        <f t="shared" si="14"/>
        <v>3.71</v>
      </c>
      <c r="BD19" s="5" t="str">
        <f t="shared" si="15"/>
        <v>BASICO</v>
      </c>
      <c r="BE19" s="7">
        <v>2</v>
      </c>
      <c r="BF19" s="7">
        <v>3.3</v>
      </c>
      <c r="BG19" s="7">
        <v>3.4</v>
      </c>
      <c r="BH19" s="7">
        <v>3.2</v>
      </c>
      <c r="BI19" s="5">
        <f t="shared" si="16"/>
        <v>3.31</v>
      </c>
      <c r="BJ19" s="5" t="str">
        <f t="shared" si="48"/>
        <v>BASICO</v>
      </c>
      <c r="BK19" s="5">
        <v>1</v>
      </c>
      <c r="BL19" s="7">
        <v>3.3</v>
      </c>
      <c r="BM19" s="7">
        <v>3.4</v>
      </c>
      <c r="BN19" s="7">
        <v>3.6</v>
      </c>
      <c r="BO19" s="5">
        <f t="shared" si="49"/>
        <v>3.43</v>
      </c>
      <c r="BP19" s="5" t="str">
        <f t="shared" si="19"/>
        <v>BASICO</v>
      </c>
      <c r="BQ19" s="5">
        <v>1</v>
      </c>
      <c r="BR19" s="7">
        <v>3.3</v>
      </c>
      <c r="BS19" s="7">
        <v>3.4</v>
      </c>
      <c r="BT19" s="7">
        <v>3.3</v>
      </c>
      <c r="BU19" s="5">
        <f t="shared" si="20"/>
        <v>3.34</v>
      </c>
      <c r="BV19" s="5" t="str">
        <f t="shared" si="21"/>
        <v>BASICO</v>
      </c>
      <c r="BW19" s="5">
        <v>1</v>
      </c>
      <c r="BX19" s="7">
        <v>3.5</v>
      </c>
      <c r="BY19" s="7">
        <v>3.4</v>
      </c>
      <c r="BZ19" s="7">
        <v>3.3</v>
      </c>
      <c r="CA19" s="5">
        <f t="shared" si="22"/>
        <v>3.4</v>
      </c>
      <c r="CB19" s="5" t="str">
        <f t="shared" si="23"/>
        <v>BASICO</v>
      </c>
      <c r="CC19" s="5">
        <v>1</v>
      </c>
      <c r="CD19" s="7">
        <v>3.8</v>
      </c>
      <c r="CE19" s="7">
        <v>3.7</v>
      </c>
      <c r="CF19" s="7">
        <v>3.7</v>
      </c>
      <c r="CG19" s="5">
        <f t="shared" si="24"/>
        <v>3.7300000000000004</v>
      </c>
      <c r="CH19" s="5" t="str">
        <f t="shared" si="25"/>
        <v>BASICO</v>
      </c>
      <c r="CI19" s="5">
        <v>1</v>
      </c>
      <c r="CJ19" s="7">
        <v>4.2</v>
      </c>
      <c r="CK19" s="7">
        <v>4.2</v>
      </c>
      <c r="CL19" s="7">
        <v>4</v>
      </c>
      <c r="CM19" s="5">
        <f t="shared" si="26"/>
        <v>4.1400000000000006</v>
      </c>
      <c r="CN19" s="5" t="str">
        <f t="shared" si="27"/>
        <v>ALTO</v>
      </c>
      <c r="CO19" s="5">
        <v>1</v>
      </c>
      <c r="CP19" s="7">
        <v>5</v>
      </c>
      <c r="CQ19" s="7">
        <v>5</v>
      </c>
      <c r="CR19" s="7">
        <v>5</v>
      </c>
      <c r="CS19" s="5">
        <f t="shared" si="28"/>
        <v>5</v>
      </c>
      <c r="CT19" s="5" t="str">
        <f t="shared" si="29"/>
        <v>SUPERIOR</v>
      </c>
      <c r="CU19" s="5">
        <v>2</v>
      </c>
      <c r="CV19" s="7">
        <v>4.5</v>
      </c>
      <c r="CW19" s="7">
        <v>4.5</v>
      </c>
      <c r="CX19" s="7">
        <v>4.5</v>
      </c>
      <c r="CY19" s="5">
        <f t="shared" si="30"/>
        <v>4.5</v>
      </c>
      <c r="CZ19" s="5" t="str">
        <f t="shared" si="31"/>
        <v>SUPERIOR</v>
      </c>
      <c r="DA19" s="5">
        <v>2</v>
      </c>
      <c r="DB19" s="7">
        <v>4</v>
      </c>
      <c r="DC19" s="7">
        <v>4</v>
      </c>
      <c r="DD19" s="7">
        <v>4</v>
      </c>
      <c r="DE19" s="5">
        <f t="shared" si="32"/>
        <v>4</v>
      </c>
      <c r="DF19" s="5" t="str">
        <f t="shared" si="33"/>
        <v>ALTO</v>
      </c>
      <c r="DG19" s="5">
        <v>0</v>
      </c>
      <c r="DH19" s="7"/>
      <c r="DI19" s="5" t="str">
        <f t="shared" si="34"/>
        <v>BAJO</v>
      </c>
      <c r="DJ19" s="5">
        <f t="shared" si="35"/>
        <v>3.7700000000000005</v>
      </c>
      <c r="DK19" s="5" t="str">
        <f t="shared" si="36"/>
        <v>Comprende el concepto de números reales, su relación de orden y las propiedades de sus operaciones, así como las relaciones de semejanza y congruencia de distintas figuras geométricas.</v>
      </c>
      <c r="DL19" s="5" t="str">
        <f t="shared" ref="DL19:FJ19" si="56">DL18</f>
        <v>Aplica correctamente las propiedades de las operaciones de números reales y expresiones algebraicas en la resolución de problemas.</v>
      </c>
      <c r="DM19" s="5" t="str">
        <f t="shared" si="56"/>
        <v>Valora el uso del pensamiento lógico a la hora de plantear y resolver problemas de las matemáticas y de la vida cotidiana.</v>
      </c>
      <c r="DN19" s="5" t="str">
        <f t="shared" si="5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9" s="5" t="str">
        <f t="shared" si="56"/>
        <v>Organiza y analiza datos mediante la construcción de tablas de frecuencias y diagramas estadísticos, identificando variables aleatorias y utilizando estas representaciones para resolver situaciones problema.</v>
      </c>
      <c r="DP19" s="5" t="str">
        <f t="shared" si="56"/>
        <v>Muestra disposición y responsabilidad en el manejo y análisis de datos, participando activamente en actividades individuales y colaborativas, y comunicando información estadística con claridad y sentido crítico.</v>
      </c>
      <c r="DQ19" s="5" t="str">
        <f t="shared" si="56"/>
        <v>Analiza las características de la literatura prehispánica y la literatura del descubrimiento y la conquista en Colombia identificando sus elementos fundamentales y su impacto en la cultura y el lenguaje actual.</v>
      </c>
      <c r="DR19" s="5" t="str">
        <f t="shared" si="56"/>
        <v>Realiza comprensión lectora cuando analiza un texto desde el discurso de la Enunciación e identifica la función de cada uno de sus componentes.
Responde preguntas en los tres niveles de lectura a una leyenda del Caribe.</v>
      </c>
      <c r="DS19" s="5" t="str">
        <f t="shared" si="56"/>
        <v>Muestra disposición para participar activamente en las clases, promoviendo el respeto por las ideas ajenas y reconociendo la importancia de la precisión como una herramienta clave para una comunicación</v>
      </c>
      <c r="DT19" s="5" t="str">
        <f t="shared" si="56"/>
        <v>Comprende el contenido del cuento A la deriva, identificando su tema central, la secuencia de los hechos, los personajes y las ideas explícitas e implícitas del texto.</v>
      </c>
      <c r="DU19" s="5" t="str">
        <f t="shared" si="56"/>
        <v>Analiza críticamente el cuento A la deriva mediante la identificación de información literal, inferencial y crítica, sustentando sus respuestas de forma oral y escrita.</v>
      </c>
      <c r="DV19" s="5" t="str">
        <f t="shared" si="56"/>
        <v>Valora la lectura literaria como una oportunidad para reflexionar sobre la vida, la naturaleza y la condición humana, participando con interés, respeto y sentido crítico en las actividades propuestas.</v>
      </c>
      <c r="DW19" s="5" t="str">
        <f t="shared" si="56"/>
        <v>Comprende y reconoce vocabulario y estructuras basicas del ingles para interpretar textos cortos y conversaciones sobre temas cotidianos de la vida diaria.</v>
      </c>
      <c r="DX19" s="5" t="str">
        <f t="shared" si="56"/>
        <v>Produce de forma oral y escrita frases y parrafos cortos en Ingles, utilizando correctamente las estructuras conocidas para describir rutinas, narrar experiencias y participar en conversaciones.</v>
      </c>
      <c r="DY19" s="5" t="str">
        <f t="shared" si="56"/>
        <v>Muestra disposicion positiva hacia el aprendizaje del Ingles participando activamente en clase.</v>
      </c>
      <c r="DZ19" s="5" t="str">
        <f t="shared" si="56"/>
        <v>Identifica vocabulario en Ingles  de situaciones cotidianas.</v>
      </c>
      <c r="EA19" s="5" t="str">
        <f t="shared" si="56"/>
        <v>Participa en actividades utilizando vocabulario aprendido para expresar gustos,emociones y necesidades.</v>
      </c>
      <c r="EB19" s="5" t="str">
        <f t="shared" si="56"/>
        <v>Respeta la opinion de los demas, muestra disposicion para participar en actividades orales.</v>
      </c>
      <c r="EC19" s="5" t="str">
        <f t="shared" si="56"/>
        <v>Identifica la conformación y funcionamiento del sistema inmunolófico y diferencia las característics de los estados de la materia.</v>
      </c>
      <c r="ED19" s="5" t="str">
        <f t="shared" si="56"/>
        <v>Reconoce experimentalmente las características de materiales en los diferentes estados de la materia.</v>
      </c>
      <c r="EE19" s="5" t="str">
        <f t="shared" si="56"/>
        <v xml:space="preserve">Valora la importancia de tener habitos saludables, para lograr el mantenimiento saludable del sistema inmune. </v>
      </c>
      <c r="EF19" s="5" t="str">
        <f t="shared" si="56"/>
        <v>Describe correctamente la secuencia de eventos biologicos de la fecundacion,incluyendo las recciones acrosomicas,la funcion de gametos y la formacion de gametos.</v>
      </c>
      <c r="EG19" s="5" t="str">
        <f t="shared" si="56"/>
        <v>Mide la capacidad del labolatrio para lograr la fecundacion exitosa de los ovulos con el espermatozoide.</v>
      </c>
      <c r="EH19" s="5" t="str">
        <f t="shared" si="56"/>
        <v>Valora la importancia del cuidado del cuerpo y de la salud reproductiva como la base para una fecundacion saludable.</v>
      </c>
      <c r="EI19" s="5" t="str">
        <f t="shared" si="56"/>
        <v>Explico las principales caracteristicas de algunas revoluciones de los siglos XVIII y XIX (Revolucion francesa, Industrial...)</v>
      </c>
      <c r="EJ19" s="5" t="str">
        <f t="shared" si="56"/>
        <v>Analiza las causas y consecuencias de procesos historicos como la Revolucion Industrial y Francesa.</v>
      </c>
      <c r="EK19" s="5" t="str">
        <f t="shared" si="56"/>
        <v>Muestra interes y curiosidad por comprender los procesos historicos y su impacto en la sociedad.</v>
      </c>
      <c r="EL19" s="5" t="str">
        <f t="shared" si="56"/>
        <v xml:space="preserve">Identifica los procesos historicos de algunas revoluciones de los siglos XVIII y XIX </v>
      </c>
      <c r="EM19" s="5">
        <f t="shared" si="56"/>
        <v>0</v>
      </c>
      <c r="EN19" s="5">
        <f t="shared" si="56"/>
        <v>0</v>
      </c>
      <c r="EO19" s="5" t="str">
        <f t="shared" si="56"/>
        <v xml:space="preserve">Comprende la distribucion espacial de la poblacion antes y despues de las revoluciones </v>
      </c>
      <c r="EP19" s="5" t="str">
        <f t="shared" si="56"/>
        <v xml:space="preserve">Ubica en mapas las regiones donde se desarrollaron las principales revoluciones y explica sus caracteristicas geograficas </v>
      </c>
      <c r="EQ19" s="5" t="str">
        <f t="shared" si="56"/>
        <v>Muestra interes por comprender la relacion entre sociedad, economia y territorio</v>
      </c>
      <c r="ER19" s="5" t="str">
        <f t="shared" si="56"/>
        <v>Comprende el concepto de cultura de paz y su importancia en la sociedad</v>
      </c>
      <c r="ES19" s="5" t="str">
        <f t="shared" si="56"/>
        <v>Practica normas de convivencia en diferentes espacios( aula, hogar, comunidad)</v>
      </c>
      <c r="ET19" s="5" t="str">
        <f t="shared" si="56"/>
        <v>Muestra actitud de respeto hacia la diversidad cuktural, social y de pensamiento</v>
      </c>
      <c r="EU19" s="5">
        <f t="shared" si="56"/>
        <v>0</v>
      </c>
      <c r="EV19" s="5">
        <f t="shared" si="56"/>
        <v>0</v>
      </c>
      <c r="EW19" s="5">
        <f t="shared" si="56"/>
        <v>0</v>
      </c>
      <c r="EX19" s="5">
        <f t="shared" si="56"/>
        <v>0</v>
      </c>
      <c r="EY19" s="5">
        <f t="shared" si="56"/>
        <v>0</v>
      </c>
      <c r="EZ19" s="5">
        <f t="shared" si="56"/>
        <v>0</v>
      </c>
      <c r="FA19" s="5">
        <f t="shared" si="56"/>
        <v>0</v>
      </c>
      <c r="FB19" s="5">
        <f t="shared" si="56"/>
        <v>0</v>
      </c>
      <c r="FC19" s="5">
        <f t="shared" si="56"/>
        <v>0</v>
      </c>
      <c r="FD19" s="5" t="str">
        <f t="shared" si="56"/>
        <v xml:space="preserve"> Identifica las expresiones motrices relacionadas con el juego del voleibol,  como una oportunidad para mejorar la salud, la estética y las relaciones con los demás.</v>
      </c>
      <c r="FE19" s="5" t="str">
        <f t="shared" si="56"/>
        <v>Pone en práctica los fundamentos básicos del voleibol.</v>
      </c>
      <c r="FF19" s="5" t="str">
        <f t="shared" si="56"/>
        <v>Muestra  responsabilidad y buena actitud al realizar el juego de voleibol.</v>
      </c>
      <c r="FG19" s="5" t="str">
        <f t="shared" si="56"/>
        <v>Comprende el concepto de variable como espacio de almacenamiento de datos y reconoce el uso de estructuras condicionales (si, si-no) para la toma de decisiones en un programa.</v>
      </c>
      <c r="FH19" s="5" t="str">
        <f t="shared" si="56"/>
        <v>Diseña y desarrolla programas que utilizan variables y estructuras condicionales para resolver problemas, evaluando condiciones y generando respuestas según diferentes situaciones.</v>
      </c>
      <c r="FI19" s="5" t="str">
        <f t="shared" si="56"/>
        <v>Muestra pensamiento lógico, perseverancia y actitud crítica al analizar errores y proponer soluciones en la construcción de programas con variables y condicionales.</v>
      </c>
      <c r="FJ19" s="5" t="str">
        <f t="shared" si="56"/>
        <v>Identifica y reconoce sus pricipales deberes y derechos dentro y fuera  de la Institución educativa.</v>
      </c>
    </row>
    <row r="20" spans="1:166">
      <c r="A20" s="5">
        <v>19</v>
      </c>
      <c r="B20" s="5" t="s">
        <v>89</v>
      </c>
      <c r="C20" s="6">
        <v>1042262808</v>
      </c>
      <c r="D20" s="5" t="s">
        <v>68</v>
      </c>
      <c r="E20" s="5" t="s">
        <v>69</v>
      </c>
      <c r="F20" s="5" t="s">
        <v>70</v>
      </c>
      <c r="G20" s="5" t="s">
        <v>71</v>
      </c>
      <c r="H20" s="5">
        <v>2026</v>
      </c>
      <c r="I20" s="5">
        <v>4</v>
      </c>
      <c r="J20" s="7">
        <v>2.4</v>
      </c>
      <c r="K20" s="7">
        <v>2.5</v>
      </c>
      <c r="L20" s="7">
        <v>2.6</v>
      </c>
      <c r="M20" s="5">
        <f t="shared" si="0"/>
        <v>2.5</v>
      </c>
      <c r="N20" s="5" t="str">
        <f t="shared" si="1"/>
        <v>BAJO</v>
      </c>
      <c r="O20" s="5">
        <v>1</v>
      </c>
      <c r="P20" s="7">
        <v>3.1</v>
      </c>
      <c r="Q20" s="7">
        <v>3.1</v>
      </c>
      <c r="R20" s="7">
        <v>3.1</v>
      </c>
      <c r="S20" s="5">
        <f t="shared" si="2"/>
        <v>3.0999999999999996</v>
      </c>
      <c r="T20" s="5" t="str">
        <f t="shared" si="3"/>
        <v>BASICO</v>
      </c>
      <c r="U20" s="5">
        <v>4</v>
      </c>
      <c r="V20" s="7">
        <v>3.5</v>
      </c>
      <c r="W20" s="7">
        <v>3</v>
      </c>
      <c r="X20" s="7">
        <v>3.5</v>
      </c>
      <c r="Y20" s="5">
        <f t="shared" si="4"/>
        <v>3.3</v>
      </c>
      <c r="Z20" s="5" t="str">
        <f t="shared" si="5"/>
        <v>BASICO</v>
      </c>
      <c r="AA20" s="5">
        <v>1</v>
      </c>
      <c r="AB20" s="7">
        <v>4</v>
      </c>
      <c r="AC20" s="7">
        <v>4</v>
      </c>
      <c r="AD20" s="7">
        <v>4</v>
      </c>
      <c r="AE20" s="5">
        <f t="shared" si="6"/>
        <v>4</v>
      </c>
      <c r="AF20" s="5" t="str">
        <f t="shared" si="7"/>
        <v>ALTO</v>
      </c>
      <c r="AG20" s="5">
        <v>2</v>
      </c>
      <c r="AH20" s="8">
        <v>3</v>
      </c>
      <c r="AI20" s="8">
        <v>3</v>
      </c>
      <c r="AJ20" s="8">
        <v>3</v>
      </c>
      <c r="AK20" s="5">
        <f t="shared" si="8"/>
        <v>3</v>
      </c>
      <c r="AL20" s="5" t="str">
        <f t="shared" si="9"/>
        <v>BASICO</v>
      </c>
      <c r="AM20" s="5">
        <v>1</v>
      </c>
      <c r="AN20" s="8">
        <v>3</v>
      </c>
      <c r="AO20" s="8">
        <v>3</v>
      </c>
      <c r="AP20" s="8">
        <v>3</v>
      </c>
      <c r="AQ20" s="5">
        <f t="shared" si="10"/>
        <v>3</v>
      </c>
      <c r="AR20" s="5" t="str">
        <f t="shared" si="11"/>
        <v>BASICO</v>
      </c>
      <c r="AS20" s="5">
        <v>4</v>
      </c>
      <c r="AT20" s="7">
        <v>3.2</v>
      </c>
      <c r="AU20" s="7">
        <v>3.2</v>
      </c>
      <c r="AV20" s="7">
        <v>3.2</v>
      </c>
      <c r="AW20" s="5">
        <f t="shared" si="12"/>
        <v>3.2</v>
      </c>
      <c r="AX20" s="5" t="str">
        <f t="shared" si="53"/>
        <v>BASICO</v>
      </c>
      <c r="AY20" s="5">
        <v>1</v>
      </c>
      <c r="AZ20" s="7">
        <v>3.8</v>
      </c>
      <c r="BA20" s="7">
        <v>3.8</v>
      </c>
      <c r="BB20" s="7">
        <v>3.8</v>
      </c>
      <c r="BC20" s="5">
        <f t="shared" si="14"/>
        <v>3.8</v>
      </c>
      <c r="BD20" s="5" t="str">
        <f t="shared" si="15"/>
        <v>BASICO</v>
      </c>
      <c r="BE20" s="7">
        <v>2</v>
      </c>
      <c r="BF20" s="7">
        <v>3.3</v>
      </c>
      <c r="BG20" s="7">
        <v>3.2</v>
      </c>
      <c r="BH20" s="7">
        <v>3.4</v>
      </c>
      <c r="BI20" s="5">
        <f t="shared" si="16"/>
        <v>3.29</v>
      </c>
      <c r="BJ20" s="5" t="str">
        <f t="shared" si="48"/>
        <v>BASICO</v>
      </c>
      <c r="BK20" s="5">
        <v>1</v>
      </c>
      <c r="BL20" s="7">
        <v>3.3</v>
      </c>
      <c r="BM20" s="7">
        <v>3.2</v>
      </c>
      <c r="BN20" s="7">
        <v>3.5</v>
      </c>
      <c r="BO20" s="5">
        <f t="shared" si="49"/>
        <v>3.3200000000000003</v>
      </c>
      <c r="BP20" s="5" t="str">
        <f t="shared" si="19"/>
        <v>BASICO</v>
      </c>
      <c r="BQ20" s="5">
        <v>1</v>
      </c>
      <c r="BR20" s="7">
        <v>3.3</v>
      </c>
      <c r="BS20" s="7">
        <v>3.4</v>
      </c>
      <c r="BT20" s="7">
        <v>3.2</v>
      </c>
      <c r="BU20" s="5">
        <f t="shared" si="20"/>
        <v>3.31</v>
      </c>
      <c r="BV20" s="5" t="str">
        <f t="shared" si="21"/>
        <v>BASICO</v>
      </c>
      <c r="BW20" s="5">
        <v>1</v>
      </c>
      <c r="BX20" s="7">
        <v>3.2</v>
      </c>
      <c r="BY20" s="7">
        <v>3.3</v>
      </c>
      <c r="BZ20" s="7">
        <v>3.6</v>
      </c>
      <c r="CA20" s="5">
        <f t="shared" si="22"/>
        <v>3.3600000000000003</v>
      </c>
      <c r="CB20" s="5" t="str">
        <f t="shared" si="23"/>
        <v>BASICO</v>
      </c>
      <c r="CC20" s="5">
        <v>1</v>
      </c>
      <c r="CD20" s="7">
        <v>3.7</v>
      </c>
      <c r="CE20" s="7">
        <v>3.5</v>
      </c>
      <c r="CF20" s="7">
        <v>3.5</v>
      </c>
      <c r="CG20" s="5">
        <f t="shared" si="24"/>
        <v>3.5600000000000005</v>
      </c>
      <c r="CH20" s="5" t="str">
        <f t="shared" si="25"/>
        <v>BASICO</v>
      </c>
      <c r="CI20" s="5">
        <v>1</v>
      </c>
      <c r="CJ20" s="7">
        <v>4.5</v>
      </c>
      <c r="CK20" s="7">
        <v>4.5</v>
      </c>
      <c r="CL20" s="7">
        <v>4.4000000000000004</v>
      </c>
      <c r="CM20" s="5">
        <f t="shared" si="26"/>
        <v>4.47</v>
      </c>
      <c r="CN20" s="5" t="str">
        <f t="shared" si="27"/>
        <v>ALTO</v>
      </c>
      <c r="CO20" s="5">
        <v>1</v>
      </c>
      <c r="CP20" s="7">
        <v>5</v>
      </c>
      <c r="CQ20" s="7">
        <v>5</v>
      </c>
      <c r="CR20" s="7">
        <v>5</v>
      </c>
      <c r="CS20" s="5">
        <f t="shared" si="28"/>
        <v>5</v>
      </c>
      <c r="CT20" s="5" t="str">
        <f t="shared" si="29"/>
        <v>SUPERIOR</v>
      </c>
      <c r="CU20" s="5">
        <v>2</v>
      </c>
      <c r="CV20" s="7">
        <v>3</v>
      </c>
      <c r="CW20" s="7">
        <v>3</v>
      </c>
      <c r="CX20" s="7">
        <v>3</v>
      </c>
      <c r="CY20" s="5">
        <f t="shared" si="30"/>
        <v>3</v>
      </c>
      <c r="CZ20" s="5" t="str">
        <f t="shared" si="31"/>
        <v>BASICO</v>
      </c>
      <c r="DA20" s="5">
        <v>2</v>
      </c>
      <c r="DB20" s="7">
        <v>3</v>
      </c>
      <c r="DC20" s="7">
        <v>3</v>
      </c>
      <c r="DD20" s="7">
        <v>3.5</v>
      </c>
      <c r="DE20" s="5">
        <f t="shared" si="32"/>
        <v>3.1500000000000004</v>
      </c>
      <c r="DF20" s="5" t="str">
        <f t="shared" si="33"/>
        <v>BASICO</v>
      </c>
      <c r="DG20" s="5">
        <v>0</v>
      </c>
      <c r="DH20" s="7"/>
      <c r="DI20" s="5" t="str">
        <f t="shared" si="34"/>
        <v>BAJO</v>
      </c>
      <c r="DJ20" s="5">
        <f t="shared" si="35"/>
        <v>3.4406250000000003</v>
      </c>
      <c r="DK20" s="5" t="str">
        <f t="shared" si="36"/>
        <v>Comprende el concepto de números reales, su relación de orden y las propiedades de sus operaciones, así como las relaciones de semejanza y congruencia de distintas figuras geométricas.</v>
      </c>
      <c r="DL20" s="5" t="str">
        <f t="shared" ref="DL20:FJ20" si="57">DL19</f>
        <v>Aplica correctamente las propiedades de las operaciones de números reales y expresiones algebraicas en la resolución de problemas.</v>
      </c>
      <c r="DM20" s="5" t="str">
        <f t="shared" si="57"/>
        <v>Valora el uso del pensamiento lógico a la hora de plantear y resolver problemas de las matemáticas y de la vida cotidiana.</v>
      </c>
      <c r="DN20" s="5" t="str">
        <f t="shared" si="5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0" s="5" t="str">
        <f t="shared" si="57"/>
        <v>Organiza y analiza datos mediante la construcción de tablas de frecuencias y diagramas estadísticos, identificando variables aleatorias y utilizando estas representaciones para resolver situaciones problema.</v>
      </c>
      <c r="DP20" s="5" t="str">
        <f t="shared" si="57"/>
        <v>Muestra disposición y responsabilidad en el manejo y análisis de datos, participando activamente en actividades individuales y colaborativas, y comunicando información estadística con claridad y sentido crítico.</v>
      </c>
      <c r="DQ20" s="5" t="str">
        <f t="shared" si="57"/>
        <v>Analiza las características de la literatura prehispánica y la literatura del descubrimiento y la conquista en Colombia identificando sus elementos fundamentales y su impacto en la cultura y el lenguaje actual.</v>
      </c>
      <c r="DR20" s="5" t="str">
        <f t="shared" si="57"/>
        <v>Realiza comprensión lectora cuando analiza un texto desde el discurso de la Enunciación e identifica la función de cada uno de sus componentes.
Responde preguntas en los tres niveles de lectura a una leyenda del Caribe.</v>
      </c>
      <c r="DS20" s="5" t="str">
        <f t="shared" si="57"/>
        <v>Muestra disposición para participar activamente en las clases, promoviendo el respeto por las ideas ajenas y reconociendo la importancia de la precisión como una herramienta clave para una comunicación</v>
      </c>
      <c r="DT20" s="5" t="str">
        <f t="shared" si="57"/>
        <v>Comprende el contenido del cuento A la deriva, identificando su tema central, la secuencia de los hechos, los personajes y las ideas explícitas e implícitas del texto.</v>
      </c>
      <c r="DU20" s="5" t="str">
        <f t="shared" si="57"/>
        <v>Analiza críticamente el cuento A la deriva mediante la identificación de información literal, inferencial y crítica, sustentando sus respuestas de forma oral y escrita.</v>
      </c>
      <c r="DV20" s="5" t="str">
        <f t="shared" si="57"/>
        <v>Valora la lectura literaria como una oportunidad para reflexionar sobre la vida, la naturaleza y la condición humana, participando con interés, respeto y sentido crítico en las actividades propuestas.</v>
      </c>
      <c r="DW20" s="5" t="str">
        <f t="shared" si="57"/>
        <v>Comprende y reconoce vocabulario y estructuras basicas del ingles para interpretar textos cortos y conversaciones sobre temas cotidianos de la vida diaria.</v>
      </c>
      <c r="DX20" s="5" t="str">
        <f t="shared" si="57"/>
        <v>Produce de forma oral y escrita frases y parrafos cortos en Ingles, utilizando correctamente las estructuras conocidas para describir rutinas, narrar experiencias y participar en conversaciones.</v>
      </c>
      <c r="DY20" s="5" t="str">
        <f t="shared" si="57"/>
        <v>Muestra disposicion positiva hacia el aprendizaje del Ingles participando activamente en clase.</v>
      </c>
      <c r="DZ20" s="5" t="str">
        <f t="shared" si="57"/>
        <v>Identifica vocabulario en Ingles  de situaciones cotidianas.</v>
      </c>
      <c r="EA20" s="5" t="str">
        <f t="shared" si="57"/>
        <v>Participa en actividades utilizando vocabulario aprendido para expresar gustos,emociones y necesidades.</v>
      </c>
      <c r="EB20" s="5" t="str">
        <f t="shared" si="57"/>
        <v>Respeta la opinion de los demas, muestra disposicion para participar en actividades orales.</v>
      </c>
      <c r="EC20" s="5" t="str">
        <f t="shared" si="57"/>
        <v>Identifica la conformación y funcionamiento del sistema inmunolófico y diferencia las característics de los estados de la materia.</v>
      </c>
      <c r="ED20" s="5" t="str">
        <f t="shared" si="57"/>
        <v>Reconoce experimentalmente las características de materiales en los diferentes estados de la materia.</v>
      </c>
      <c r="EE20" s="5" t="str">
        <f t="shared" si="57"/>
        <v xml:space="preserve">Valora la importancia de tener habitos saludables, para lograr el mantenimiento saludable del sistema inmune. </v>
      </c>
      <c r="EF20" s="5" t="str">
        <f t="shared" si="57"/>
        <v>Describe correctamente la secuencia de eventos biologicos de la fecundacion,incluyendo las recciones acrosomicas,la funcion de gametos y la formacion de gametos.</v>
      </c>
      <c r="EG20" s="5" t="str">
        <f t="shared" si="57"/>
        <v>Mide la capacidad del labolatrio para lograr la fecundacion exitosa de los ovulos con el espermatozoide.</v>
      </c>
      <c r="EH20" s="5" t="str">
        <f t="shared" si="57"/>
        <v>Valora la importancia del cuidado del cuerpo y de la salud reproductiva como la base para una fecundacion saludable.</v>
      </c>
      <c r="EI20" s="5" t="str">
        <f t="shared" si="57"/>
        <v>Explico las principales caracteristicas de algunas revoluciones de los siglos XVIII y XIX (Revolucion francesa, Industrial...)</v>
      </c>
      <c r="EJ20" s="5" t="str">
        <f t="shared" si="57"/>
        <v>Analiza las causas y consecuencias de procesos historicos como la Revolucion Industrial y Francesa.</v>
      </c>
      <c r="EK20" s="5" t="str">
        <f t="shared" si="57"/>
        <v>Muestra interes y curiosidad por comprender los procesos historicos y su impacto en la sociedad.</v>
      </c>
      <c r="EL20" s="5" t="str">
        <f t="shared" si="57"/>
        <v xml:space="preserve">Identifica los procesos historicos de algunas revoluciones de los siglos XVIII y XIX </v>
      </c>
      <c r="EM20" s="5">
        <f t="shared" si="57"/>
        <v>0</v>
      </c>
      <c r="EN20" s="5">
        <f t="shared" si="57"/>
        <v>0</v>
      </c>
      <c r="EO20" s="5" t="str">
        <f t="shared" si="57"/>
        <v xml:space="preserve">Comprende la distribucion espacial de la poblacion antes y despues de las revoluciones </v>
      </c>
      <c r="EP20" s="5" t="str">
        <f t="shared" si="57"/>
        <v xml:space="preserve">Ubica en mapas las regiones donde se desarrollaron las principales revoluciones y explica sus caracteristicas geograficas </v>
      </c>
      <c r="EQ20" s="5" t="str">
        <f t="shared" si="57"/>
        <v>Muestra interes por comprender la relacion entre sociedad, economia y territorio</v>
      </c>
      <c r="ER20" s="5" t="str">
        <f t="shared" si="57"/>
        <v>Comprende el concepto de cultura de paz y su importancia en la sociedad</v>
      </c>
      <c r="ES20" s="5" t="str">
        <f t="shared" si="57"/>
        <v>Practica normas de convivencia en diferentes espacios( aula, hogar, comunidad)</v>
      </c>
      <c r="ET20" s="5" t="str">
        <f t="shared" si="57"/>
        <v>Muestra actitud de respeto hacia la diversidad cuktural, social y de pensamiento</v>
      </c>
      <c r="EU20" s="5">
        <f t="shared" si="57"/>
        <v>0</v>
      </c>
      <c r="EV20" s="5">
        <f t="shared" si="57"/>
        <v>0</v>
      </c>
      <c r="EW20" s="5">
        <f t="shared" si="57"/>
        <v>0</v>
      </c>
      <c r="EX20" s="5">
        <f t="shared" si="57"/>
        <v>0</v>
      </c>
      <c r="EY20" s="5">
        <f t="shared" si="57"/>
        <v>0</v>
      </c>
      <c r="EZ20" s="5">
        <f t="shared" si="57"/>
        <v>0</v>
      </c>
      <c r="FA20" s="5">
        <f t="shared" si="57"/>
        <v>0</v>
      </c>
      <c r="FB20" s="5">
        <f t="shared" si="57"/>
        <v>0</v>
      </c>
      <c r="FC20" s="5">
        <f t="shared" si="57"/>
        <v>0</v>
      </c>
      <c r="FD20" s="5" t="str">
        <f t="shared" si="57"/>
        <v xml:space="preserve"> Identifica las expresiones motrices relacionadas con el juego del voleibol,  como una oportunidad para mejorar la salud, la estética y las relaciones con los demás.</v>
      </c>
      <c r="FE20" s="5" t="str">
        <f t="shared" si="57"/>
        <v>Pone en práctica los fundamentos básicos del voleibol.</v>
      </c>
      <c r="FF20" s="5" t="str">
        <f t="shared" si="57"/>
        <v>Muestra  responsabilidad y buena actitud al realizar el juego de voleibol.</v>
      </c>
      <c r="FG20" s="5" t="str">
        <f t="shared" si="57"/>
        <v>Comprende el concepto de variable como espacio de almacenamiento de datos y reconoce el uso de estructuras condicionales (si, si-no) para la toma de decisiones en un programa.</v>
      </c>
      <c r="FH20" s="5" t="str">
        <f t="shared" si="57"/>
        <v>Diseña y desarrolla programas que utilizan variables y estructuras condicionales para resolver problemas, evaluando condiciones y generando respuestas según diferentes situaciones.</v>
      </c>
      <c r="FI20" s="5" t="str">
        <f t="shared" si="57"/>
        <v>Muestra pensamiento lógico, perseverancia y actitud crítica al analizar errores y proponer soluciones en la construcción de programas con variables y condicionales.</v>
      </c>
      <c r="FJ20" s="5" t="str">
        <f t="shared" si="57"/>
        <v>Identifica y reconoce sus pricipales deberes y derechos dentro y fuera  de la Institución educativa.</v>
      </c>
    </row>
    <row r="21" spans="1:166" ht="15.75" customHeight="1">
      <c r="A21" s="5">
        <v>20</v>
      </c>
      <c r="B21" s="5" t="s">
        <v>90</v>
      </c>
      <c r="C21" s="6">
        <v>1043688278</v>
      </c>
      <c r="D21" s="5" t="s">
        <v>68</v>
      </c>
      <c r="E21" s="5" t="s">
        <v>69</v>
      </c>
      <c r="F21" s="5" t="s">
        <v>70</v>
      </c>
      <c r="G21" s="5" t="s">
        <v>71</v>
      </c>
      <c r="H21" s="5">
        <v>2026</v>
      </c>
      <c r="I21" s="5">
        <v>4</v>
      </c>
      <c r="J21" s="7">
        <v>2.2999999999999998</v>
      </c>
      <c r="K21" s="7">
        <v>2.5</v>
      </c>
      <c r="L21" s="7">
        <v>2.7</v>
      </c>
      <c r="M21" s="5">
        <f t="shared" si="0"/>
        <v>2.5</v>
      </c>
      <c r="N21" s="5" t="str">
        <f t="shared" si="1"/>
        <v>BAJO</v>
      </c>
      <c r="O21" s="5">
        <v>1</v>
      </c>
      <c r="P21" s="7">
        <v>2.8</v>
      </c>
      <c r="Q21" s="7">
        <v>2.8</v>
      </c>
      <c r="R21" s="7">
        <v>2.8</v>
      </c>
      <c r="S21" s="5">
        <f t="shared" si="2"/>
        <v>2.8</v>
      </c>
      <c r="T21" s="5" t="str">
        <f t="shared" si="3"/>
        <v>BAJO</v>
      </c>
      <c r="U21" s="5">
        <v>4</v>
      </c>
      <c r="V21" s="7">
        <v>3</v>
      </c>
      <c r="W21" s="7">
        <v>2.5</v>
      </c>
      <c r="X21" s="7">
        <v>3</v>
      </c>
      <c r="Y21" s="5">
        <f t="shared" si="4"/>
        <v>2.8</v>
      </c>
      <c r="Z21" s="5" t="str">
        <f t="shared" si="5"/>
        <v>BAJO</v>
      </c>
      <c r="AA21" s="5">
        <v>1</v>
      </c>
      <c r="AB21" s="7">
        <v>2.8</v>
      </c>
      <c r="AC21" s="7">
        <v>2.8</v>
      </c>
      <c r="AD21" s="7">
        <v>2.8</v>
      </c>
      <c r="AE21" s="5">
        <f t="shared" si="6"/>
        <v>2.8</v>
      </c>
      <c r="AF21" s="5" t="str">
        <f t="shared" si="7"/>
        <v>BAJO</v>
      </c>
      <c r="AG21" s="5">
        <v>2</v>
      </c>
      <c r="AH21" s="8">
        <v>3.5</v>
      </c>
      <c r="AI21" s="8">
        <v>3.5</v>
      </c>
      <c r="AJ21" s="8">
        <v>3.5</v>
      </c>
      <c r="AK21" s="5">
        <f t="shared" si="8"/>
        <v>3.5</v>
      </c>
      <c r="AL21" s="5" t="str">
        <f t="shared" si="9"/>
        <v>BASICO</v>
      </c>
      <c r="AM21" s="5">
        <v>1</v>
      </c>
      <c r="AN21" s="8">
        <v>3.5</v>
      </c>
      <c r="AO21" s="8">
        <v>3.5</v>
      </c>
      <c r="AP21" s="8">
        <v>3.5</v>
      </c>
      <c r="AQ21" s="5">
        <f t="shared" si="10"/>
        <v>3.5</v>
      </c>
      <c r="AR21" s="5" t="str">
        <f t="shared" si="11"/>
        <v>BASICO</v>
      </c>
      <c r="AS21" s="5">
        <v>4</v>
      </c>
      <c r="AT21" s="7">
        <v>2.5</v>
      </c>
      <c r="AU21" s="7">
        <v>2.5</v>
      </c>
      <c r="AV21" s="7">
        <v>2.5</v>
      </c>
      <c r="AW21" s="5">
        <f t="shared" si="12"/>
        <v>2.5</v>
      </c>
      <c r="AX21" s="5" t="str">
        <f t="shared" si="53"/>
        <v>BAJO</v>
      </c>
      <c r="AY21" s="5">
        <v>1</v>
      </c>
      <c r="AZ21" s="7">
        <v>3.5</v>
      </c>
      <c r="BA21" s="7">
        <v>3.5</v>
      </c>
      <c r="BB21" s="7">
        <v>3.5</v>
      </c>
      <c r="BC21" s="5">
        <f t="shared" si="14"/>
        <v>3.5</v>
      </c>
      <c r="BD21" s="5" t="str">
        <f t="shared" si="15"/>
        <v>BASICO</v>
      </c>
      <c r="BE21" s="7">
        <v>2</v>
      </c>
      <c r="BF21" s="7">
        <v>3.3</v>
      </c>
      <c r="BG21" s="7">
        <v>3.4</v>
      </c>
      <c r="BH21" s="7">
        <v>3.2</v>
      </c>
      <c r="BI21" s="5">
        <f t="shared" si="16"/>
        <v>3.31</v>
      </c>
      <c r="BJ21" s="5" t="str">
        <f t="shared" si="48"/>
        <v>BASICO</v>
      </c>
      <c r="BK21" s="5">
        <v>1</v>
      </c>
      <c r="BL21" s="7">
        <v>3.3</v>
      </c>
      <c r="BM21" s="7">
        <v>3.2</v>
      </c>
      <c r="BN21" s="7">
        <v>3.4</v>
      </c>
      <c r="BO21" s="7">
        <v>3.5</v>
      </c>
      <c r="BP21" s="5" t="str">
        <f t="shared" si="19"/>
        <v>BASICO</v>
      </c>
      <c r="BQ21" s="5">
        <v>1</v>
      </c>
      <c r="BR21" s="7">
        <v>3.2</v>
      </c>
      <c r="BS21" s="7">
        <v>3.3</v>
      </c>
      <c r="BT21" s="7">
        <v>3</v>
      </c>
      <c r="BU21" s="5">
        <f t="shared" si="20"/>
        <v>3.18</v>
      </c>
      <c r="BV21" s="5" t="str">
        <f t="shared" si="21"/>
        <v>BASICO</v>
      </c>
      <c r="BW21" s="5">
        <v>1</v>
      </c>
      <c r="BX21" s="7">
        <v>3.5</v>
      </c>
      <c r="BY21" s="7">
        <v>3.8</v>
      </c>
      <c r="BZ21" s="7">
        <v>3.5</v>
      </c>
      <c r="CA21" s="5">
        <f t="shared" si="22"/>
        <v>3.62</v>
      </c>
      <c r="CB21" s="5" t="str">
        <f t="shared" si="23"/>
        <v>BASICO</v>
      </c>
      <c r="CC21" s="5">
        <v>1</v>
      </c>
      <c r="CD21" s="7">
        <v>4.2</v>
      </c>
      <c r="CE21" s="7">
        <v>4</v>
      </c>
      <c r="CF21" s="7">
        <v>4</v>
      </c>
      <c r="CG21" s="5">
        <f t="shared" si="24"/>
        <v>4.0600000000000005</v>
      </c>
      <c r="CH21" s="5" t="str">
        <f t="shared" si="25"/>
        <v>ALTO</v>
      </c>
      <c r="CI21" s="5">
        <v>1</v>
      </c>
      <c r="CJ21" s="7" t="s">
        <v>91</v>
      </c>
      <c r="CK21" s="7">
        <v>4.4000000000000004</v>
      </c>
      <c r="CL21" s="7">
        <v>4.4000000000000004</v>
      </c>
      <c r="CM21" s="5" t="e">
        <f t="shared" si="26"/>
        <v>#VALUE!</v>
      </c>
      <c r="CN21" s="5" t="e">
        <f t="shared" si="27"/>
        <v>#VALUE!</v>
      </c>
      <c r="CO21" s="5">
        <v>1</v>
      </c>
      <c r="CP21" s="7">
        <v>5</v>
      </c>
      <c r="CQ21" s="7">
        <v>5</v>
      </c>
      <c r="CR21" s="7">
        <v>5</v>
      </c>
      <c r="CS21" s="5">
        <f t="shared" si="28"/>
        <v>5</v>
      </c>
      <c r="CT21" s="5" t="str">
        <f t="shared" si="29"/>
        <v>SUPERIOR</v>
      </c>
      <c r="CU21" s="5">
        <v>2</v>
      </c>
      <c r="CV21" s="7">
        <v>2</v>
      </c>
      <c r="CW21" s="7">
        <v>2</v>
      </c>
      <c r="CX21" s="7">
        <v>2</v>
      </c>
      <c r="CY21" s="5">
        <f t="shared" si="30"/>
        <v>2</v>
      </c>
      <c r="CZ21" s="5" t="str">
        <f t="shared" si="31"/>
        <v>BAJO</v>
      </c>
      <c r="DA21" s="5">
        <v>2</v>
      </c>
      <c r="DB21" s="7">
        <v>3.5</v>
      </c>
      <c r="DC21" s="7">
        <v>3.5</v>
      </c>
      <c r="DD21" s="7">
        <v>4</v>
      </c>
      <c r="DE21" s="5">
        <f t="shared" si="32"/>
        <v>3.6500000000000004</v>
      </c>
      <c r="DF21" s="5" t="str">
        <f t="shared" si="33"/>
        <v>BASICO</v>
      </c>
      <c r="DG21" s="5">
        <v>0</v>
      </c>
      <c r="DH21" s="7"/>
      <c r="DI21" s="5" t="str">
        <f t="shared" si="34"/>
        <v>BAJO</v>
      </c>
      <c r="DJ21" s="5" t="e">
        <f t="shared" si="35"/>
        <v>#VALUE!</v>
      </c>
      <c r="DK21" s="5" t="str">
        <f t="shared" si="36"/>
        <v>Comprende el concepto de números reales, su relación de orden y las propiedades de sus operaciones, así como las relaciones de semejanza y congruencia de distintas figuras geométricas.</v>
      </c>
      <c r="DL21" s="5" t="str">
        <f t="shared" ref="DL21:FJ21" si="58">DL20</f>
        <v>Aplica correctamente las propiedades de las operaciones de números reales y expresiones algebraicas en la resolución de problemas.</v>
      </c>
      <c r="DM21" s="5" t="str">
        <f t="shared" si="58"/>
        <v>Valora el uso del pensamiento lógico a la hora de plantear y resolver problemas de las matemáticas y de la vida cotidiana.</v>
      </c>
      <c r="DN21" s="5" t="str">
        <f t="shared" si="5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1" s="5" t="str">
        <f t="shared" si="58"/>
        <v>Organiza y analiza datos mediante la construcción de tablas de frecuencias y diagramas estadísticos, identificando variables aleatorias y utilizando estas representaciones para resolver situaciones problema.</v>
      </c>
      <c r="DP21" s="5" t="str">
        <f t="shared" si="58"/>
        <v>Muestra disposición y responsabilidad en el manejo y análisis de datos, participando activamente en actividades individuales y colaborativas, y comunicando información estadística con claridad y sentido crítico.</v>
      </c>
      <c r="DQ21" s="5" t="str">
        <f t="shared" si="58"/>
        <v>Analiza las características de la literatura prehispánica y la literatura del descubrimiento y la conquista en Colombia identificando sus elementos fundamentales y su impacto en la cultura y el lenguaje actual.</v>
      </c>
      <c r="DR21" s="5" t="str">
        <f t="shared" si="58"/>
        <v>Realiza comprensión lectora cuando analiza un texto desde el discurso de la Enunciación e identifica la función de cada uno de sus componentes.
Responde preguntas en los tres niveles de lectura a una leyenda del Caribe.</v>
      </c>
      <c r="DS21" s="5" t="str">
        <f t="shared" si="58"/>
        <v>Muestra disposición para participar activamente en las clases, promoviendo el respeto por las ideas ajenas y reconociendo la importancia de la precisión como una herramienta clave para una comunicación</v>
      </c>
      <c r="DT21" s="5" t="str">
        <f t="shared" si="58"/>
        <v>Comprende el contenido del cuento A la deriva, identificando su tema central, la secuencia de los hechos, los personajes y las ideas explícitas e implícitas del texto.</v>
      </c>
      <c r="DU21" s="5" t="str">
        <f t="shared" si="58"/>
        <v>Analiza críticamente el cuento A la deriva mediante la identificación de información literal, inferencial y crítica, sustentando sus respuestas de forma oral y escrita.</v>
      </c>
      <c r="DV21" s="5" t="str">
        <f t="shared" si="58"/>
        <v>Valora la lectura literaria como una oportunidad para reflexionar sobre la vida, la naturaleza y la condición humana, participando con interés, respeto y sentido crítico en las actividades propuestas.</v>
      </c>
      <c r="DW21" s="5" t="str">
        <f t="shared" si="58"/>
        <v>Comprende y reconoce vocabulario y estructuras basicas del ingles para interpretar textos cortos y conversaciones sobre temas cotidianos de la vida diaria.</v>
      </c>
      <c r="DX21" s="5" t="str">
        <f t="shared" si="58"/>
        <v>Produce de forma oral y escrita frases y parrafos cortos en Ingles, utilizando correctamente las estructuras conocidas para describir rutinas, narrar experiencias y participar en conversaciones.</v>
      </c>
      <c r="DY21" s="5" t="str">
        <f t="shared" si="58"/>
        <v>Muestra disposicion positiva hacia el aprendizaje del Ingles participando activamente en clase.</v>
      </c>
      <c r="DZ21" s="5" t="str">
        <f t="shared" si="58"/>
        <v>Identifica vocabulario en Ingles  de situaciones cotidianas.</v>
      </c>
      <c r="EA21" s="5" t="str">
        <f t="shared" si="58"/>
        <v>Participa en actividades utilizando vocabulario aprendido para expresar gustos,emociones y necesidades.</v>
      </c>
      <c r="EB21" s="5" t="str">
        <f t="shared" si="58"/>
        <v>Respeta la opinion de los demas, muestra disposicion para participar en actividades orales.</v>
      </c>
      <c r="EC21" s="5" t="str">
        <f t="shared" si="58"/>
        <v>Identifica la conformación y funcionamiento del sistema inmunolófico y diferencia las característics de los estados de la materia.</v>
      </c>
      <c r="ED21" s="5" t="str">
        <f t="shared" si="58"/>
        <v>Reconoce experimentalmente las características de materiales en los diferentes estados de la materia.</v>
      </c>
      <c r="EE21" s="5" t="str">
        <f t="shared" si="58"/>
        <v xml:space="preserve">Valora la importancia de tener habitos saludables, para lograr el mantenimiento saludable del sistema inmune. </v>
      </c>
      <c r="EF21" s="5" t="str">
        <f t="shared" si="58"/>
        <v>Describe correctamente la secuencia de eventos biologicos de la fecundacion,incluyendo las recciones acrosomicas,la funcion de gametos y la formacion de gametos.</v>
      </c>
      <c r="EG21" s="5" t="str">
        <f t="shared" si="58"/>
        <v>Mide la capacidad del labolatrio para lograr la fecundacion exitosa de los ovulos con el espermatozoide.</v>
      </c>
      <c r="EH21" s="5" t="str">
        <f t="shared" si="58"/>
        <v>Valora la importancia del cuidado del cuerpo y de la salud reproductiva como la base para una fecundacion saludable.</v>
      </c>
      <c r="EI21" s="5" t="str">
        <f t="shared" si="58"/>
        <v>Explico las principales caracteristicas de algunas revoluciones de los siglos XVIII y XIX (Revolucion francesa, Industrial...)</v>
      </c>
      <c r="EJ21" s="5" t="str">
        <f t="shared" si="58"/>
        <v>Analiza las causas y consecuencias de procesos historicos como la Revolucion Industrial y Francesa.</v>
      </c>
      <c r="EK21" s="5" t="str">
        <f t="shared" si="58"/>
        <v>Muestra interes y curiosidad por comprender los procesos historicos y su impacto en la sociedad.</v>
      </c>
      <c r="EL21" s="5" t="str">
        <f t="shared" si="58"/>
        <v xml:space="preserve">Identifica los procesos historicos de algunas revoluciones de los siglos XVIII y XIX </v>
      </c>
      <c r="EM21" s="5">
        <f t="shared" si="58"/>
        <v>0</v>
      </c>
      <c r="EN21" s="5">
        <f t="shared" si="58"/>
        <v>0</v>
      </c>
      <c r="EO21" s="5" t="str">
        <f t="shared" si="58"/>
        <v xml:space="preserve">Comprende la distribucion espacial de la poblacion antes y despues de las revoluciones </v>
      </c>
      <c r="EP21" s="5" t="str">
        <f t="shared" si="58"/>
        <v xml:space="preserve">Ubica en mapas las regiones donde se desarrollaron las principales revoluciones y explica sus caracteristicas geograficas </v>
      </c>
      <c r="EQ21" s="5" t="str">
        <f t="shared" si="58"/>
        <v>Muestra interes por comprender la relacion entre sociedad, economia y territorio</v>
      </c>
      <c r="ER21" s="5" t="str">
        <f t="shared" si="58"/>
        <v>Comprende el concepto de cultura de paz y su importancia en la sociedad</v>
      </c>
      <c r="ES21" s="5" t="str">
        <f t="shared" si="58"/>
        <v>Practica normas de convivencia en diferentes espacios( aula, hogar, comunidad)</v>
      </c>
      <c r="ET21" s="5" t="str">
        <f t="shared" si="58"/>
        <v>Muestra actitud de respeto hacia la diversidad cuktural, social y de pensamiento</v>
      </c>
      <c r="EU21" s="5">
        <f t="shared" si="58"/>
        <v>0</v>
      </c>
      <c r="EV21" s="5">
        <f t="shared" si="58"/>
        <v>0</v>
      </c>
      <c r="EW21" s="5">
        <f t="shared" si="58"/>
        <v>0</v>
      </c>
      <c r="EX21" s="5">
        <f t="shared" si="58"/>
        <v>0</v>
      </c>
      <c r="EY21" s="5">
        <f t="shared" si="58"/>
        <v>0</v>
      </c>
      <c r="EZ21" s="5">
        <f t="shared" si="58"/>
        <v>0</v>
      </c>
      <c r="FA21" s="5">
        <f t="shared" si="58"/>
        <v>0</v>
      </c>
      <c r="FB21" s="5">
        <f t="shared" si="58"/>
        <v>0</v>
      </c>
      <c r="FC21" s="5">
        <f t="shared" si="58"/>
        <v>0</v>
      </c>
      <c r="FD21" s="5" t="str">
        <f t="shared" si="58"/>
        <v xml:space="preserve"> Identifica las expresiones motrices relacionadas con el juego del voleibol,  como una oportunidad para mejorar la salud, la estética y las relaciones con los demás.</v>
      </c>
      <c r="FE21" s="5" t="str">
        <f t="shared" si="58"/>
        <v>Pone en práctica los fundamentos básicos del voleibol.</v>
      </c>
      <c r="FF21" s="5" t="str">
        <f t="shared" si="58"/>
        <v>Muestra  responsabilidad y buena actitud al realizar el juego de voleibol.</v>
      </c>
      <c r="FG21" s="5" t="str">
        <f t="shared" si="58"/>
        <v>Comprende el concepto de variable como espacio de almacenamiento de datos y reconoce el uso de estructuras condicionales (si, si-no) para la toma de decisiones en un programa.</v>
      </c>
      <c r="FH21" s="5" t="str">
        <f t="shared" si="58"/>
        <v>Diseña y desarrolla programas que utilizan variables y estructuras condicionales para resolver problemas, evaluando condiciones y generando respuestas según diferentes situaciones.</v>
      </c>
      <c r="FI21" s="5" t="str">
        <f t="shared" si="58"/>
        <v>Muestra pensamiento lógico, perseverancia y actitud crítica al analizar errores y proponer soluciones en la construcción de programas con variables y condicionales.</v>
      </c>
      <c r="FJ21" s="5" t="str">
        <f t="shared" si="58"/>
        <v>Identifica y reconoce sus pricipales deberes y derechos dentro y fuera  de la Institución educativa.</v>
      </c>
    </row>
    <row r="22" spans="1:166" ht="15.75" customHeight="1">
      <c r="A22" s="5">
        <v>21</v>
      </c>
      <c r="B22" s="5" t="s">
        <v>92</v>
      </c>
      <c r="C22" s="6">
        <v>1044647869</v>
      </c>
      <c r="D22" s="5" t="s">
        <v>68</v>
      </c>
      <c r="E22" s="5" t="s">
        <v>69</v>
      </c>
      <c r="F22" s="5" t="s">
        <v>70</v>
      </c>
      <c r="G22" s="5" t="s">
        <v>71</v>
      </c>
      <c r="H22" s="5">
        <v>2026</v>
      </c>
      <c r="I22" s="7">
        <v>4</v>
      </c>
      <c r="J22" s="7">
        <v>3</v>
      </c>
      <c r="K22" s="7">
        <v>3.1</v>
      </c>
      <c r="L22" s="7">
        <v>3.2</v>
      </c>
      <c r="M22" s="5">
        <f t="shared" si="0"/>
        <v>3.1</v>
      </c>
      <c r="N22" s="5" t="str">
        <f t="shared" si="1"/>
        <v>BASICO</v>
      </c>
      <c r="O22" s="5">
        <v>1</v>
      </c>
      <c r="P22" s="7">
        <v>4</v>
      </c>
      <c r="Q22" s="7">
        <v>4</v>
      </c>
      <c r="R22" s="7">
        <v>4</v>
      </c>
      <c r="S22" s="5">
        <f t="shared" si="2"/>
        <v>4</v>
      </c>
      <c r="T22" s="5" t="str">
        <f t="shared" si="3"/>
        <v>ALTO</v>
      </c>
      <c r="U22" s="5">
        <v>4</v>
      </c>
      <c r="V22" s="7">
        <v>4.7</v>
      </c>
      <c r="W22" s="7">
        <v>5</v>
      </c>
      <c r="X22" s="7">
        <v>4.7</v>
      </c>
      <c r="Y22" s="5">
        <f t="shared" si="4"/>
        <v>4.82</v>
      </c>
      <c r="Z22" s="5" t="str">
        <f t="shared" si="5"/>
        <v>SUPERIOR</v>
      </c>
      <c r="AA22" s="5">
        <v>1</v>
      </c>
      <c r="AB22" s="7">
        <v>4.0999999999999996</v>
      </c>
      <c r="AC22" s="7">
        <v>4.0999999999999996</v>
      </c>
      <c r="AD22" s="7">
        <v>4.0999999999999996</v>
      </c>
      <c r="AE22" s="5">
        <f t="shared" si="6"/>
        <v>4.0999999999999996</v>
      </c>
      <c r="AF22" s="5" t="str">
        <f t="shared" si="7"/>
        <v>ALTO</v>
      </c>
      <c r="AG22" s="5">
        <v>2</v>
      </c>
      <c r="AH22" s="8">
        <v>4.5</v>
      </c>
      <c r="AI22" s="8">
        <v>4.5</v>
      </c>
      <c r="AJ22" s="8">
        <v>4.5</v>
      </c>
      <c r="AK22" s="5">
        <f t="shared" si="8"/>
        <v>4.5</v>
      </c>
      <c r="AL22" s="5" t="str">
        <f t="shared" si="9"/>
        <v>SUPERIOR</v>
      </c>
      <c r="AM22" s="5">
        <v>1</v>
      </c>
      <c r="AN22" s="8">
        <v>4.5</v>
      </c>
      <c r="AO22" s="8">
        <v>4.5</v>
      </c>
      <c r="AP22" s="8">
        <v>4.5</v>
      </c>
      <c r="AQ22" s="5">
        <f t="shared" si="10"/>
        <v>4.5</v>
      </c>
      <c r="AR22" s="5" t="str">
        <f t="shared" si="11"/>
        <v>SUPERIOR</v>
      </c>
      <c r="AS22" s="5">
        <v>4</v>
      </c>
      <c r="AT22" s="7">
        <v>3.6</v>
      </c>
      <c r="AU22" s="7">
        <v>3.6</v>
      </c>
      <c r="AV22" s="7">
        <v>3.6</v>
      </c>
      <c r="AW22" s="5">
        <f t="shared" si="12"/>
        <v>3.6000000000000005</v>
      </c>
      <c r="AX22" s="5" t="str">
        <f t="shared" si="53"/>
        <v>BASICO</v>
      </c>
      <c r="AY22" s="5">
        <v>1</v>
      </c>
      <c r="AZ22" s="7">
        <v>3.5</v>
      </c>
      <c r="BA22" s="7">
        <v>3.5</v>
      </c>
      <c r="BB22" s="7">
        <v>3.8</v>
      </c>
      <c r="BC22" s="5">
        <f t="shared" si="14"/>
        <v>3.59</v>
      </c>
      <c r="BD22" s="5" t="str">
        <f t="shared" si="15"/>
        <v>BASICO</v>
      </c>
      <c r="BE22" s="7">
        <v>2</v>
      </c>
      <c r="BF22" s="7">
        <v>4</v>
      </c>
      <c r="BG22" s="7">
        <v>4.5</v>
      </c>
      <c r="BH22" s="7">
        <v>4.5</v>
      </c>
      <c r="BI22" s="5">
        <f t="shared" si="16"/>
        <v>4.3499999999999996</v>
      </c>
      <c r="BJ22" s="5" t="str">
        <f t="shared" si="48"/>
        <v>ALTO</v>
      </c>
      <c r="BK22" s="5">
        <v>1</v>
      </c>
      <c r="BL22" s="7">
        <v>4</v>
      </c>
      <c r="BM22" s="7">
        <v>4.4000000000000004</v>
      </c>
      <c r="BN22" s="7">
        <v>4.5</v>
      </c>
      <c r="BO22" s="5">
        <f t="shared" ref="BO22:BO34" si="59">((BL22*0.3)+(BM22*0.4)+(BN22*0.3))</f>
        <v>4.3099999999999996</v>
      </c>
      <c r="BP22" s="5" t="str">
        <f t="shared" si="19"/>
        <v>ALTO</v>
      </c>
      <c r="BQ22" s="5">
        <v>1</v>
      </c>
      <c r="BR22" s="7">
        <v>4</v>
      </c>
      <c r="BS22" s="7">
        <v>4.4000000000000004</v>
      </c>
      <c r="BT22" s="7">
        <v>4.5</v>
      </c>
      <c r="BU22" s="5">
        <f t="shared" si="20"/>
        <v>4.3099999999999996</v>
      </c>
      <c r="BV22" s="5" t="str">
        <f t="shared" si="21"/>
        <v>ALTO</v>
      </c>
      <c r="BW22" s="5">
        <v>1</v>
      </c>
      <c r="BX22" s="7">
        <v>4</v>
      </c>
      <c r="BY22" s="7">
        <v>4.5</v>
      </c>
      <c r="BZ22" s="7">
        <v>4.4000000000000004</v>
      </c>
      <c r="CA22" s="5">
        <f t="shared" si="22"/>
        <v>4.32</v>
      </c>
      <c r="CB22" s="5" t="str">
        <f t="shared" si="23"/>
        <v>ALTO</v>
      </c>
      <c r="CC22" s="5">
        <v>1</v>
      </c>
      <c r="CD22" s="7">
        <v>3.7</v>
      </c>
      <c r="CE22" s="7">
        <v>3.8</v>
      </c>
      <c r="CF22" s="7">
        <v>3.8</v>
      </c>
      <c r="CG22" s="5">
        <f t="shared" si="24"/>
        <v>3.7699999999999996</v>
      </c>
      <c r="CH22" s="5" t="str">
        <f t="shared" si="25"/>
        <v>BASICO</v>
      </c>
      <c r="CI22" s="5">
        <v>1</v>
      </c>
      <c r="CJ22" s="7">
        <v>4.5999999999999996</v>
      </c>
      <c r="CK22" s="7">
        <v>4.5999999999999996</v>
      </c>
      <c r="CL22" s="7">
        <v>4.5999999999999996</v>
      </c>
      <c r="CM22" s="5">
        <f t="shared" si="26"/>
        <v>4.5999999999999996</v>
      </c>
      <c r="CN22" s="5" t="str">
        <f t="shared" si="27"/>
        <v>SUPERIOR</v>
      </c>
      <c r="CO22" s="5">
        <v>1</v>
      </c>
      <c r="CP22" s="7">
        <v>5</v>
      </c>
      <c r="CQ22" s="7">
        <v>5</v>
      </c>
      <c r="CR22" s="7">
        <v>5</v>
      </c>
      <c r="CS22" s="5">
        <f t="shared" si="28"/>
        <v>5</v>
      </c>
      <c r="CT22" s="5" t="str">
        <f t="shared" si="29"/>
        <v>SUPERIOR</v>
      </c>
      <c r="CU22" s="5">
        <v>2</v>
      </c>
      <c r="CV22" s="7">
        <v>4.5</v>
      </c>
      <c r="CW22" s="7">
        <v>4.5</v>
      </c>
      <c r="CX22" s="7">
        <v>4.5</v>
      </c>
      <c r="CY22" s="5">
        <f t="shared" si="30"/>
        <v>4.5</v>
      </c>
      <c r="CZ22" s="5" t="str">
        <f t="shared" si="31"/>
        <v>SUPERIOR</v>
      </c>
      <c r="DA22" s="5">
        <v>2</v>
      </c>
      <c r="DB22" s="7">
        <v>4.5</v>
      </c>
      <c r="DC22" s="7">
        <v>4.5</v>
      </c>
      <c r="DD22" s="7">
        <v>4.5</v>
      </c>
      <c r="DE22" s="5">
        <f t="shared" si="32"/>
        <v>4.5</v>
      </c>
      <c r="DF22" s="5" t="str">
        <f t="shared" si="33"/>
        <v>SUPERIOR</v>
      </c>
      <c r="DG22" s="5">
        <v>0</v>
      </c>
      <c r="DH22" s="7"/>
      <c r="DI22" s="5" t="str">
        <f t="shared" si="34"/>
        <v>BAJO</v>
      </c>
      <c r="DJ22" s="5">
        <f t="shared" si="35"/>
        <v>4.2225000000000001</v>
      </c>
      <c r="DK22" s="5" t="str">
        <f t="shared" si="36"/>
        <v>Comprende el concepto de números reales, su relación de orden y las propiedades de sus operaciones, así como las relaciones de semejanza y congruencia de distintas figuras geométricas.</v>
      </c>
      <c r="DL22" s="5" t="str">
        <f t="shared" ref="DL22:FJ22" si="60">DL21</f>
        <v>Aplica correctamente las propiedades de las operaciones de números reales y expresiones algebraicas en la resolución de problemas.</v>
      </c>
      <c r="DM22" s="5" t="str">
        <f t="shared" si="60"/>
        <v>Valora el uso del pensamiento lógico a la hora de plantear y resolver problemas de las matemáticas y de la vida cotidiana.</v>
      </c>
      <c r="DN22" s="5" t="str">
        <f t="shared" si="6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2" s="5" t="str">
        <f t="shared" si="60"/>
        <v>Organiza y analiza datos mediante la construcción de tablas de frecuencias y diagramas estadísticos, identificando variables aleatorias y utilizando estas representaciones para resolver situaciones problema.</v>
      </c>
      <c r="DP22" s="5" t="str">
        <f t="shared" si="60"/>
        <v>Muestra disposición y responsabilidad en el manejo y análisis de datos, participando activamente en actividades individuales y colaborativas, y comunicando información estadística con claridad y sentido crítico.</v>
      </c>
      <c r="DQ22" s="5" t="str">
        <f t="shared" si="60"/>
        <v>Analiza las características de la literatura prehispánica y la literatura del descubrimiento y la conquista en Colombia identificando sus elementos fundamentales y su impacto en la cultura y el lenguaje actual.</v>
      </c>
      <c r="DR22" s="5" t="str">
        <f t="shared" si="60"/>
        <v>Realiza comprensión lectora cuando analiza un texto desde el discurso de la Enunciación e identifica la función de cada uno de sus componentes.
Responde preguntas en los tres niveles de lectura a una leyenda del Caribe.</v>
      </c>
      <c r="DS22" s="5" t="str">
        <f t="shared" si="60"/>
        <v>Muestra disposición para participar activamente en las clases, promoviendo el respeto por las ideas ajenas y reconociendo la importancia de la precisión como una herramienta clave para una comunicación</v>
      </c>
      <c r="DT22" s="5" t="str">
        <f t="shared" si="60"/>
        <v>Comprende el contenido del cuento A la deriva, identificando su tema central, la secuencia de los hechos, los personajes y las ideas explícitas e implícitas del texto.</v>
      </c>
      <c r="DU22" s="5" t="str">
        <f t="shared" si="60"/>
        <v>Analiza críticamente el cuento A la deriva mediante la identificación de información literal, inferencial y crítica, sustentando sus respuestas de forma oral y escrita.</v>
      </c>
      <c r="DV22" s="5" t="str">
        <f t="shared" si="60"/>
        <v>Valora la lectura literaria como una oportunidad para reflexionar sobre la vida, la naturaleza y la condición humana, participando con interés, respeto y sentido crítico en las actividades propuestas.</v>
      </c>
      <c r="DW22" s="5" t="str">
        <f t="shared" si="60"/>
        <v>Comprende y reconoce vocabulario y estructuras basicas del ingles para interpretar textos cortos y conversaciones sobre temas cotidianos de la vida diaria.</v>
      </c>
      <c r="DX22" s="5" t="str">
        <f t="shared" si="60"/>
        <v>Produce de forma oral y escrita frases y parrafos cortos en Ingles, utilizando correctamente las estructuras conocidas para describir rutinas, narrar experiencias y participar en conversaciones.</v>
      </c>
      <c r="DY22" s="5" t="str">
        <f t="shared" si="60"/>
        <v>Muestra disposicion positiva hacia el aprendizaje del Ingles participando activamente en clase.</v>
      </c>
      <c r="DZ22" s="5" t="str">
        <f t="shared" si="60"/>
        <v>Identifica vocabulario en Ingles  de situaciones cotidianas.</v>
      </c>
      <c r="EA22" s="5" t="str">
        <f t="shared" si="60"/>
        <v>Participa en actividades utilizando vocabulario aprendido para expresar gustos,emociones y necesidades.</v>
      </c>
      <c r="EB22" s="5" t="str">
        <f t="shared" si="60"/>
        <v>Respeta la opinion de los demas, muestra disposicion para participar en actividades orales.</v>
      </c>
      <c r="EC22" s="5" t="str">
        <f t="shared" si="60"/>
        <v>Identifica la conformación y funcionamiento del sistema inmunolófico y diferencia las característics de los estados de la materia.</v>
      </c>
      <c r="ED22" s="5" t="str">
        <f t="shared" si="60"/>
        <v>Reconoce experimentalmente las características de materiales en los diferentes estados de la materia.</v>
      </c>
      <c r="EE22" s="5" t="str">
        <f t="shared" si="60"/>
        <v xml:space="preserve">Valora la importancia de tener habitos saludables, para lograr el mantenimiento saludable del sistema inmune. </v>
      </c>
      <c r="EF22" s="5" t="str">
        <f t="shared" si="60"/>
        <v>Describe correctamente la secuencia de eventos biologicos de la fecundacion,incluyendo las recciones acrosomicas,la funcion de gametos y la formacion de gametos.</v>
      </c>
      <c r="EG22" s="5" t="str">
        <f t="shared" si="60"/>
        <v>Mide la capacidad del labolatrio para lograr la fecundacion exitosa de los ovulos con el espermatozoide.</v>
      </c>
      <c r="EH22" s="5" t="str">
        <f t="shared" si="60"/>
        <v>Valora la importancia del cuidado del cuerpo y de la salud reproductiva como la base para una fecundacion saludable.</v>
      </c>
      <c r="EI22" s="5" t="str">
        <f t="shared" si="60"/>
        <v>Explico las principales caracteristicas de algunas revoluciones de los siglos XVIII y XIX (Revolucion francesa, Industrial...)</v>
      </c>
      <c r="EJ22" s="5" t="str">
        <f t="shared" si="60"/>
        <v>Analiza las causas y consecuencias de procesos historicos como la Revolucion Industrial y Francesa.</v>
      </c>
      <c r="EK22" s="5" t="str">
        <f t="shared" si="60"/>
        <v>Muestra interes y curiosidad por comprender los procesos historicos y su impacto en la sociedad.</v>
      </c>
      <c r="EL22" s="5" t="str">
        <f t="shared" si="60"/>
        <v xml:space="preserve">Identifica los procesos historicos de algunas revoluciones de los siglos XVIII y XIX </v>
      </c>
      <c r="EM22" s="5">
        <f t="shared" si="60"/>
        <v>0</v>
      </c>
      <c r="EN22" s="5">
        <f t="shared" si="60"/>
        <v>0</v>
      </c>
      <c r="EO22" s="5" t="str">
        <f t="shared" si="60"/>
        <v xml:space="preserve">Comprende la distribucion espacial de la poblacion antes y despues de las revoluciones </v>
      </c>
      <c r="EP22" s="5" t="str">
        <f t="shared" si="60"/>
        <v xml:space="preserve">Ubica en mapas las regiones donde se desarrollaron las principales revoluciones y explica sus caracteristicas geograficas </v>
      </c>
      <c r="EQ22" s="5" t="str">
        <f t="shared" si="60"/>
        <v>Muestra interes por comprender la relacion entre sociedad, economia y territorio</v>
      </c>
      <c r="ER22" s="5" t="str">
        <f t="shared" si="60"/>
        <v>Comprende el concepto de cultura de paz y su importancia en la sociedad</v>
      </c>
      <c r="ES22" s="5" t="str">
        <f t="shared" si="60"/>
        <v>Practica normas de convivencia en diferentes espacios( aula, hogar, comunidad)</v>
      </c>
      <c r="ET22" s="5" t="str">
        <f t="shared" si="60"/>
        <v>Muestra actitud de respeto hacia la diversidad cuktural, social y de pensamiento</v>
      </c>
      <c r="EU22" s="5">
        <f t="shared" si="60"/>
        <v>0</v>
      </c>
      <c r="EV22" s="5">
        <f t="shared" si="60"/>
        <v>0</v>
      </c>
      <c r="EW22" s="5">
        <f t="shared" si="60"/>
        <v>0</v>
      </c>
      <c r="EX22" s="5">
        <f t="shared" si="60"/>
        <v>0</v>
      </c>
      <c r="EY22" s="5">
        <f t="shared" si="60"/>
        <v>0</v>
      </c>
      <c r="EZ22" s="5">
        <f t="shared" si="60"/>
        <v>0</v>
      </c>
      <c r="FA22" s="5">
        <f t="shared" si="60"/>
        <v>0</v>
      </c>
      <c r="FB22" s="5">
        <f t="shared" si="60"/>
        <v>0</v>
      </c>
      <c r="FC22" s="5">
        <f t="shared" si="60"/>
        <v>0</v>
      </c>
      <c r="FD22" s="5" t="str">
        <f t="shared" si="60"/>
        <v xml:space="preserve"> Identifica las expresiones motrices relacionadas con el juego del voleibol,  como una oportunidad para mejorar la salud, la estética y las relaciones con los demás.</v>
      </c>
      <c r="FE22" s="5" t="str">
        <f t="shared" si="60"/>
        <v>Pone en práctica los fundamentos básicos del voleibol.</v>
      </c>
      <c r="FF22" s="5" t="str">
        <f t="shared" si="60"/>
        <v>Muestra  responsabilidad y buena actitud al realizar el juego de voleibol.</v>
      </c>
      <c r="FG22" s="5" t="str">
        <f t="shared" si="60"/>
        <v>Comprende el concepto de variable como espacio de almacenamiento de datos y reconoce el uso de estructuras condicionales (si, si-no) para la toma de decisiones en un programa.</v>
      </c>
      <c r="FH22" s="5" t="str">
        <f t="shared" si="60"/>
        <v>Diseña y desarrolla programas que utilizan variables y estructuras condicionales para resolver problemas, evaluando condiciones y generando respuestas según diferentes situaciones.</v>
      </c>
      <c r="FI22" s="5" t="str">
        <f t="shared" si="60"/>
        <v>Muestra pensamiento lógico, perseverancia y actitud crítica al analizar errores y proponer soluciones en la construcción de programas con variables y condicionales.</v>
      </c>
      <c r="FJ22" s="5" t="str">
        <f t="shared" si="60"/>
        <v>Identifica y reconoce sus pricipales deberes y derechos dentro y fuera  de la Institución educativa.</v>
      </c>
    </row>
    <row r="23" spans="1:166" ht="15.75" customHeight="1">
      <c r="A23" s="5">
        <v>22</v>
      </c>
      <c r="B23" s="5" t="s">
        <v>93</v>
      </c>
      <c r="C23" s="6">
        <v>1044641028</v>
      </c>
      <c r="D23" s="5" t="s">
        <v>68</v>
      </c>
      <c r="E23" s="5" t="s">
        <v>69</v>
      </c>
      <c r="F23" s="5" t="s">
        <v>70</v>
      </c>
      <c r="G23" s="5" t="s">
        <v>71</v>
      </c>
      <c r="H23" s="5">
        <v>2026</v>
      </c>
      <c r="I23" s="7">
        <v>4</v>
      </c>
      <c r="J23" s="7">
        <v>2.8</v>
      </c>
      <c r="K23" s="7">
        <v>3</v>
      </c>
      <c r="L23" s="7">
        <v>3.2</v>
      </c>
      <c r="M23" s="5">
        <f t="shared" si="0"/>
        <v>3</v>
      </c>
      <c r="N23" s="5" t="str">
        <f t="shared" si="1"/>
        <v>BASICO</v>
      </c>
      <c r="O23" s="5">
        <v>1</v>
      </c>
      <c r="P23" s="7">
        <v>3</v>
      </c>
      <c r="Q23" s="7">
        <v>3</v>
      </c>
      <c r="R23" s="7">
        <v>3</v>
      </c>
      <c r="S23" s="5">
        <f t="shared" si="2"/>
        <v>3</v>
      </c>
      <c r="T23" s="5" t="str">
        <f t="shared" si="3"/>
        <v>BASICO</v>
      </c>
      <c r="U23" s="5">
        <v>4</v>
      </c>
      <c r="V23" s="7">
        <v>3</v>
      </c>
      <c r="W23" s="7">
        <v>3</v>
      </c>
      <c r="X23" s="7">
        <v>3.2</v>
      </c>
      <c r="Y23" s="5">
        <f t="shared" si="4"/>
        <v>3.06</v>
      </c>
      <c r="Z23" s="5" t="str">
        <f t="shared" si="5"/>
        <v>BASICO</v>
      </c>
      <c r="AA23" s="5">
        <v>1</v>
      </c>
      <c r="AB23" s="7">
        <v>3.4</v>
      </c>
      <c r="AC23" s="7">
        <v>3.4</v>
      </c>
      <c r="AD23" s="7">
        <v>3.4</v>
      </c>
      <c r="AE23" s="5">
        <f t="shared" si="6"/>
        <v>3.4</v>
      </c>
      <c r="AF23" s="5" t="str">
        <f t="shared" si="7"/>
        <v>BASICO</v>
      </c>
      <c r="AG23" s="5">
        <v>2</v>
      </c>
      <c r="AH23" s="8">
        <v>3</v>
      </c>
      <c r="AI23" s="8">
        <v>3</v>
      </c>
      <c r="AJ23" s="8">
        <v>3</v>
      </c>
      <c r="AK23" s="5">
        <f t="shared" si="8"/>
        <v>3</v>
      </c>
      <c r="AL23" s="5" t="str">
        <f t="shared" si="9"/>
        <v>BASICO</v>
      </c>
      <c r="AM23" s="5">
        <v>1</v>
      </c>
      <c r="AN23" s="8">
        <v>3</v>
      </c>
      <c r="AO23" s="8">
        <v>3</v>
      </c>
      <c r="AP23" s="8">
        <v>3</v>
      </c>
      <c r="AQ23" s="5">
        <f t="shared" si="10"/>
        <v>3</v>
      </c>
      <c r="AR23" s="5" t="str">
        <f t="shared" si="11"/>
        <v>BASICO</v>
      </c>
      <c r="AS23" s="5">
        <v>4</v>
      </c>
      <c r="AT23" s="7">
        <v>2</v>
      </c>
      <c r="AU23" s="7">
        <v>2</v>
      </c>
      <c r="AV23" s="7">
        <v>2</v>
      </c>
      <c r="AW23" s="5">
        <f t="shared" si="12"/>
        <v>2</v>
      </c>
      <c r="AX23" s="5" t="str">
        <f t="shared" si="53"/>
        <v>BAJO</v>
      </c>
      <c r="AY23" s="5">
        <v>1</v>
      </c>
      <c r="AZ23" s="7">
        <v>3.2</v>
      </c>
      <c r="BA23" s="7">
        <v>3.5</v>
      </c>
      <c r="BB23" s="7">
        <v>3.2</v>
      </c>
      <c r="BC23" s="5">
        <f t="shared" si="14"/>
        <v>3.3200000000000003</v>
      </c>
      <c r="BD23" s="5" t="str">
        <f t="shared" si="15"/>
        <v>BASICO</v>
      </c>
      <c r="BE23" s="7">
        <v>2</v>
      </c>
      <c r="BF23" s="7">
        <v>3</v>
      </c>
      <c r="BG23" s="7">
        <v>3</v>
      </c>
      <c r="BH23" s="7">
        <v>3.3</v>
      </c>
      <c r="BI23" s="5">
        <f t="shared" si="16"/>
        <v>3.09</v>
      </c>
      <c r="BJ23" s="5" t="str">
        <f t="shared" si="48"/>
        <v>BASICO</v>
      </c>
      <c r="BK23" s="5">
        <v>1</v>
      </c>
      <c r="BL23" s="7">
        <v>3</v>
      </c>
      <c r="BM23" s="7">
        <v>3</v>
      </c>
      <c r="BN23" s="7">
        <v>3</v>
      </c>
      <c r="BO23" s="5">
        <f t="shared" si="59"/>
        <v>3</v>
      </c>
      <c r="BP23" s="5" t="str">
        <f t="shared" si="19"/>
        <v>BASICO</v>
      </c>
      <c r="BQ23" s="5">
        <v>1</v>
      </c>
      <c r="BR23" s="7">
        <v>3</v>
      </c>
      <c r="BS23" s="7">
        <v>3</v>
      </c>
      <c r="BT23" s="7">
        <v>3</v>
      </c>
      <c r="BU23" s="5">
        <f t="shared" si="20"/>
        <v>3</v>
      </c>
      <c r="BV23" s="5" t="str">
        <f t="shared" si="21"/>
        <v>BASICO</v>
      </c>
      <c r="BW23" s="5">
        <v>1</v>
      </c>
      <c r="BX23" s="7">
        <v>2</v>
      </c>
      <c r="BY23" s="7">
        <v>2</v>
      </c>
      <c r="BZ23" s="7">
        <v>2</v>
      </c>
      <c r="CA23" s="5">
        <f t="shared" si="22"/>
        <v>2</v>
      </c>
      <c r="CB23" s="5" t="str">
        <f t="shared" si="23"/>
        <v>BAJO</v>
      </c>
      <c r="CC23" s="5">
        <v>1</v>
      </c>
      <c r="CD23" s="7">
        <v>3.7</v>
      </c>
      <c r="CE23" s="7">
        <v>3.7</v>
      </c>
      <c r="CF23" s="7">
        <v>3.7</v>
      </c>
      <c r="CG23" s="5">
        <f t="shared" si="24"/>
        <v>3.7</v>
      </c>
      <c r="CH23" s="5" t="str">
        <f t="shared" si="25"/>
        <v>BASICO</v>
      </c>
      <c r="CI23" s="5">
        <v>1</v>
      </c>
      <c r="CJ23" s="7">
        <v>2.5</v>
      </c>
      <c r="CK23" s="7">
        <v>2.5</v>
      </c>
      <c r="CL23" s="7">
        <v>2.5</v>
      </c>
      <c r="CM23" s="5">
        <f t="shared" si="26"/>
        <v>2.5</v>
      </c>
      <c r="CN23" s="5" t="str">
        <f t="shared" si="27"/>
        <v>BAJO</v>
      </c>
      <c r="CO23" s="5">
        <v>1</v>
      </c>
      <c r="CP23" s="7">
        <v>5</v>
      </c>
      <c r="CQ23" s="7">
        <v>5</v>
      </c>
      <c r="CR23" s="7">
        <v>5</v>
      </c>
      <c r="CS23" s="5">
        <f t="shared" si="28"/>
        <v>5</v>
      </c>
      <c r="CT23" s="5" t="str">
        <f t="shared" si="29"/>
        <v>SUPERIOR</v>
      </c>
      <c r="CU23" s="5">
        <v>2</v>
      </c>
      <c r="CV23" s="7">
        <v>3</v>
      </c>
      <c r="CW23" s="7">
        <v>3</v>
      </c>
      <c r="CX23" s="7">
        <v>3</v>
      </c>
      <c r="CY23" s="5">
        <f t="shared" si="30"/>
        <v>3</v>
      </c>
      <c r="CZ23" s="5" t="str">
        <f t="shared" si="31"/>
        <v>BASICO</v>
      </c>
      <c r="DA23" s="5">
        <v>2</v>
      </c>
      <c r="DB23" s="7">
        <v>3</v>
      </c>
      <c r="DC23" s="7">
        <v>3</v>
      </c>
      <c r="DD23" s="7">
        <v>3</v>
      </c>
      <c r="DE23" s="5">
        <f t="shared" si="32"/>
        <v>3</v>
      </c>
      <c r="DF23" s="5" t="str">
        <f t="shared" si="33"/>
        <v>BASICO</v>
      </c>
      <c r="DG23" s="5">
        <v>0</v>
      </c>
      <c r="DH23" s="7"/>
      <c r="DI23" s="5" t="str">
        <f t="shared" si="34"/>
        <v>BAJO</v>
      </c>
      <c r="DJ23" s="5">
        <f t="shared" si="35"/>
        <v>3.0668750000000005</v>
      </c>
      <c r="DK23" s="5" t="str">
        <f t="shared" si="36"/>
        <v>Comprende el concepto de números reales, su relación de orden y las propiedades de sus operaciones, así como las relaciones de semejanza y congruencia de distintas figuras geométricas.</v>
      </c>
      <c r="DL23" s="5" t="str">
        <f t="shared" ref="DL23:FJ23" si="61">DL22</f>
        <v>Aplica correctamente las propiedades de las operaciones de números reales y expresiones algebraicas en la resolución de problemas.</v>
      </c>
      <c r="DM23" s="5" t="str">
        <f t="shared" si="61"/>
        <v>Valora el uso del pensamiento lógico a la hora de plantear y resolver problemas de las matemáticas y de la vida cotidiana.</v>
      </c>
      <c r="DN23" s="5" t="str">
        <f t="shared" si="6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3" s="5" t="str">
        <f t="shared" si="61"/>
        <v>Organiza y analiza datos mediante la construcción de tablas de frecuencias y diagramas estadísticos, identificando variables aleatorias y utilizando estas representaciones para resolver situaciones problema.</v>
      </c>
      <c r="DP23" s="5" t="str">
        <f t="shared" si="61"/>
        <v>Muestra disposición y responsabilidad en el manejo y análisis de datos, participando activamente en actividades individuales y colaborativas, y comunicando información estadística con claridad y sentido crítico.</v>
      </c>
      <c r="DQ23" s="5" t="str">
        <f t="shared" si="61"/>
        <v>Analiza las características de la literatura prehispánica y la literatura del descubrimiento y la conquista en Colombia identificando sus elementos fundamentales y su impacto en la cultura y el lenguaje actual.</v>
      </c>
      <c r="DR23" s="5" t="str">
        <f t="shared" si="61"/>
        <v>Realiza comprensión lectora cuando analiza un texto desde el discurso de la Enunciación e identifica la función de cada uno de sus componentes.
Responde preguntas en los tres niveles de lectura a una leyenda del Caribe.</v>
      </c>
      <c r="DS23" s="5" t="str">
        <f t="shared" si="61"/>
        <v>Muestra disposición para participar activamente en las clases, promoviendo el respeto por las ideas ajenas y reconociendo la importancia de la precisión como una herramienta clave para una comunicación</v>
      </c>
      <c r="DT23" s="5" t="str">
        <f t="shared" si="61"/>
        <v>Comprende el contenido del cuento A la deriva, identificando su tema central, la secuencia de los hechos, los personajes y las ideas explícitas e implícitas del texto.</v>
      </c>
      <c r="DU23" s="5" t="str">
        <f t="shared" si="61"/>
        <v>Analiza críticamente el cuento A la deriva mediante la identificación de información literal, inferencial y crítica, sustentando sus respuestas de forma oral y escrita.</v>
      </c>
      <c r="DV23" s="5" t="str">
        <f t="shared" si="61"/>
        <v>Valora la lectura literaria como una oportunidad para reflexionar sobre la vida, la naturaleza y la condición humana, participando con interés, respeto y sentido crítico en las actividades propuestas.</v>
      </c>
      <c r="DW23" s="5" t="str">
        <f t="shared" si="61"/>
        <v>Comprende y reconoce vocabulario y estructuras basicas del ingles para interpretar textos cortos y conversaciones sobre temas cotidianos de la vida diaria.</v>
      </c>
      <c r="DX23" s="5" t="str">
        <f t="shared" si="61"/>
        <v>Produce de forma oral y escrita frases y parrafos cortos en Ingles, utilizando correctamente las estructuras conocidas para describir rutinas, narrar experiencias y participar en conversaciones.</v>
      </c>
      <c r="DY23" s="5" t="str">
        <f t="shared" si="61"/>
        <v>Muestra disposicion positiva hacia el aprendizaje del Ingles participando activamente en clase.</v>
      </c>
      <c r="DZ23" s="5" t="str">
        <f t="shared" si="61"/>
        <v>Identifica vocabulario en Ingles  de situaciones cotidianas.</v>
      </c>
      <c r="EA23" s="5" t="str">
        <f t="shared" si="61"/>
        <v>Participa en actividades utilizando vocabulario aprendido para expresar gustos,emociones y necesidades.</v>
      </c>
      <c r="EB23" s="5" t="str">
        <f t="shared" si="61"/>
        <v>Respeta la opinion de los demas, muestra disposicion para participar en actividades orales.</v>
      </c>
      <c r="EC23" s="5" t="str">
        <f t="shared" si="61"/>
        <v>Identifica la conformación y funcionamiento del sistema inmunolófico y diferencia las característics de los estados de la materia.</v>
      </c>
      <c r="ED23" s="5" t="str">
        <f t="shared" si="61"/>
        <v>Reconoce experimentalmente las características de materiales en los diferentes estados de la materia.</v>
      </c>
      <c r="EE23" s="5" t="str">
        <f t="shared" si="61"/>
        <v xml:space="preserve">Valora la importancia de tener habitos saludables, para lograr el mantenimiento saludable del sistema inmune. </v>
      </c>
      <c r="EF23" s="5" t="str">
        <f t="shared" si="61"/>
        <v>Describe correctamente la secuencia de eventos biologicos de la fecundacion,incluyendo las recciones acrosomicas,la funcion de gametos y la formacion de gametos.</v>
      </c>
      <c r="EG23" s="5" t="str">
        <f t="shared" si="61"/>
        <v>Mide la capacidad del labolatrio para lograr la fecundacion exitosa de los ovulos con el espermatozoide.</v>
      </c>
      <c r="EH23" s="5" t="str">
        <f t="shared" si="61"/>
        <v>Valora la importancia del cuidado del cuerpo y de la salud reproductiva como la base para una fecundacion saludable.</v>
      </c>
      <c r="EI23" s="5" t="str">
        <f t="shared" si="61"/>
        <v>Explico las principales caracteristicas de algunas revoluciones de los siglos XVIII y XIX (Revolucion francesa, Industrial...)</v>
      </c>
      <c r="EJ23" s="5" t="str">
        <f t="shared" si="61"/>
        <v>Analiza las causas y consecuencias de procesos historicos como la Revolucion Industrial y Francesa.</v>
      </c>
      <c r="EK23" s="5" t="str">
        <f t="shared" si="61"/>
        <v>Muestra interes y curiosidad por comprender los procesos historicos y su impacto en la sociedad.</v>
      </c>
      <c r="EL23" s="5" t="str">
        <f t="shared" si="61"/>
        <v xml:space="preserve">Identifica los procesos historicos de algunas revoluciones de los siglos XVIII y XIX </v>
      </c>
      <c r="EM23" s="5">
        <f t="shared" si="61"/>
        <v>0</v>
      </c>
      <c r="EN23" s="5">
        <f t="shared" si="61"/>
        <v>0</v>
      </c>
      <c r="EO23" s="5" t="str">
        <f t="shared" si="61"/>
        <v xml:space="preserve">Comprende la distribucion espacial de la poblacion antes y despues de las revoluciones </v>
      </c>
      <c r="EP23" s="5" t="str">
        <f t="shared" si="61"/>
        <v xml:space="preserve">Ubica en mapas las regiones donde se desarrollaron las principales revoluciones y explica sus caracteristicas geograficas </v>
      </c>
      <c r="EQ23" s="5" t="str">
        <f t="shared" si="61"/>
        <v>Muestra interes por comprender la relacion entre sociedad, economia y territorio</v>
      </c>
      <c r="ER23" s="5" t="str">
        <f t="shared" si="61"/>
        <v>Comprende el concepto de cultura de paz y su importancia en la sociedad</v>
      </c>
      <c r="ES23" s="5" t="str">
        <f t="shared" si="61"/>
        <v>Practica normas de convivencia en diferentes espacios( aula, hogar, comunidad)</v>
      </c>
      <c r="ET23" s="5" t="str">
        <f t="shared" si="61"/>
        <v>Muestra actitud de respeto hacia la diversidad cuktural, social y de pensamiento</v>
      </c>
      <c r="EU23" s="5">
        <f t="shared" si="61"/>
        <v>0</v>
      </c>
      <c r="EV23" s="5">
        <f t="shared" si="61"/>
        <v>0</v>
      </c>
      <c r="EW23" s="5">
        <f t="shared" si="61"/>
        <v>0</v>
      </c>
      <c r="EX23" s="5">
        <f t="shared" si="61"/>
        <v>0</v>
      </c>
      <c r="EY23" s="5">
        <f t="shared" si="61"/>
        <v>0</v>
      </c>
      <c r="EZ23" s="5">
        <f t="shared" si="61"/>
        <v>0</v>
      </c>
      <c r="FA23" s="5">
        <f t="shared" si="61"/>
        <v>0</v>
      </c>
      <c r="FB23" s="5">
        <f t="shared" si="61"/>
        <v>0</v>
      </c>
      <c r="FC23" s="5">
        <f t="shared" si="61"/>
        <v>0</v>
      </c>
      <c r="FD23" s="5" t="str">
        <f t="shared" si="61"/>
        <v xml:space="preserve"> Identifica las expresiones motrices relacionadas con el juego del voleibol,  como una oportunidad para mejorar la salud, la estética y las relaciones con los demás.</v>
      </c>
      <c r="FE23" s="5" t="str">
        <f t="shared" si="61"/>
        <v>Pone en práctica los fundamentos básicos del voleibol.</v>
      </c>
      <c r="FF23" s="5" t="str">
        <f t="shared" si="61"/>
        <v>Muestra  responsabilidad y buena actitud al realizar el juego de voleibol.</v>
      </c>
      <c r="FG23" s="5" t="str">
        <f t="shared" si="61"/>
        <v>Comprende el concepto de variable como espacio de almacenamiento de datos y reconoce el uso de estructuras condicionales (si, si-no) para la toma de decisiones en un programa.</v>
      </c>
      <c r="FH23" s="5" t="str">
        <f t="shared" si="61"/>
        <v>Diseña y desarrolla programas que utilizan variables y estructuras condicionales para resolver problemas, evaluando condiciones y generando respuestas según diferentes situaciones.</v>
      </c>
      <c r="FI23" s="5" t="str">
        <f t="shared" si="61"/>
        <v>Muestra pensamiento lógico, perseverancia y actitud crítica al analizar errores y proponer soluciones en la construcción de programas con variables y condicionales.</v>
      </c>
      <c r="FJ23" s="5" t="str">
        <f t="shared" si="61"/>
        <v>Identifica y reconoce sus pricipales deberes y derechos dentro y fuera  de la Institución educativa.</v>
      </c>
    </row>
    <row r="24" spans="1:166" ht="15.75" customHeight="1">
      <c r="A24" s="5">
        <v>23</v>
      </c>
      <c r="B24" s="5" t="s">
        <v>94</v>
      </c>
      <c r="C24" s="6">
        <v>1046710287</v>
      </c>
      <c r="D24" s="5" t="s">
        <v>68</v>
      </c>
      <c r="E24" s="5" t="s">
        <v>69</v>
      </c>
      <c r="F24" s="5" t="s">
        <v>70</v>
      </c>
      <c r="G24" s="5" t="s">
        <v>71</v>
      </c>
      <c r="H24" s="5">
        <v>2026</v>
      </c>
      <c r="I24" s="5">
        <v>4</v>
      </c>
      <c r="J24" s="7">
        <v>2.2000000000000002</v>
      </c>
      <c r="K24" s="7">
        <v>2.5</v>
      </c>
      <c r="L24" s="7">
        <v>2.8</v>
      </c>
      <c r="M24" s="5">
        <f t="shared" si="0"/>
        <v>2.5</v>
      </c>
      <c r="N24" s="5" t="str">
        <f t="shared" si="1"/>
        <v>BAJO</v>
      </c>
      <c r="O24" s="5">
        <v>1</v>
      </c>
      <c r="P24" s="7">
        <v>2</v>
      </c>
      <c r="Q24" s="7">
        <v>2</v>
      </c>
      <c r="R24" s="7">
        <v>2</v>
      </c>
      <c r="S24" s="5">
        <f t="shared" si="2"/>
        <v>2</v>
      </c>
      <c r="T24" s="5" t="str">
        <f t="shared" si="3"/>
        <v>BAJO</v>
      </c>
      <c r="U24" s="5">
        <v>4</v>
      </c>
      <c r="V24" s="7">
        <v>3</v>
      </c>
      <c r="W24" s="7">
        <v>3</v>
      </c>
      <c r="X24" s="7">
        <v>3</v>
      </c>
      <c r="Y24" s="5">
        <f t="shared" si="4"/>
        <v>3</v>
      </c>
      <c r="Z24" s="5" t="str">
        <f t="shared" si="5"/>
        <v>BASICO</v>
      </c>
      <c r="AA24" s="5">
        <v>1</v>
      </c>
      <c r="AB24" s="7">
        <v>2.7</v>
      </c>
      <c r="AC24" s="7">
        <v>2.7</v>
      </c>
      <c r="AD24" s="7">
        <v>2.7</v>
      </c>
      <c r="AE24" s="5">
        <f t="shared" si="6"/>
        <v>2.7</v>
      </c>
      <c r="AF24" s="5" t="str">
        <f t="shared" si="7"/>
        <v>BAJO</v>
      </c>
      <c r="AG24" s="5">
        <v>2</v>
      </c>
      <c r="AH24" s="8">
        <v>2.5</v>
      </c>
      <c r="AI24" s="8">
        <v>3</v>
      </c>
      <c r="AJ24" s="8">
        <v>3</v>
      </c>
      <c r="AK24" s="5">
        <f t="shared" si="8"/>
        <v>2.85</v>
      </c>
      <c r="AL24" s="5" t="str">
        <f t="shared" si="9"/>
        <v>BAJO</v>
      </c>
      <c r="AM24" s="5">
        <v>1</v>
      </c>
      <c r="AN24" s="8">
        <v>2.5</v>
      </c>
      <c r="AO24" s="8">
        <v>3</v>
      </c>
      <c r="AP24" s="8">
        <v>3</v>
      </c>
      <c r="AQ24" s="5">
        <f t="shared" si="10"/>
        <v>2.85</v>
      </c>
      <c r="AR24" s="5" t="str">
        <f t="shared" si="11"/>
        <v>BAJO</v>
      </c>
      <c r="AS24" s="5">
        <v>4</v>
      </c>
      <c r="AT24" s="7">
        <v>2</v>
      </c>
      <c r="AU24" s="7">
        <v>2</v>
      </c>
      <c r="AV24" s="7">
        <v>2</v>
      </c>
      <c r="AW24" s="5">
        <f t="shared" si="12"/>
        <v>2</v>
      </c>
      <c r="AX24" s="5" t="str">
        <f t="shared" si="53"/>
        <v>BAJO</v>
      </c>
      <c r="AY24" s="5">
        <v>1</v>
      </c>
      <c r="AZ24" s="7">
        <v>3.2</v>
      </c>
      <c r="BA24" s="7">
        <v>3</v>
      </c>
      <c r="BB24" s="7">
        <v>3</v>
      </c>
      <c r="BC24" s="5">
        <f t="shared" si="14"/>
        <v>3.06</v>
      </c>
      <c r="BD24" s="5" t="str">
        <f t="shared" si="15"/>
        <v>BASICO</v>
      </c>
      <c r="BE24" s="7">
        <v>2</v>
      </c>
      <c r="BF24" s="7">
        <v>3.5</v>
      </c>
      <c r="BG24" s="7">
        <v>3.5</v>
      </c>
      <c r="BH24" s="7">
        <v>3.4</v>
      </c>
      <c r="BI24" s="5">
        <f t="shared" si="16"/>
        <v>3.47</v>
      </c>
      <c r="BJ24" s="5" t="str">
        <f t="shared" si="48"/>
        <v>BASICO</v>
      </c>
      <c r="BK24" s="5">
        <v>1</v>
      </c>
      <c r="BL24" s="7">
        <v>3.3</v>
      </c>
      <c r="BM24" s="7">
        <v>3.4</v>
      </c>
      <c r="BN24" s="7">
        <v>3.5</v>
      </c>
      <c r="BO24" s="5">
        <f t="shared" si="59"/>
        <v>3.4000000000000004</v>
      </c>
      <c r="BP24" s="5" t="str">
        <f t="shared" si="19"/>
        <v>BASICO</v>
      </c>
      <c r="BQ24" s="5">
        <v>1</v>
      </c>
      <c r="BR24" s="7">
        <v>3.3</v>
      </c>
      <c r="BS24" s="7">
        <v>3.4</v>
      </c>
      <c r="BT24" s="7">
        <v>3.5</v>
      </c>
      <c r="BU24" s="5">
        <f t="shared" si="20"/>
        <v>3.4000000000000004</v>
      </c>
      <c r="BV24" s="5" t="str">
        <f t="shared" si="21"/>
        <v>BASICO</v>
      </c>
      <c r="BW24" s="5">
        <v>1</v>
      </c>
      <c r="BX24" s="7">
        <v>2</v>
      </c>
      <c r="BY24" s="7">
        <v>2</v>
      </c>
      <c r="BZ24" s="7">
        <v>2</v>
      </c>
      <c r="CA24" s="5">
        <f t="shared" si="22"/>
        <v>2</v>
      </c>
      <c r="CB24" s="5" t="str">
        <f t="shared" si="23"/>
        <v>BAJO</v>
      </c>
      <c r="CC24" s="5">
        <v>1</v>
      </c>
      <c r="CD24" s="7">
        <v>2</v>
      </c>
      <c r="CE24" s="7">
        <v>2</v>
      </c>
      <c r="CF24" s="7">
        <v>2</v>
      </c>
      <c r="CG24" s="5">
        <f t="shared" si="24"/>
        <v>2</v>
      </c>
      <c r="CH24" s="5" t="str">
        <f t="shared" si="25"/>
        <v>BAJO</v>
      </c>
      <c r="CI24" s="5">
        <v>1</v>
      </c>
      <c r="CJ24" s="7"/>
      <c r="CK24" s="7"/>
      <c r="CL24" s="7"/>
      <c r="CM24" s="5">
        <f t="shared" si="26"/>
        <v>0</v>
      </c>
      <c r="CN24" s="5" t="str">
        <f t="shared" si="27"/>
        <v>BAJO</v>
      </c>
      <c r="CO24" s="5">
        <v>1</v>
      </c>
      <c r="CP24" s="7">
        <v>5</v>
      </c>
      <c r="CQ24" s="7">
        <v>5</v>
      </c>
      <c r="CR24" s="7">
        <v>5</v>
      </c>
      <c r="CS24" s="5">
        <f t="shared" si="28"/>
        <v>5</v>
      </c>
      <c r="CT24" s="5" t="str">
        <f t="shared" si="29"/>
        <v>SUPERIOR</v>
      </c>
      <c r="CU24" s="5">
        <v>2</v>
      </c>
      <c r="CV24" s="7"/>
      <c r="CW24" s="7"/>
      <c r="CX24" s="7"/>
      <c r="CY24" s="5">
        <f t="shared" si="30"/>
        <v>0</v>
      </c>
      <c r="CZ24" s="5" t="str">
        <f t="shared" si="31"/>
        <v>BAJO</v>
      </c>
      <c r="DA24" s="5">
        <v>2</v>
      </c>
      <c r="DB24" s="7">
        <v>3</v>
      </c>
      <c r="DC24" s="7">
        <v>3</v>
      </c>
      <c r="DD24" s="7">
        <v>4</v>
      </c>
      <c r="DE24" s="5">
        <f t="shared" si="32"/>
        <v>3.3</v>
      </c>
      <c r="DF24" s="5" t="str">
        <f t="shared" si="33"/>
        <v>BASICO</v>
      </c>
      <c r="DG24" s="5">
        <v>0</v>
      </c>
      <c r="DH24" s="7"/>
      <c r="DI24" s="5" t="str">
        <f t="shared" si="34"/>
        <v>BAJO</v>
      </c>
      <c r="DJ24" s="5">
        <f t="shared" si="35"/>
        <v>2.5081250000000002</v>
      </c>
      <c r="DK24" s="5" t="str">
        <f t="shared" si="36"/>
        <v>Comprende el concepto de números reales, su relación de orden y las propiedades de sus operaciones, así como las relaciones de semejanza y congruencia de distintas figuras geométricas.</v>
      </c>
      <c r="DL24" s="5" t="str">
        <f t="shared" ref="DL24:FJ24" si="62">DL23</f>
        <v>Aplica correctamente las propiedades de las operaciones de números reales y expresiones algebraicas en la resolución de problemas.</v>
      </c>
      <c r="DM24" s="5" t="str">
        <f t="shared" si="62"/>
        <v>Valora el uso del pensamiento lógico a la hora de plantear y resolver problemas de las matemáticas y de la vida cotidiana.</v>
      </c>
      <c r="DN24" s="5" t="str">
        <f t="shared" si="6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4" s="5" t="str">
        <f t="shared" si="62"/>
        <v>Organiza y analiza datos mediante la construcción de tablas de frecuencias y diagramas estadísticos, identificando variables aleatorias y utilizando estas representaciones para resolver situaciones problema.</v>
      </c>
      <c r="DP24" s="5" t="str">
        <f t="shared" si="62"/>
        <v>Muestra disposición y responsabilidad en el manejo y análisis de datos, participando activamente en actividades individuales y colaborativas, y comunicando información estadística con claridad y sentido crítico.</v>
      </c>
      <c r="DQ24" s="5" t="str">
        <f t="shared" si="62"/>
        <v>Analiza las características de la literatura prehispánica y la literatura del descubrimiento y la conquista en Colombia identificando sus elementos fundamentales y su impacto en la cultura y el lenguaje actual.</v>
      </c>
      <c r="DR24" s="5" t="str">
        <f t="shared" si="62"/>
        <v>Realiza comprensión lectora cuando analiza un texto desde el discurso de la Enunciación e identifica la función de cada uno de sus componentes.
Responde preguntas en los tres niveles de lectura a una leyenda del Caribe.</v>
      </c>
      <c r="DS24" s="5" t="str">
        <f t="shared" si="62"/>
        <v>Muestra disposición para participar activamente en las clases, promoviendo el respeto por las ideas ajenas y reconociendo la importancia de la precisión como una herramienta clave para una comunicación</v>
      </c>
      <c r="DT24" s="5" t="str">
        <f t="shared" si="62"/>
        <v>Comprende el contenido del cuento A la deriva, identificando su tema central, la secuencia de los hechos, los personajes y las ideas explícitas e implícitas del texto.</v>
      </c>
      <c r="DU24" s="5" t="str">
        <f t="shared" si="62"/>
        <v>Analiza críticamente el cuento A la deriva mediante la identificación de información literal, inferencial y crítica, sustentando sus respuestas de forma oral y escrita.</v>
      </c>
      <c r="DV24" s="5" t="str">
        <f t="shared" si="62"/>
        <v>Valora la lectura literaria como una oportunidad para reflexionar sobre la vida, la naturaleza y la condición humana, participando con interés, respeto y sentido crítico en las actividades propuestas.</v>
      </c>
      <c r="DW24" s="5" t="str">
        <f t="shared" si="62"/>
        <v>Comprende y reconoce vocabulario y estructuras basicas del ingles para interpretar textos cortos y conversaciones sobre temas cotidianos de la vida diaria.</v>
      </c>
      <c r="DX24" s="5" t="str">
        <f t="shared" si="62"/>
        <v>Produce de forma oral y escrita frases y parrafos cortos en Ingles, utilizando correctamente las estructuras conocidas para describir rutinas, narrar experiencias y participar en conversaciones.</v>
      </c>
      <c r="DY24" s="5" t="str">
        <f t="shared" si="62"/>
        <v>Muestra disposicion positiva hacia el aprendizaje del Ingles participando activamente en clase.</v>
      </c>
      <c r="DZ24" s="5" t="str">
        <f t="shared" si="62"/>
        <v>Identifica vocabulario en Ingles  de situaciones cotidianas.</v>
      </c>
      <c r="EA24" s="5" t="str">
        <f t="shared" si="62"/>
        <v>Participa en actividades utilizando vocabulario aprendido para expresar gustos,emociones y necesidades.</v>
      </c>
      <c r="EB24" s="5" t="str">
        <f t="shared" si="62"/>
        <v>Respeta la opinion de los demas, muestra disposicion para participar en actividades orales.</v>
      </c>
      <c r="EC24" s="5" t="str">
        <f t="shared" si="62"/>
        <v>Identifica la conformación y funcionamiento del sistema inmunolófico y diferencia las característics de los estados de la materia.</v>
      </c>
      <c r="ED24" s="5" t="str">
        <f t="shared" si="62"/>
        <v>Reconoce experimentalmente las características de materiales en los diferentes estados de la materia.</v>
      </c>
      <c r="EE24" s="5" t="str">
        <f t="shared" si="62"/>
        <v xml:space="preserve">Valora la importancia de tener habitos saludables, para lograr el mantenimiento saludable del sistema inmune. </v>
      </c>
      <c r="EF24" s="5" t="str">
        <f t="shared" si="62"/>
        <v>Describe correctamente la secuencia de eventos biologicos de la fecundacion,incluyendo las recciones acrosomicas,la funcion de gametos y la formacion de gametos.</v>
      </c>
      <c r="EG24" s="5" t="str">
        <f t="shared" si="62"/>
        <v>Mide la capacidad del labolatrio para lograr la fecundacion exitosa de los ovulos con el espermatozoide.</v>
      </c>
      <c r="EH24" s="5" t="str">
        <f t="shared" si="62"/>
        <v>Valora la importancia del cuidado del cuerpo y de la salud reproductiva como la base para una fecundacion saludable.</v>
      </c>
      <c r="EI24" s="5" t="str">
        <f t="shared" si="62"/>
        <v>Explico las principales caracteristicas de algunas revoluciones de los siglos XVIII y XIX (Revolucion francesa, Industrial...)</v>
      </c>
      <c r="EJ24" s="5" t="str">
        <f t="shared" si="62"/>
        <v>Analiza las causas y consecuencias de procesos historicos como la Revolucion Industrial y Francesa.</v>
      </c>
      <c r="EK24" s="5" t="str">
        <f t="shared" si="62"/>
        <v>Muestra interes y curiosidad por comprender los procesos historicos y su impacto en la sociedad.</v>
      </c>
      <c r="EL24" s="5" t="str">
        <f t="shared" si="62"/>
        <v xml:space="preserve">Identifica los procesos historicos de algunas revoluciones de los siglos XVIII y XIX </v>
      </c>
      <c r="EM24" s="5">
        <f t="shared" si="62"/>
        <v>0</v>
      </c>
      <c r="EN24" s="5">
        <f t="shared" si="62"/>
        <v>0</v>
      </c>
      <c r="EO24" s="5" t="str">
        <f t="shared" si="62"/>
        <v xml:space="preserve">Comprende la distribucion espacial de la poblacion antes y despues de las revoluciones </v>
      </c>
      <c r="EP24" s="5" t="str">
        <f t="shared" si="62"/>
        <v xml:space="preserve">Ubica en mapas las regiones donde se desarrollaron las principales revoluciones y explica sus caracteristicas geograficas </v>
      </c>
      <c r="EQ24" s="5" t="str">
        <f t="shared" si="62"/>
        <v>Muestra interes por comprender la relacion entre sociedad, economia y territorio</v>
      </c>
      <c r="ER24" s="5" t="str">
        <f t="shared" si="62"/>
        <v>Comprende el concepto de cultura de paz y su importancia en la sociedad</v>
      </c>
      <c r="ES24" s="5" t="str">
        <f t="shared" si="62"/>
        <v>Practica normas de convivencia en diferentes espacios( aula, hogar, comunidad)</v>
      </c>
      <c r="ET24" s="5" t="str">
        <f t="shared" si="62"/>
        <v>Muestra actitud de respeto hacia la diversidad cuktural, social y de pensamiento</v>
      </c>
      <c r="EU24" s="5">
        <f t="shared" si="62"/>
        <v>0</v>
      </c>
      <c r="EV24" s="5">
        <f t="shared" si="62"/>
        <v>0</v>
      </c>
      <c r="EW24" s="5">
        <f t="shared" si="62"/>
        <v>0</v>
      </c>
      <c r="EX24" s="5">
        <f t="shared" si="62"/>
        <v>0</v>
      </c>
      <c r="EY24" s="5">
        <f t="shared" si="62"/>
        <v>0</v>
      </c>
      <c r="EZ24" s="5">
        <f t="shared" si="62"/>
        <v>0</v>
      </c>
      <c r="FA24" s="5">
        <f t="shared" si="62"/>
        <v>0</v>
      </c>
      <c r="FB24" s="5">
        <f t="shared" si="62"/>
        <v>0</v>
      </c>
      <c r="FC24" s="5">
        <f t="shared" si="62"/>
        <v>0</v>
      </c>
      <c r="FD24" s="5" t="str">
        <f t="shared" si="62"/>
        <v xml:space="preserve"> Identifica las expresiones motrices relacionadas con el juego del voleibol,  como una oportunidad para mejorar la salud, la estética y las relaciones con los demás.</v>
      </c>
      <c r="FE24" s="5" t="str">
        <f t="shared" si="62"/>
        <v>Pone en práctica los fundamentos básicos del voleibol.</v>
      </c>
      <c r="FF24" s="5" t="str">
        <f t="shared" si="62"/>
        <v>Muestra  responsabilidad y buena actitud al realizar el juego de voleibol.</v>
      </c>
      <c r="FG24" s="5" t="str">
        <f t="shared" si="62"/>
        <v>Comprende el concepto de variable como espacio de almacenamiento de datos y reconoce el uso de estructuras condicionales (si, si-no) para la toma de decisiones en un programa.</v>
      </c>
      <c r="FH24" s="5" t="str">
        <f t="shared" si="62"/>
        <v>Diseña y desarrolla programas que utilizan variables y estructuras condicionales para resolver problemas, evaluando condiciones y generando respuestas según diferentes situaciones.</v>
      </c>
      <c r="FI24" s="5" t="str">
        <f t="shared" si="62"/>
        <v>Muestra pensamiento lógico, perseverancia y actitud crítica al analizar errores y proponer soluciones en la construcción de programas con variables y condicionales.</v>
      </c>
      <c r="FJ24" s="5" t="str">
        <f t="shared" si="62"/>
        <v>Identifica y reconoce sus pricipales deberes y derechos dentro y fuera  de la Institución educativa.</v>
      </c>
    </row>
    <row r="25" spans="1:166" ht="15.75" customHeight="1">
      <c r="A25" s="5">
        <v>24</v>
      </c>
      <c r="B25" s="5" t="s">
        <v>95</v>
      </c>
      <c r="C25" s="6">
        <v>1042862207</v>
      </c>
      <c r="D25" s="5" t="s">
        <v>68</v>
      </c>
      <c r="E25" s="5" t="s">
        <v>69</v>
      </c>
      <c r="F25" s="5" t="s">
        <v>70</v>
      </c>
      <c r="G25" s="5" t="s">
        <v>71</v>
      </c>
      <c r="H25" s="5">
        <v>2026</v>
      </c>
      <c r="I25" s="5">
        <v>4</v>
      </c>
      <c r="J25" s="7">
        <v>3</v>
      </c>
      <c r="K25" s="7">
        <v>3</v>
      </c>
      <c r="L25" s="7">
        <v>3</v>
      </c>
      <c r="M25" s="5">
        <f t="shared" si="0"/>
        <v>3</v>
      </c>
      <c r="N25" s="5" t="str">
        <f t="shared" si="1"/>
        <v>BASICO</v>
      </c>
      <c r="O25" s="5">
        <v>1</v>
      </c>
      <c r="P25" s="7">
        <v>3</v>
      </c>
      <c r="Q25" s="7">
        <v>3</v>
      </c>
      <c r="R25" s="7">
        <v>3</v>
      </c>
      <c r="S25" s="5">
        <f t="shared" si="2"/>
        <v>3</v>
      </c>
      <c r="T25" s="5" t="str">
        <f t="shared" si="3"/>
        <v>BASICO</v>
      </c>
      <c r="U25" s="5">
        <v>4</v>
      </c>
      <c r="V25" s="7">
        <v>2.5</v>
      </c>
      <c r="W25" s="7">
        <v>2.5</v>
      </c>
      <c r="X25" s="7">
        <v>3</v>
      </c>
      <c r="Y25" s="5">
        <f t="shared" si="4"/>
        <v>2.65</v>
      </c>
      <c r="Z25" s="5" t="str">
        <f t="shared" si="5"/>
        <v>BAJO</v>
      </c>
      <c r="AA25" s="5">
        <v>1</v>
      </c>
      <c r="AB25" s="7">
        <v>2.8</v>
      </c>
      <c r="AC25" s="7">
        <v>2.8</v>
      </c>
      <c r="AD25" s="7">
        <v>2.8</v>
      </c>
      <c r="AE25" s="5">
        <f t="shared" si="6"/>
        <v>2.8</v>
      </c>
      <c r="AF25" s="5" t="str">
        <f t="shared" si="7"/>
        <v>BAJO</v>
      </c>
      <c r="AG25" s="5">
        <v>2</v>
      </c>
      <c r="AH25" s="8">
        <v>2</v>
      </c>
      <c r="AI25" s="8">
        <v>3.5</v>
      </c>
      <c r="AJ25" s="8">
        <v>3.5</v>
      </c>
      <c r="AK25" s="5">
        <f t="shared" si="8"/>
        <v>3.05</v>
      </c>
      <c r="AL25" s="5" t="str">
        <f t="shared" si="9"/>
        <v>BASICO</v>
      </c>
      <c r="AM25" s="5">
        <v>1</v>
      </c>
      <c r="AN25" s="8">
        <v>2</v>
      </c>
      <c r="AO25" s="8">
        <v>3.5</v>
      </c>
      <c r="AP25" s="8">
        <v>3.5</v>
      </c>
      <c r="AQ25" s="5">
        <f t="shared" si="10"/>
        <v>3.05</v>
      </c>
      <c r="AR25" s="5" t="str">
        <f t="shared" si="11"/>
        <v>BASICO</v>
      </c>
      <c r="AS25" s="5">
        <v>4</v>
      </c>
      <c r="AT25" s="7">
        <v>2.5</v>
      </c>
      <c r="AU25" s="7">
        <v>2.5</v>
      </c>
      <c r="AV25" s="7">
        <v>2.5</v>
      </c>
      <c r="AW25" s="5">
        <f t="shared" si="12"/>
        <v>2.5</v>
      </c>
      <c r="AX25" s="5" t="str">
        <f t="shared" si="53"/>
        <v>BAJO</v>
      </c>
      <c r="AY25" s="5">
        <v>1</v>
      </c>
      <c r="AZ25" s="7">
        <v>3.5</v>
      </c>
      <c r="BA25" s="7">
        <v>3.2</v>
      </c>
      <c r="BB25" s="7">
        <v>3.2</v>
      </c>
      <c r="BC25" s="5">
        <f t="shared" si="14"/>
        <v>3.29</v>
      </c>
      <c r="BD25" s="5" t="str">
        <f t="shared" si="15"/>
        <v>BASICO</v>
      </c>
      <c r="BE25" s="7">
        <v>2</v>
      </c>
      <c r="BF25" s="7">
        <v>2</v>
      </c>
      <c r="BG25" s="7">
        <v>2.5</v>
      </c>
      <c r="BH25" s="7">
        <v>2.8</v>
      </c>
      <c r="BI25" s="5">
        <f t="shared" si="16"/>
        <v>2.44</v>
      </c>
      <c r="BJ25" s="5" t="str">
        <f t="shared" si="48"/>
        <v>BAJO</v>
      </c>
      <c r="BK25" s="5">
        <v>1</v>
      </c>
      <c r="BL25" s="7">
        <v>2.5</v>
      </c>
      <c r="BM25" s="7">
        <v>2.4</v>
      </c>
      <c r="BN25" s="7">
        <v>2.8</v>
      </c>
      <c r="BO25" s="5">
        <f t="shared" si="59"/>
        <v>2.5499999999999998</v>
      </c>
      <c r="BP25" s="5" t="str">
        <f t="shared" si="19"/>
        <v>BAJO</v>
      </c>
      <c r="BQ25" s="5">
        <v>1</v>
      </c>
      <c r="BR25" s="7">
        <v>2.4</v>
      </c>
      <c r="BS25" s="7">
        <v>2.6</v>
      </c>
      <c r="BT25" s="7">
        <v>2.8</v>
      </c>
      <c r="BU25" s="5">
        <f t="shared" si="20"/>
        <v>2.6</v>
      </c>
      <c r="BV25" s="5" t="str">
        <f t="shared" si="21"/>
        <v>BAJO</v>
      </c>
      <c r="BW25" s="5">
        <v>1</v>
      </c>
      <c r="BX25" s="7">
        <v>2</v>
      </c>
      <c r="BY25" s="7">
        <v>2</v>
      </c>
      <c r="BZ25" s="7">
        <v>2</v>
      </c>
      <c r="CA25" s="5">
        <f t="shared" si="22"/>
        <v>2</v>
      </c>
      <c r="CB25" s="5" t="str">
        <f t="shared" si="23"/>
        <v>BAJO</v>
      </c>
      <c r="CC25" s="5">
        <v>1</v>
      </c>
      <c r="CD25" s="7">
        <v>4.5</v>
      </c>
      <c r="CE25" s="7">
        <v>4.3</v>
      </c>
      <c r="CF25" s="7">
        <v>4.3</v>
      </c>
      <c r="CG25" s="5">
        <f t="shared" si="24"/>
        <v>4.3599999999999994</v>
      </c>
      <c r="CH25" s="5" t="str">
        <f t="shared" si="25"/>
        <v>ALTO</v>
      </c>
      <c r="CI25" s="5">
        <v>1</v>
      </c>
      <c r="CJ25" s="7">
        <v>4</v>
      </c>
      <c r="CK25" s="7">
        <v>4</v>
      </c>
      <c r="CL25" s="7">
        <v>4</v>
      </c>
      <c r="CM25" s="5">
        <f t="shared" si="26"/>
        <v>4</v>
      </c>
      <c r="CN25" s="5" t="str">
        <f t="shared" si="27"/>
        <v>ALTO</v>
      </c>
      <c r="CO25" s="5">
        <v>1</v>
      </c>
      <c r="CP25" s="7">
        <v>4</v>
      </c>
      <c r="CQ25" s="7">
        <v>4</v>
      </c>
      <c r="CR25" s="7">
        <v>4</v>
      </c>
      <c r="CS25" s="5">
        <f t="shared" si="28"/>
        <v>4</v>
      </c>
      <c r="CT25" s="5" t="str">
        <f t="shared" si="29"/>
        <v>ALTO</v>
      </c>
      <c r="CU25" s="5">
        <v>2</v>
      </c>
      <c r="CV25" s="7">
        <v>3.5</v>
      </c>
      <c r="CW25" s="7">
        <v>3.5</v>
      </c>
      <c r="CX25" s="7">
        <v>3.5</v>
      </c>
      <c r="CY25" s="5">
        <f t="shared" si="30"/>
        <v>3.5</v>
      </c>
      <c r="CZ25" s="5" t="str">
        <f t="shared" si="31"/>
        <v>BASICO</v>
      </c>
      <c r="DA25" s="5">
        <v>2</v>
      </c>
      <c r="DB25" s="7">
        <v>3.5</v>
      </c>
      <c r="DC25" s="7">
        <v>3.5</v>
      </c>
      <c r="DD25" s="7">
        <v>3.5</v>
      </c>
      <c r="DE25" s="5">
        <f t="shared" si="32"/>
        <v>3.5</v>
      </c>
      <c r="DF25" s="5" t="str">
        <f t="shared" si="33"/>
        <v>BASICO</v>
      </c>
      <c r="DG25" s="5">
        <v>0</v>
      </c>
      <c r="DH25" s="7"/>
      <c r="DI25" s="5" t="str">
        <f t="shared" si="34"/>
        <v>BAJO</v>
      </c>
      <c r="DJ25" s="5">
        <f t="shared" si="35"/>
        <v>3.1056249999999999</v>
      </c>
      <c r="DK25" s="5" t="str">
        <f t="shared" si="36"/>
        <v>Comprende el concepto de números reales, su relación de orden y las propiedades de sus operaciones, así como las relaciones de semejanza y congruencia de distintas figuras geométricas.</v>
      </c>
      <c r="DL25" s="5" t="str">
        <f t="shared" ref="DL25:FJ25" si="63">DL24</f>
        <v>Aplica correctamente las propiedades de las operaciones de números reales y expresiones algebraicas en la resolución de problemas.</v>
      </c>
      <c r="DM25" s="5" t="str">
        <f t="shared" si="63"/>
        <v>Valora el uso del pensamiento lógico a la hora de plantear y resolver problemas de las matemáticas y de la vida cotidiana.</v>
      </c>
      <c r="DN25" s="5" t="str">
        <f t="shared" si="6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5" s="5" t="str">
        <f t="shared" si="63"/>
        <v>Organiza y analiza datos mediante la construcción de tablas de frecuencias y diagramas estadísticos, identificando variables aleatorias y utilizando estas representaciones para resolver situaciones problema.</v>
      </c>
      <c r="DP25" s="5" t="str">
        <f t="shared" si="63"/>
        <v>Muestra disposición y responsabilidad en el manejo y análisis de datos, participando activamente en actividades individuales y colaborativas, y comunicando información estadística con claridad y sentido crítico.</v>
      </c>
      <c r="DQ25" s="5" t="str">
        <f t="shared" si="63"/>
        <v>Analiza las características de la literatura prehispánica y la literatura del descubrimiento y la conquista en Colombia identificando sus elementos fundamentales y su impacto en la cultura y el lenguaje actual.</v>
      </c>
      <c r="DR25" s="5" t="str">
        <f t="shared" si="63"/>
        <v>Realiza comprensión lectora cuando analiza un texto desde el discurso de la Enunciación e identifica la función de cada uno de sus componentes.
Responde preguntas en los tres niveles de lectura a una leyenda del Caribe.</v>
      </c>
      <c r="DS25" s="5" t="str">
        <f t="shared" si="63"/>
        <v>Muestra disposición para participar activamente en las clases, promoviendo el respeto por las ideas ajenas y reconociendo la importancia de la precisión como una herramienta clave para una comunicación</v>
      </c>
      <c r="DT25" s="5" t="str">
        <f t="shared" si="63"/>
        <v>Comprende el contenido del cuento A la deriva, identificando su tema central, la secuencia de los hechos, los personajes y las ideas explícitas e implícitas del texto.</v>
      </c>
      <c r="DU25" s="5" t="str">
        <f t="shared" si="63"/>
        <v>Analiza críticamente el cuento A la deriva mediante la identificación de información literal, inferencial y crítica, sustentando sus respuestas de forma oral y escrita.</v>
      </c>
      <c r="DV25" s="5" t="str">
        <f t="shared" si="63"/>
        <v>Valora la lectura literaria como una oportunidad para reflexionar sobre la vida, la naturaleza y la condición humana, participando con interés, respeto y sentido crítico en las actividades propuestas.</v>
      </c>
      <c r="DW25" s="5" t="str">
        <f t="shared" si="63"/>
        <v>Comprende y reconoce vocabulario y estructuras basicas del ingles para interpretar textos cortos y conversaciones sobre temas cotidianos de la vida diaria.</v>
      </c>
      <c r="DX25" s="5" t="str">
        <f t="shared" si="63"/>
        <v>Produce de forma oral y escrita frases y parrafos cortos en Ingles, utilizando correctamente las estructuras conocidas para describir rutinas, narrar experiencias y participar en conversaciones.</v>
      </c>
      <c r="DY25" s="5" t="str">
        <f t="shared" si="63"/>
        <v>Muestra disposicion positiva hacia el aprendizaje del Ingles participando activamente en clase.</v>
      </c>
      <c r="DZ25" s="5" t="str">
        <f t="shared" si="63"/>
        <v>Identifica vocabulario en Ingles  de situaciones cotidianas.</v>
      </c>
      <c r="EA25" s="5" t="str">
        <f t="shared" si="63"/>
        <v>Participa en actividades utilizando vocabulario aprendido para expresar gustos,emociones y necesidades.</v>
      </c>
      <c r="EB25" s="5" t="str">
        <f t="shared" si="63"/>
        <v>Respeta la opinion de los demas, muestra disposicion para participar en actividades orales.</v>
      </c>
      <c r="EC25" s="5" t="str">
        <f t="shared" si="63"/>
        <v>Identifica la conformación y funcionamiento del sistema inmunolófico y diferencia las característics de los estados de la materia.</v>
      </c>
      <c r="ED25" s="5" t="str">
        <f t="shared" si="63"/>
        <v>Reconoce experimentalmente las características de materiales en los diferentes estados de la materia.</v>
      </c>
      <c r="EE25" s="5" t="str">
        <f t="shared" si="63"/>
        <v xml:space="preserve">Valora la importancia de tener habitos saludables, para lograr el mantenimiento saludable del sistema inmune. </v>
      </c>
      <c r="EF25" s="5" t="str">
        <f t="shared" si="63"/>
        <v>Describe correctamente la secuencia de eventos biologicos de la fecundacion,incluyendo las recciones acrosomicas,la funcion de gametos y la formacion de gametos.</v>
      </c>
      <c r="EG25" s="5" t="str">
        <f t="shared" si="63"/>
        <v>Mide la capacidad del labolatrio para lograr la fecundacion exitosa de los ovulos con el espermatozoide.</v>
      </c>
      <c r="EH25" s="5" t="str">
        <f t="shared" si="63"/>
        <v>Valora la importancia del cuidado del cuerpo y de la salud reproductiva como la base para una fecundacion saludable.</v>
      </c>
      <c r="EI25" s="5" t="str">
        <f t="shared" si="63"/>
        <v>Explico las principales caracteristicas de algunas revoluciones de los siglos XVIII y XIX (Revolucion francesa, Industrial...)</v>
      </c>
      <c r="EJ25" s="5" t="str">
        <f t="shared" si="63"/>
        <v>Analiza las causas y consecuencias de procesos historicos como la Revolucion Industrial y Francesa.</v>
      </c>
      <c r="EK25" s="5" t="str">
        <f t="shared" si="63"/>
        <v>Muestra interes y curiosidad por comprender los procesos historicos y su impacto en la sociedad.</v>
      </c>
      <c r="EL25" s="5" t="str">
        <f t="shared" si="63"/>
        <v xml:space="preserve">Identifica los procesos historicos de algunas revoluciones de los siglos XVIII y XIX </v>
      </c>
      <c r="EM25" s="5">
        <f t="shared" si="63"/>
        <v>0</v>
      </c>
      <c r="EN25" s="5">
        <f t="shared" si="63"/>
        <v>0</v>
      </c>
      <c r="EO25" s="5" t="str">
        <f t="shared" si="63"/>
        <v xml:space="preserve">Comprende la distribucion espacial de la poblacion antes y despues de las revoluciones </v>
      </c>
      <c r="EP25" s="5" t="str">
        <f t="shared" si="63"/>
        <v xml:space="preserve">Ubica en mapas las regiones donde se desarrollaron las principales revoluciones y explica sus caracteristicas geograficas </v>
      </c>
      <c r="EQ25" s="5" t="str">
        <f t="shared" si="63"/>
        <v>Muestra interes por comprender la relacion entre sociedad, economia y territorio</v>
      </c>
      <c r="ER25" s="5" t="str">
        <f t="shared" si="63"/>
        <v>Comprende el concepto de cultura de paz y su importancia en la sociedad</v>
      </c>
      <c r="ES25" s="5" t="str">
        <f t="shared" si="63"/>
        <v>Practica normas de convivencia en diferentes espacios( aula, hogar, comunidad)</v>
      </c>
      <c r="ET25" s="5" t="str">
        <f t="shared" si="63"/>
        <v>Muestra actitud de respeto hacia la diversidad cuktural, social y de pensamiento</v>
      </c>
      <c r="EU25" s="5">
        <f t="shared" si="63"/>
        <v>0</v>
      </c>
      <c r="EV25" s="5">
        <f t="shared" si="63"/>
        <v>0</v>
      </c>
      <c r="EW25" s="5">
        <f t="shared" si="63"/>
        <v>0</v>
      </c>
      <c r="EX25" s="5">
        <f t="shared" si="63"/>
        <v>0</v>
      </c>
      <c r="EY25" s="5">
        <f t="shared" si="63"/>
        <v>0</v>
      </c>
      <c r="EZ25" s="5">
        <f t="shared" si="63"/>
        <v>0</v>
      </c>
      <c r="FA25" s="5">
        <f t="shared" si="63"/>
        <v>0</v>
      </c>
      <c r="FB25" s="5">
        <f t="shared" si="63"/>
        <v>0</v>
      </c>
      <c r="FC25" s="5">
        <f t="shared" si="63"/>
        <v>0</v>
      </c>
      <c r="FD25" s="5" t="str">
        <f t="shared" si="63"/>
        <v xml:space="preserve"> Identifica las expresiones motrices relacionadas con el juego del voleibol,  como una oportunidad para mejorar la salud, la estética y las relaciones con los demás.</v>
      </c>
      <c r="FE25" s="5" t="str">
        <f t="shared" si="63"/>
        <v>Pone en práctica los fundamentos básicos del voleibol.</v>
      </c>
      <c r="FF25" s="5" t="str">
        <f t="shared" si="63"/>
        <v>Muestra  responsabilidad y buena actitud al realizar el juego de voleibol.</v>
      </c>
      <c r="FG25" s="5" t="str">
        <f t="shared" si="63"/>
        <v>Comprende el concepto de variable como espacio de almacenamiento de datos y reconoce el uso de estructuras condicionales (si, si-no) para la toma de decisiones en un programa.</v>
      </c>
      <c r="FH25" s="5" t="str">
        <f t="shared" si="63"/>
        <v>Diseña y desarrolla programas que utilizan variables y estructuras condicionales para resolver problemas, evaluando condiciones y generando respuestas según diferentes situaciones.</v>
      </c>
      <c r="FI25" s="5" t="str">
        <f t="shared" si="63"/>
        <v>Muestra pensamiento lógico, perseverancia y actitud crítica al analizar errores y proponer soluciones en la construcción de programas con variables y condicionales.</v>
      </c>
      <c r="FJ25" s="5" t="str">
        <f t="shared" si="63"/>
        <v>Identifica y reconoce sus pricipales deberes y derechos dentro y fuera  de la Institución educativa.</v>
      </c>
    </row>
    <row r="26" spans="1:166" ht="15.75" customHeight="1">
      <c r="A26" s="5">
        <v>25</v>
      </c>
      <c r="B26" s="5" t="s">
        <v>96</v>
      </c>
      <c r="C26" s="6">
        <v>1130274825</v>
      </c>
      <c r="D26" s="5" t="s">
        <v>68</v>
      </c>
      <c r="E26" s="5" t="s">
        <v>69</v>
      </c>
      <c r="F26" s="5" t="s">
        <v>70</v>
      </c>
      <c r="G26" s="5" t="s">
        <v>71</v>
      </c>
      <c r="H26" s="5">
        <v>2026</v>
      </c>
      <c r="I26" s="7">
        <v>4</v>
      </c>
      <c r="J26" s="7">
        <v>3.3</v>
      </c>
      <c r="K26" s="7">
        <v>3.4</v>
      </c>
      <c r="L26" s="7">
        <v>3.5</v>
      </c>
      <c r="M26" s="5">
        <f t="shared" si="0"/>
        <v>3.4000000000000004</v>
      </c>
      <c r="N26" s="5" t="str">
        <f t="shared" si="1"/>
        <v>BASICO</v>
      </c>
      <c r="O26" s="5">
        <v>1</v>
      </c>
      <c r="P26" s="7">
        <v>4.4000000000000004</v>
      </c>
      <c r="Q26" s="7">
        <v>4.4000000000000004</v>
      </c>
      <c r="R26" s="7">
        <v>4.4000000000000004</v>
      </c>
      <c r="S26" s="5">
        <f t="shared" si="2"/>
        <v>4.4000000000000004</v>
      </c>
      <c r="T26" s="5" t="str">
        <f t="shared" si="3"/>
        <v>ALTO</v>
      </c>
      <c r="U26" s="5">
        <v>4</v>
      </c>
      <c r="V26" s="7">
        <v>4</v>
      </c>
      <c r="W26" s="7">
        <v>4</v>
      </c>
      <c r="X26" s="7">
        <v>4</v>
      </c>
      <c r="Y26" s="5">
        <f t="shared" si="4"/>
        <v>4</v>
      </c>
      <c r="Z26" s="5" t="str">
        <f t="shared" si="5"/>
        <v>ALTO</v>
      </c>
      <c r="AA26" s="5">
        <v>1</v>
      </c>
      <c r="AB26" s="7">
        <v>3.5</v>
      </c>
      <c r="AC26" s="7">
        <v>3.5</v>
      </c>
      <c r="AD26" s="7">
        <v>3.5</v>
      </c>
      <c r="AE26" s="5">
        <f t="shared" si="6"/>
        <v>3.5</v>
      </c>
      <c r="AF26" s="5" t="str">
        <f t="shared" si="7"/>
        <v>BASICO</v>
      </c>
      <c r="AG26" s="5">
        <v>2</v>
      </c>
      <c r="AH26" s="8">
        <v>4.5</v>
      </c>
      <c r="AI26" s="8">
        <v>4.5</v>
      </c>
      <c r="AJ26" s="8">
        <v>4.5</v>
      </c>
      <c r="AK26" s="5">
        <f t="shared" si="8"/>
        <v>4.5</v>
      </c>
      <c r="AL26" s="5" t="str">
        <f t="shared" si="9"/>
        <v>SUPERIOR</v>
      </c>
      <c r="AM26" s="5">
        <v>1</v>
      </c>
      <c r="AN26" s="8">
        <v>4.5</v>
      </c>
      <c r="AO26" s="8">
        <v>4.5</v>
      </c>
      <c r="AP26" s="8">
        <v>4.5</v>
      </c>
      <c r="AQ26" s="5">
        <f t="shared" si="10"/>
        <v>4.5</v>
      </c>
      <c r="AR26" s="5" t="str">
        <f t="shared" si="11"/>
        <v>SUPERIOR</v>
      </c>
      <c r="AS26" s="5">
        <v>4</v>
      </c>
      <c r="AT26" s="7">
        <v>3.5</v>
      </c>
      <c r="AU26" s="7">
        <v>3.5</v>
      </c>
      <c r="AV26" s="7">
        <v>3.5</v>
      </c>
      <c r="AW26" s="5">
        <f t="shared" si="12"/>
        <v>3.5</v>
      </c>
      <c r="AX26" s="5" t="str">
        <f t="shared" si="53"/>
        <v>BASICO</v>
      </c>
      <c r="AY26" s="5">
        <v>1</v>
      </c>
      <c r="AZ26" s="7">
        <v>5</v>
      </c>
      <c r="BA26" s="7">
        <v>4</v>
      </c>
      <c r="BB26" s="7">
        <v>4</v>
      </c>
      <c r="BC26" s="5">
        <f t="shared" si="14"/>
        <v>4.3</v>
      </c>
      <c r="BD26" s="5" t="str">
        <f t="shared" si="15"/>
        <v>ALTO</v>
      </c>
      <c r="BE26" s="7">
        <v>2</v>
      </c>
      <c r="BF26" s="7">
        <v>3.5</v>
      </c>
      <c r="BG26" s="7">
        <v>3.8</v>
      </c>
      <c r="BH26" s="7">
        <v>3.7</v>
      </c>
      <c r="BI26" s="5">
        <f t="shared" si="16"/>
        <v>3.6800000000000006</v>
      </c>
      <c r="BJ26" s="5" t="str">
        <f t="shared" si="48"/>
        <v>BASICO</v>
      </c>
      <c r="BK26" s="5">
        <v>1</v>
      </c>
      <c r="BL26" s="7">
        <v>3.3</v>
      </c>
      <c r="BM26" s="7">
        <v>3.6</v>
      </c>
      <c r="BN26" s="7">
        <v>3.8</v>
      </c>
      <c r="BO26" s="5">
        <f t="shared" si="59"/>
        <v>3.5700000000000003</v>
      </c>
      <c r="BP26" s="5" t="str">
        <f t="shared" si="19"/>
        <v>BASICO</v>
      </c>
      <c r="BQ26" s="5">
        <v>1</v>
      </c>
      <c r="BR26" s="7">
        <v>3.5</v>
      </c>
      <c r="BS26" s="7">
        <v>3.7</v>
      </c>
      <c r="BT26" s="7">
        <v>3.8</v>
      </c>
      <c r="BU26" s="5">
        <f t="shared" si="20"/>
        <v>3.67</v>
      </c>
      <c r="BV26" s="5" t="str">
        <f t="shared" si="21"/>
        <v>BASICO</v>
      </c>
      <c r="BW26" s="5">
        <v>1</v>
      </c>
      <c r="BX26" s="7">
        <v>3.5</v>
      </c>
      <c r="BY26" s="7">
        <v>3.5</v>
      </c>
      <c r="BZ26" s="7">
        <v>3.5</v>
      </c>
      <c r="CA26" s="5">
        <f t="shared" si="22"/>
        <v>3.5</v>
      </c>
      <c r="CB26" s="5" t="str">
        <f t="shared" si="23"/>
        <v>BASICO</v>
      </c>
      <c r="CC26" s="5">
        <v>1</v>
      </c>
      <c r="CD26" s="7">
        <v>4</v>
      </c>
      <c r="CE26" s="7">
        <v>3.8</v>
      </c>
      <c r="CF26" s="7">
        <v>3.8</v>
      </c>
      <c r="CG26" s="5">
        <f t="shared" si="24"/>
        <v>3.8599999999999994</v>
      </c>
      <c r="CH26" s="5" t="str">
        <f t="shared" si="25"/>
        <v>BASICO</v>
      </c>
      <c r="CI26" s="5">
        <v>1</v>
      </c>
      <c r="CJ26" s="7">
        <v>4.2</v>
      </c>
      <c r="CK26" s="7">
        <v>4</v>
      </c>
      <c r="CL26" s="7">
        <v>4</v>
      </c>
      <c r="CM26" s="5">
        <f t="shared" si="26"/>
        <v>4.0600000000000005</v>
      </c>
      <c r="CN26" s="5" t="str">
        <f t="shared" si="27"/>
        <v>ALTO</v>
      </c>
      <c r="CO26" s="5">
        <v>1</v>
      </c>
      <c r="CP26" s="7">
        <v>5</v>
      </c>
      <c r="CQ26" s="7">
        <v>5</v>
      </c>
      <c r="CR26" s="7">
        <v>5</v>
      </c>
      <c r="CS26" s="5">
        <f t="shared" si="28"/>
        <v>5</v>
      </c>
      <c r="CT26" s="5" t="str">
        <f t="shared" si="29"/>
        <v>SUPERIOR</v>
      </c>
      <c r="CU26" s="5">
        <v>2</v>
      </c>
      <c r="CV26" s="7">
        <v>3.8</v>
      </c>
      <c r="CW26" s="7">
        <v>3.8</v>
      </c>
      <c r="CX26" s="7">
        <v>3.8</v>
      </c>
      <c r="CY26" s="5">
        <f t="shared" si="30"/>
        <v>3.8</v>
      </c>
      <c r="CZ26" s="5" t="str">
        <f t="shared" si="31"/>
        <v>BASICO</v>
      </c>
      <c r="DA26" s="5">
        <v>2</v>
      </c>
      <c r="DB26" s="7">
        <v>3.5</v>
      </c>
      <c r="DC26" s="7">
        <v>3.6</v>
      </c>
      <c r="DD26" s="7">
        <v>4</v>
      </c>
      <c r="DE26" s="5">
        <f t="shared" si="32"/>
        <v>3.6900000000000004</v>
      </c>
      <c r="DF26" s="5" t="str">
        <f t="shared" si="33"/>
        <v>BASICO</v>
      </c>
      <c r="DG26" s="5">
        <v>0</v>
      </c>
      <c r="DH26" s="7"/>
      <c r="DI26" s="5" t="str">
        <f t="shared" si="34"/>
        <v>BAJO</v>
      </c>
      <c r="DJ26" s="5">
        <f t="shared" si="35"/>
        <v>3.9537499999999999</v>
      </c>
      <c r="DK26" s="5" t="str">
        <f t="shared" si="36"/>
        <v>Comprende el concepto de números reales, su relación de orden y las propiedades de sus operaciones, así como las relaciones de semejanza y congruencia de distintas figuras geométricas.</v>
      </c>
      <c r="DL26" s="5" t="str">
        <f t="shared" ref="DL26:FJ26" si="64">DL25</f>
        <v>Aplica correctamente las propiedades de las operaciones de números reales y expresiones algebraicas en la resolución de problemas.</v>
      </c>
      <c r="DM26" s="5" t="str">
        <f t="shared" si="64"/>
        <v>Valora el uso del pensamiento lógico a la hora de plantear y resolver problemas de las matemáticas y de la vida cotidiana.</v>
      </c>
      <c r="DN26" s="5" t="str">
        <f t="shared" si="6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6" s="5" t="str">
        <f t="shared" si="64"/>
        <v>Organiza y analiza datos mediante la construcción de tablas de frecuencias y diagramas estadísticos, identificando variables aleatorias y utilizando estas representaciones para resolver situaciones problema.</v>
      </c>
      <c r="DP26" s="5" t="str">
        <f t="shared" si="64"/>
        <v>Muestra disposición y responsabilidad en el manejo y análisis de datos, participando activamente en actividades individuales y colaborativas, y comunicando información estadística con claridad y sentido crítico.</v>
      </c>
      <c r="DQ26" s="5" t="str">
        <f t="shared" si="64"/>
        <v>Analiza las características de la literatura prehispánica y la literatura del descubrimiento y la conquista en Colombia identificando sus elementos fundamentales y su impacto en la cultura y el lenguaje actual.</v>
      </c>
      <c r="DR26" s="5" t="str">
        <f t="shared" si="64"/>
        <v>Realiza comprensión lectora cuando analiza un texto desde el discurso de la Enunciación e identifica la función de cada uno de sus componentes.
Responde preguntas en los tres niveles de lectura a una leyenda del Caribe.</v>
      </c>
      <c r="DS26" s="5" t="str">
        <f t="shared" si="64"/>
        <v>Muestra disposición para participar activamente en las clases, promoviendo el respeto por las ideas ajenas y reconociendo la importancia de la precisión como una herramienta clave para una comunicación</v>
      </c>
      <c r="DT26" s="5" t="str">
        <f t="shared" si="64"/>
        <v>Comprende el contenido del cuento A la deriva, identificando su tema central, la secuencia de los hechos, los personajes y las ideas explícitas e implícitas del texto.</v>
      </c>
      <c r="DU26" s="5" t="str">
        <f t="shared" si="64"/>
        <v>Analiza críticamente el cuento A la deriva mediante la identificación de información literal, inferencial y crítica, sustentando sus respuestas de forma oral y escrita.</v>
      </c>
      <c r="DV26" s="5" t="str">
        <f t="shared" si="64"/>
        <v>Valora la lectura literaria como una oportunidad para reflexionar sobre la vida, la naturaleza y la condición humana, participando con interés, respeto y sentido crítico en las actividades propuestas.</v>
      </c>
      <c r="DW26" s="5" t="str">
        <f t="shared" si="64"/>
        <v>Comprende y reconoce vocabulario y estructuras basicas del ingles para interpretar textos cortos y conversaciones sobre temas cotidianos de la vida diaria.</v>
      </c>
      <c r="DX26" s="5" t="str">
        <f t="shared" si="64"/>
        <v>Produce de forma oral y escrita frases y parrafos cortos en Ingles, utilizando correctamente las estructuras conocidas para describir rutinas, narrar experiencias y participar en conversaciones.</v>
      </c>
      <c r="DY26" s="5" t="str">
        <f t="shared" si="64"/>
        <v>Muestra disposicion positiva hacia el aprendizaje del Ingles participando activamente en clase.</v>
      </c>
      <c r="DZ26" s="5" t="str">
        <f t="shared" si="64"/>
        <v>Identifica vocabulario en Ingles  de situaciones cotidianas.</v>
      </c>
      <c r="EA26" s="5" t="str">
        <f t="shared" si="64"/>
        <v>Participa en actividades utilizando vocabulario aprendido para expresar gustos,emociones y necesidades.</v>
      </c>
      <c r="EB26" s="5" t="str">
        <f t="shared" si="64"/>
        <v>Respeta la opinion de los demas, muestra disposicion para participar en actividades orales.</v>
      </c>
      <c r="EC26" s="5" t="str">
        <f t="shared" si="64"/>
        <v>Identifica la conformación y funcionamiento del sistema inmunolófico y diferencia las característics de los estados de la materia.</v>
      </c>
      <c r="ED26" s="5" t="str">
        <f t="shared" si="64"/>
        <v>Reconoce experimentalmente las características de materiales en los diferentes estados de la materia.</v>
      </c>
      <c r="EE26" s="5" t="str">
        <f t="shared" si="64"/>
        <v xml:space="preserve">Valora la importancia de tener habitos saludables, para lograr el mantenimiento saludable del sistema inmune. </v>
      </c>
      <c r="EF26" s="5" t="str">
        <f t="shared" si="64"/>
        <v>Describe correctamente la secuencia de eventos biologicos de la fecundacion,incluyendo las recciones acrosomicas,la funcion de gametos y la formacion de gametos.</v>
      </c>
      <c r="EG26" s="5" t="str">
        <f t="shared" si="64"/>
        <v>Mide la capacidad del labolatrio para lograr la fecundacion exitosa de los ovulos con el espermatozoide.</v>
      </c>
      <c r="EH26" s="5" t="str">
        <f t="shared" si="64"/>
        <v>Valora la importancia del cuidado del cuerpo y de la salud reproductiva como la base para una fecundacion saludable.</v>
      </c>
      <c r="EI26" s="5" t="str">
        <f t="shared" si="64"/>
        <v>Explico las principales caracteristicas de algunas revoluciones de los siglos XVIII y XIX (Revolucion francesa, Industrial...)</v>
      </c>
      <c r="EJ26" s="5" t="str">
        <f t="shared" si="64"/>
        <v>Analiza las causas y consecuencias de procesos historicos como la Revolucion Industrial y Francesa.</v>
      </c>
      <c r="EK26" s="5" t="str">
        <f t="shared" si="64"/>
        <v>Muestra interes y curiosidad por comprender los procesos historicos y su impacto en la sociedad.</v>
      </c>
      <c r="EL26" s="5" t="str">
        <f t="shared" si="64"/>
        <v xml:space="preserve">Identifica los procesos historicos de algunas revoluciones de los siglos XVIII y XIX </v>
      </c>
      <c r="EM26" s="5">
        <f t="shared" si="64"/>
        <v>0</v>
      </c>
      <c r="EN26" s="5">
        <f t="shared" si="64"/>
        <v>0</v>
      </c>
      <c r="EO26" s="5" t="str">
        <f t="shared" si="64"/>
        <v xml:space="preserve">Comprende la distribucion espacial de la poblacion antes y despues de las revoluciones </v>
      </c>
      <c r="EP26" s="5" t="str">
        <f t="shared" si="64"/>
        <v xml:space="preserve">Ubica en mapas las regiones donde se desarrollaron las principales revoluciones y explica sus caracteristicas geograficas </v>
      </c>
      <c r="EQ26" s="5" t="str">
        <f t="shared" si="64"/>
        <v>Muestra interes por comprender la relacion entre sociedad, economia y territorio</v>
      </c>
      <c r="ER26" s="5" t="str">
        <f t="shared" si="64"/>
        <v>Comprende el concepto de cultura de paz y su importancia en la sociedad</v>
      </c>
      <c r="ES26" s="5" t="str">
        <f t="shared" si="64"/>
        <v>Practica normas de convivencia en diferentes espacios( aula, hogar, comunidad)</v>
      </c>
      <c r="ET26" s="5" t="str">
        <f t="shared" si="64"/>
        <v>Muestra actitud de respeto hacia la diversidad cuktural, social y de pensamiento</v>
      </c>
      <c r="EU26" s="5">
        <f t="shared" si="64"/>
        <v>0</v>
      </c>
      <c r="EV26" s="5">
        <f t="shared" si="64"/>
        <v>0</v>
      </c>
      <c r="EW26" s="5">
        <f t="shared" si="64"/>
        <v>0</v>
      </c>
      <c r="EX26" s="5">
        <f t="shared" si="64"/>
        <v>0</v>
      </c>
      <c r="EY26" s="5">
        <f t="shared" si="64"/>
        <v>0</v>
      </c>
      <c r="EZ26" s="5">
        <f t="shared" si="64"/>
        <v>0</v>
      </c>
      <c r="FA26" s="5">
        <f t="shared" si="64"/>
        <v>0</v>
      </c>
      <c r="FB26" s="5">
        <f t="shared" si="64"/>
        <v>0</v>
      </c>
      <c r="FC26" s="5">
        <f t="shared" si="64"/>
        <v>0</v>
      </c>
      <c r="FD26" s="5" t="str">
        <f t="shared" si="64"/>
        <v xml:space="preserve"> Identifica las expresiones motrices relacionadas con el juego del voleibol,  como una oportunidad para mejorar la salud, la estética y las relaciones con los demás.</v>
      </c>
      <c r="FE26" s="5" t="str">
        <f t="shared" si="64"/>
        <v>Pone en práctica los fundamentos básicos del voleibol.</v>
      </c>
      <c r="FF26" s="5" t="str">
        <f t="shared" si="64"/>
        <v>Muestra  responsabilidad y buena actitud al realizar el juego de voleibol.</v>
      </c>
      <c r="FG26" s="5" t="str">
        <f t="shared" si="64"/>
        <v>Comprende el concepto de variable como espacio de almacenamiento de datos y reconoce el uso de estructuras condicionales (si, si-no) para la toma de decisiones en un programa.</v>
      </c>
      <c r="FH26" s="5" t="str">
        <f t="shared" si="64"/>
        <v>Diseña y desarrolla programas que utilizan variables y estructuras condicionales para resolver problemas, evaluando condiciones y generando respuestas según diferentes situaciones.</v>
      </c>
      <c r="FI26" s="5" t="str">
        <f t="shared" si="64"/>
        <v>Muestra pensamiento lógico, perseverancia y actitud crítica al analizar errores y proponer soluciones en la construcción de programas con variables y condicionales.</v>
      </c>
      <c r="FJ26" s="5" t="str">
        <f t="shared" si="64"/>
        <v>Identifica y reconoce sus pricipales deberes y derechos dentro y fuera  de la Institución educativa.</v>
      </c>
    </row>
    <row r="27" spans="1:166" ht="15.75" customHeight="1">
      <c r="A27" s="5">
        <v>26</v>
      </c>
      <c r="B27" s="5" t="s">
        <v>97</v>
      </c>
      <c r="C27" s="6">
        <v>1044647408</v>
      </c>
      <c r="D27" s="5" t="s">
        <v>68</v>
      </c>
      <c r="E27" s="5" t="s">
        <v>69</v>
      </c>
      <c r="F27" s="5" t="s">
        <v>70</v>
      </c>
      <c r="G27" s="5" t="s">
        <v>71</v>
      </c>
      <c r="H27" s="5">
        <v>2026</v>
      </c>
      <c r="I27" s="5">
        <v>4</v>
      </c>
      <c r="J27" s="7">
        <v>2.1</v>
      </c>
      <c r="K27" s="7">
        <v>2.5</v>
      </c>
      <c r="L27" s="7">
        <v>2.9</v>
      </c>
      <c r="M27" s="5">
        <f t="shared" si="0"/>
        <v>2.5</v>
      </c>
      <c r="N27" s="5" t="str">
        <f t="shared" si="1"/>
        <v>BAJO</v>
      </c>
      <c r="O27" s="5">
        <v>1</v>
      </c>
      <c r="P27" s="7">
        <v>3</v>
      </c>
      <c r="Q27" s="7">
        <v>3</v>
      </c>
      <c r="R27" s="7">
        <v>3</v>
      </c>
      <c r="S27" s="5">
        <f t="shared" si="2"/>
        <v>3</v>
      </c>
      <c r="T27" s="5" t="str">
        <f t="shared" si="3"/>
        <v>BASICO</v>
      </c>
      <c r="U27" s="5">
        <v>4</v>
      </c>
      <c r="V27" s="7">
        <v>2.5</v>
      </c>
      <c r="W27" s="7">
        <v>2.5</v>
      </c>
      <c r="X27" s="7">
        <v>3</v>
      </c>
      <c r="Y27" s="5">
        <f t="shared" si="4"/>
        <v>2.65</v>
      </c>
      <c r="Z27" s="5" t="str">
        <f t="shared" si="5"/>
        <v>BAJO</v>
      </c>
      <c r="AA27" s="5">
        <v>1</v>
      </c>
      <c r="AB27" s="7">
        <v>3.2</v>
      </c>
      <c r="AC27" s="7">
        <v>3.2</v>
      </c>
      <c r="AD27" s="7">
        <v>3.2</v>
      </c>
      <c r="AE27" s="5">
        <f t="shared" si="6"/>
        <v>3.2</v>
      </c>
      <c r="AF27" s="5" t="str">
        <f t="shared" si="7"/>
        <v>BASICO</v>
      </c>
      <c r="AG27" s="5">
        <v>2</v>
      </c>
      <c r="AH27" s="8">
        <v>2</v>
      </c>
      <c r="AI27" s="8">
        <v>3</v>
      </c>
      <c r="AJ27" s="8">
        <v>3</v>
      </c>
      <c r="AK27" s="5">
        <f t="shared" si="8"/>
        <v>2.7</v>
      </c>
      <c r="AL27" s="5" t="str">
        <f t="shared" si="9"/>
        <v>BAJO</v>
      </c>
      <c r="AM27" s="5">
        <v>1</v>
      </c>
      <c r="AN27" s="8">
        <v>2</v>
      </c>
      <c r="AO27" s="8">
        <v>3</v>
      </c>
      <c r="AP27" s="8">
        <v>3</v>
      </c>
      <c r="AQ27" s="5">
        <f t="shared" si="10"/>
        <v>2.7</v>
      </c>
      <c r="AR27" s="5" t="str">
        <f t="shared" si="11"/>
        <v>BAJO</v>
      </c>
      <c r="AS27" s="5">
        <v>4</v>
      </c>
      <c r="AT27" s="7">
        <v>2.5</v>
      </c>
      <c r="AU27" s="7">
        <v>2.5</v>
      </c>
      <c r="AV27" s="7">
        <v>2.5</v>
      </c>
      <c r="AW27" s="5">
        <f t="shared" si="12"/>
        <v>2.5</v>
      </c>
      <c r="AX27" s="5" t="str">
        <f t="shared" si="53"/>
        <v>BAJO</v>
      </c>
      <c r="AY27" s="5">
        <v>1</v>
      </c>
      <c r="AZ27" s="7">
        <v>4</v>
      </c>
      <c r="BA27" s="7">
        <v>3.8</v>
      </c>
      <c r="BB27" s="7">
        <v>3.8</v>
      </c>
      <c r="BC27" s="5">
        <f t="shared" si="14"/>
        <v>3.8599999999999994</v>
      </c>
      <c r="BD27" s="5" t="str">
        <f t="shared" si="15"/>
        <v>BASICO</v>
      </c>
      <c r="BE27" s="7">
        <v>2</v>
      </c>
      <c r="BF27" s="7">
        <v>2</v>
      </c>
      <c r="BG27" s="7">
        <v>2.5</v>
      </c>
      <c r="BH27" s="7">
        <v>2.8</v>
      </c>
      <c r="BI27" s="5">
        <f t="shared" si="16"/>
        <v>2.44</v>
      </c>
      <c r="BJ27" s="5" t="str">
        <f t="shared" si="48"/>
        <v>BAJO</v>
      </c>
      <c r="BK27" s="5">
        <v>1</v>
      </c>
      <c r="BL27" s="7">
        <v>2.6</v>
      </c>
      <c r="BM27" s="7">
        <v>2.8</v>
      </c>
      <c r="BN27" s="7">
        <v>2.5</v>
      </c>
      <c r="BO27" s="5">
        <f t="shared" si="59"/>
        <v>2.65</v>
      </c>
      <c r="BP27" s="5" t="str">
        <f t="shared" si="19"/>
        <v>BAJO</v>
      </c>
      <c r="BQ27" s="5">
        <v>1</v>
      </c>
      <c r="BR27" s="7">
        <v>2</v>
      </c>
      <c r="BS27" s="7">
        <v>2.5</v>
      </c>
      <c r="BT27" s="7">
        <v>2.8</v>
      </c>
      <c r="BU27" s="5">
        <f t="shared" si="20"/>
        <v>2.44</v>
      </c>
      <c r="BV27" s="5" t="str">
        <f t="shared" si="21"/>
        <v>BAJO</v>
      </c>
      <c r="BW27" s="5">
        <v>1</v>
      </c>
      <c r="BX27" s="7">
        <v>2</v>
      </c>
      <c r="BY27" s="7">
        <v>2</v>
      </c>
      <c r="BZ27" s="7">
        <v>2</v>
      </c>
      <c r="CA27" s="5">
        <f t="shared" si="22"/>
        <v>2</v>
      </c>
      <c r="CB27" s="5" t="str">
        <f t="shared" si="23"/>
        <v>BAJO</v>
      </c>
      <c r="CC27" s="5">
        <v>1</v>
      </c>
      <c r="CD27" s="7">
        <v>2</v>
      </c>
      <c r="CE27" s="7">
        <v>2</v>
      </c>
      <c r="CF27" s="7">
        <v>2</v>
      </c>
      <c r="CG27" s="5">
        <f t="shared" si="24"/>
        <v>2</v>
      </c>
      <c r="CH27" s="5" t="str">
        <f t="shared" si="25"/>
        <v>BAJO</v>
      </c>
      <c r="CI27" s="5">
        <v>1</v>
      </c>
      <c r="CJ27" s="7">
        <v>4</v>
      </c>
      <c r="CK27" s="7">
        <v>4</v>
      </c>
      <c r="CL27" s="7">
        <v>4</v>
      </c>
      <c r="CM27" s="5">
        <f t="shared" si="26"/>
        <v>4</v>
      </c>
      <c r="CN27" s="5" t="str">
        <f t="shared" si="27"/>
        <v>ALTO</v>
      </c>
      <c r="CO27" s="5">
        <v>1</v>
      </c>
      <c r="CP27" s="7">
        <v>3</v>
      </c>
      <c r="CQ27" s="7">
        <v>3</v>
      </c>
      <c r="CR27" s="7">
        <v>3</v>
      </c>
      <c r="CS27" s="5">
        <f t="shared" si="28"/>
        <v>3</v>
      </c>
      <c r="CT27" s="5" t="str">
        <f t="shared" si="29"/>
        <v>BASICO</v>
      </c>
      <c r="CU27" s="5">
        <v>2</v>
      </c>
      <c r="CV27" s="7">
        <v>2</v>
      </c>
      <c r="CW27" s="7">
        <v>2</v>
      </c>
      <c r="CX27" s="7">
        <v>2</v>
      </c>
      <c r="CY27" s="5">
        <f t="shared" si="30"/>
        <v>2</v>
      </c>
      <c r="CZ27" s="5" t="str">
        <f t="shared" si="31"/>
        <v>BAJO</v>
      </c>
      <c r="DA27" s="5">
        <v>2</v>
      </c>
      <c r="DB27" s="7">
        <v>3</v>
      </c>
      <c r="DC27" s="7">
        <v>3</v>
      </c>
      <c r="DD27" s="7">
        <v>3</v>
      </c>
      <c r="DE27" s="5">
        <f t="shared" si="32"/>
        <v>3</v>
      </c>
      <c r="DF27" s="5" t="str">
        <f t="shared" si="33"/>
        <v>BASICO</v>
      </c>
      <c r="DG27" s="5">
        <v>0</v>
      </c>
      <c r="DH27" s="7"/>
      <c r="DI27" s="5" t="str">
        <f t="shared" si="34"/>
        <v>BAJO</v>
      </c>
      <c r="DJ27" s="5">
        <f t="shared" si="35"/>
        <v>2.7625000000000002</v>
      </c>
      <c r="DK27" s="5" t="str">
        <f t="shared" si="36"/>
        <v>Comprende el concepto de números reales, su relación de orden y las propiedades de sus operaciones, así como las relaciones de semejanza y congruencia de distintas figuras geométricas.</v>
      </c>
      <c r="DL27" s="5" t="str">
        <f t="shared" ref="DL27:FJ27" si="65">DL26</f>
        <v>Aplica correctamente las propiedades de las operaciones de números reales y expresiones algebraicas en la resolución de problemas.</v>
      </c>
      <c r="DM27" s="5" t="str">
        <f t="shared" si="65"/>
        <v>Valora el uso del pensamiento lógico a la hora de plantear y resolver problemas de las matemáticas y de la vida cotidiana.</v>
      </c>
      <c r="DN27" s="5" t="str">
        <f t="shared" si="6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7" s="5" t="str">
        <f t="shared" si="65"/>
        <v>Organiza y analiza datos mediante la construcción de tablas de frecuencias y diagramas estadísticos, identificando variables aleatorias y utilizando estas representaciones para resolver situaciones problema.</v>
      </c>
      <c r="DP27" s="5" t="str">
        <f t="shared" si="65"/>
        <v>Muestra disposición y responsabilidad en el manejo y análisis de datos, participando activamente en actividades individuales y colaborativas, y comunicando información estadística con claridad y sentido crítico.</v>
      </c>
      <c r="DQ27" s="5" t="str">
        <f t="shared" si="65"/>
        <v>Analiza las características de la literatura prehispánica y la literatura del descubrimiento y la conquista en Colombia identificando sus elementos fundamentales y su impacto en la cultura y el lenguaje actual.</v>
      </c>
      <c r="DR27" s="5" t="str">
        <f t="shared" si="65"/>
        <v>Realiza comprensión lectora cuando analiza un texto desde el discurso de la Enunciación e identifica la función de cada uno de sus componentes.
Responde preguntas en los tres niveles de lectura a una leyenda del Caribe.</v>
      </c>
      <c r="DS27" s="5" t="str">
        <f t="shared" si="65"/>
        <v>Muestra disposición para participar activamente en las clases, promoviendo el respeto por las ideas ajenas y reconociendo la importancia de la precisión como una herramienta clave para una comunicación</v>
      </c>
      <c r="DT27" s="5" t="str">
        <f t="shared" si="65"/>
        <v>Comprende el contenido del cuento A la deriva, identificando su tema central, la secuencia de los hechos, los personajes y las ideas explícitas e implícitas del texto.</v>
      </c>
      <c r="DU27" s="5" t="str">
        <f t="shared" si="65"/>
        <v>Analiza críticamente el cuento A la deriva mediante la identificación de información literal, inferencial y crítica, sustentando sus respuestas de forma oral y escrita.</v>
      </c>
      <c r="DV27" s="5" t="str">
        <f t="shared" si="65"/>
        <v>Valora la lectura literaria como una oportunidad para reflexionar sobre la vida, la naturaleza y la condición humana, participando con interés, respeto y sentido crítico en las actividades propuestas.</v>
      </c>
      <c r="DW27" s="5" t="str">
        <f t="shared" si="65"/>
        <v>Comprende y reconoce vocabulario y estructuras basicas del ingles para interpretar textos cortos y conversaciones sobre temas cotidianos de la vida diaria.</v>
      </c>
      <c r="DX27" s="5" t="str">
        <f t="shared" si="65"/>
        <v>Produce de forma oral y escrita frases y parrafos cortos en Ingles, utilizando correctamente las estructuras conocidas para describir rutinas, narrar experiencias y participar en conversaciones.</v>
      </c>
      <c r="DY27" s="5" t="str">
        <f t="shared" si="65"/>
        <v>Muestra disposicion positiva hacia el aprendizaje del Ingles participando activamente en clase.</v>
      </c>
      <c r="DZ27" s="5" t="str">
        <f t="shared" si="65"/>
        <v>Identifica vocabulario en Ingles  de situaciones cotidianas.</v>
      </c>
      <c r="EA27" s="5" t="str">
        <f t="shared" si="65"/>
        <v>Participa en actividades utilizando vocabulario aprendido para expresar gustos,emociones y necesidades.</v>
      </c>
      <c r="EB27" s="5" t="str">
        <f t="shared" si="65"/>
        <v>Respeta la opinion de los demas, muestra disposicion para participar en actividades orales.</v>
      </c>
      <c r="EC27" s="5" t="str">
        <f t="shared" si="65"/>
        <v>Identifica la conformación y funcionamiento del sistema inmunolófico y diferencia las característics de los estados de la materia.</v>
      </c>
      <c r="ED27" s="5" t="str">
        <f t="shared" si="65"/>
        <v>Reconoce experimentalmente las características de materiales en los diferentes estados de la materia.</v>
      </c>
      <c r="EE27" s="5" t="str">
        <f t="shared" si="65"/>
        <v xml:space="preserve">Valora la importancia de tener habitos saludables, para lograr el mantenimiento saludable del sistema inmune. </v>
      </c>
      <c r="EF27" s="5" t="str">
        <f t="shared" si="65"/>
        <v>Describe correctamente la secuencia de eventos biologicos de la fecundacion,incluyendo las recciones acrosomicas,la funcion de gametos y la formacion de gametos.</v>
      </c>
      <c r="EG27" s="5" t="str">
        <f t="shared" si="65"/>
        <v>Mide la capacidad del labolatrio para lograr la fecundacion exitosa de los ovulos con el espermatozoide.</v>
      </c>
      <c r="EH27" s="5" t="str">
        <f t="shared" si="65"/>
        <v>Valora la importancia del cuidado del cuerpo y de la salud reproductiva como la base para una fecundacion saludable.</v>
      </c>
      <c r="EI27" s="5" t="str">
        <f t="shared" si="65"/>
        <v>Explico las principales caracteristicas de algunas revoluciones de los siglos XVIII y XIX (Revolucion francesa, Industrial...)</v>
      </c>
      <c r="EJ27" s="5" t="str">
        <f t="shared" si="65"/>
        <v>Analiza las causas y consecuencias de procesos historicos como la Revolucion Industrial y Francesa.</v>
      </c>
      <c r="EK27" s="5" t="str">
        <f t="shared" si="65"/>
        <v>Muestra interes y curiosidad por comprender los procesos historicos y su impacto en la sociedad.</v>
      </c>
      <c r="EL27" s="5" t="str">
        <f t="shared" si="65"/>
        <v xml:space="preserve">Identifica los procesos historicos de algunas revoluciones de los siglos XVIII y XIX </v>
      </c>
      <c r="EM27" s="5">
        <f t="shared" si="65"/>
        <v>0</v>
      </c>
      <c r="EN27" s="5">
        <f t="shared" si="65"/>
        <v>0</v>
      </c>
      <c r="EO27" s="5" t="str">
        <f t="shared" si="65"/>
        <v xml:space="preserve">Comprende la distribucion espacial de la poblacion antes y despues de las revoluciones </v>
      </c>
      <c r="EP27" s="5" t="str">
        <f t="shared" si="65"/>
        <v xml:space="preserve">Ubica en mapas las regiones donde se desarrollaron las principales revoluciones y explica sus caracteristicas geograficas </v>
      </c>
      <c r="EQ27" s="5" t="str">
        <f t="shared" si="65"/>
        <v>Muestra interes por comprender la relacion entre sociedad, economia y territorio</v>
      </c>
      <c r="ER27" s="5" t="str">
        <f t="shared" si="65"/>
        <v>Comprende el concepto de cultura de paz y su importancia en la sociedad</v>
      </c>
      <c r="ES27" s="5" t="str">
        <f t="shared" si="65"/>
        <v>Practica normas de convivencia en diferentes espacios( aula, hogar, comunidad)</v>
      </c>
      <c r="ET27" s="5" t="str">
        <f t="shared" si="65"/>
        <v>Muestra actitud de respeto hacia la diversidad cuktural, social y de pensamiento</v>
      </c>
      <c r="EU27" s="5">
        <f t="shared" si="65"/>
        <v>0</v>
      </c>
      <c r="EV27" s="5">
        <f t="shared" si="65"/>
        <v>0</v>
      </c>
      <c r="EW27" s="5">
        <f t="shared" si="65"/>
        <v>0</v>
      </c>
      <c r="EX27" s="5">
        <f t="shared" si="65"/>
        <v>0</v>
      </c>
      <c r="EY27" s="5">
        <f t="shared" si="65"/>
        <v>0</v>
      </c>
      <c r="EZ27" s="5">
        <f t="shared" si="65"/>
        <v>0</v>
      </c>
      <c r="FA27" s="5">
        <f t="shared" si="65"/>
        <v>0</v>
      </c>
      <c r="FB27" s="5">
        <f t="shared" si="65"/>
        <v>0</v>
      </c>
      <c r="FC27" s="5">
        <f t="shared" si="65"/>
        <v>0</v>
      </c>
      <c r="FD27" s="5" t="str">
        <f t="shared" si="65"/>
        <v xml:space="preserve"> Identifica las expresiones motrices relacionadas con el juego del voleibol,  como una oportunidad para mejorar la salud, la estética y las relaciones con los demás.</v>
      </c>
      <c r="FE27" s="5" t="str">
        <f t="shared" si="65"/>
        <v>Pone en práctica los fundamentos básicos del voleibol.</v>
      </c>
      <c r="FF27" s="5" t="str">
        <f t="shared" si="65"/>
        <v>Muestra  responsabilidad y buena actitud al realizar el juego de voleibol.</v>
      </c>
      <c r="FG27" s="5" t="str">
        <f t="shared" si="65"/>
        <v>Comprende el concepto de variable como espacio de almacenamiento de datos y reconoce el uso de estructuras condicionales (si, si-no) para la toma de decisiones en un programa.</v>
      </c>
      <c r="FH27" s="5" t="str">
        <f t="shared" si="65"/>
        <v>Diseña y desarrolla programas que utilizan variables y estructuras condicionales para resolver problemas, evaluando condiciones y generando respuestas según diferentes situaciones.</v>
      </c>
      <c r="FI27" s="5" t="str">
        <f t="shared" si="65"/>
        <v>Muestra pensamiento lógico, perseverancia y actitud crítica al analizar errores y proponer soluciones en la construcción de programas con variables y condicionales.</v>
      </c>
      <c r="FJ27" s="5" t="str">
        <f t="shared" si="65"/>
        <v>Identifica y reconoce sus pricipales deberes y derechos dentro y fuera  de la Institución educativa.</v>
      </c>
    </row>
    <row r="28" spans="1:166" ht="15.75" customHeight="1">
      <c r="A28" s="5">
        <v>27</v>
      </c>
      <c r="B28" s="5" t="s">
        <v>98</v>
      </c>
      <c r="C28" s="6">
        <v>1042861185</v>
      </c>
      <c r="D28" s="5" t="s">
        <v>68</v>
      </c>
      <c r="E28" s="5" t="s">
        <v>69</v>
      </c>
      <c r="F28" s="5" t="s">
        <v>70</v>
      </c>
      <c r="G28" s="5" t="s">
        <v>71</v>
      </c>
      <c r="H28" s="5">
        <v>2026</v>
      </c>
      <c r="I28" s="5">
        <v>4</v>
      </c>
      <c r="J28" s="7">
        <v>2.4</v>
      </c>
      <c r="K28" s="7">
        <v>2.5</v>
      </c>
      <c r="L28" s="7">
        <v>2.6</v>
      </c>
      <c r="M28" s="5">
        <f t="shared" si="0"/>
        <v>2.5</v>
      </c>
      <c r="N28" s="5" t="str">
        <f t="shared" si="1"/>
        <v>BAJO</v>
      </c>
      <c r="O28" s="5">
        <v>1</v>
      </c>
      <c r="P28" s="7">
        <v>4.2</v>
      </c>
      <c r="Q28" s="7">
        <v>4.2</v>
      </c>
      <c r="R28" s="7">
        <v>4.2</v>
      </c>
      <c r="S28" s="5">
        <f t="shared" si="2"/>
        <v>4.2</v>
      </c>
      <c r="T28" s="5" t="str">
        <f t="shared" si="3"/>
        <v>ALTO</v>
      </c>
      <c r="U28" s="5">
        <v>4</v>
      </c>
      <c r="V28" s="7">
        <v>2.5</v>
      </c>
      <c r="W28" s="7">
        <v>2.5</v>
      </c>
      <c r="X28" s="7">
        <v>3</v>
      </c>
      <c r="Y28" s="5">
        <f t="shared" si="4"/>
        <v>2.65</v>
      </c>
      <c r="Z28" s="5" t="str">
        <f t="shared" si="5"/>
        <v>BAJO</v>
      </c>
      <c r="AA28" s="5">
        <v>1</v>
      </c>
      <c r="AB28" s="7">
        <v>2.6</v>
      </c>
      <c r="AC28" s="7">
        <v>2.6</v>
      </c>
      <c r="AD28" s="7">
        <v>2.6</v>
      </c>
      <c r="AE28" s="5">
        <f t="shared" si="6"/>
        <v>2.6</v>
      </c>
      <c r="AF28" s="5" t="str">
        <f t="shared" si="7"/>
        <v>BAJO</v>
      </c>
      <c r="AG28" s="5">
        <v>2</v>
      </c>
      <c r="AH28" s="8">
        <v>3</v>
      </c>
      <c r="AI28" s="8">
        <v>3</v>
      </c>
      <c r="AJ28" s="8">
        <v>3</v>
      </c>
      <c r="AK28" s="5">
        <f t="shared" si="8"/>
        <v>3</v>
      </c>
      <c r="AL28" s="5" t="str">
        <f t="shared" si="9"/>
        <v>BASICO</v>
      </c>
      <c r="AM28" s="5">
        <v>1</v>
      </c>
      <c r="AN28" s="8">
        <v>3</v>
      </c>
      <c r="AO28" s="8">
        <v>3</v>
      </c>
      <c r="AP28" s="8">
        <v>3</v>
      </c>
      <c r="AQ28" s="5">
        <f t="shared" si="10"/>
        <v>3</v>
      </c>
      <c r="AR28" s="5" t="str">
        <f t="shared" si="11"/>
        <v>BASICO</v>
      </c>
      <c r="AS28" s="5">
        <v>4</v>
      </c>
      <c r="AT28" s="7">
        <v>2</v>
      </c>
      <c r="AU28" s="7">
        <v>2</v>
      </c>
      <c r="AV28" s="7">
        <v>2</v>
      </c>
      <c r="AW28" s="5">
        <f t="shared" si="12"/>
        <v>2</v>
      </c>
      <c r="AX28" s="5" t="str">
        <f t="shared" si="53"/>
        <v>BAJO</v>
      </c>
      <c r="AY28" s="5">
        <v>1</v>
      </c>
      <c r="AZ28" s="7">
        <v>4</v>
      </c>
      <c r="BA28" s="7">
        <v>3.5</v>
      </c>
      <c r="BB28" s="7">
        <v>3.5</v>
      </c>
      <c r="BC28" s="5">
        <f t="shared" si="14"/>
        <v>3.6500000000000004</v>
      </c>
      <c r="BD28" s="5" t="str">
        <f t="shared" si="15"/>
        <v>BASICO</v>
      </c>
      <c r="BE28" s="7">
        <v>2</v>
      </c>
      <c r="BF28" s="7">
        <v>3.3</v>
      </c>
      <c r="BG28" s="7">
        <v>3.4</v>
      </c>
      <c r="BH28" s="7">
        <v>3.5</v>
      </c>
      <c r="BI28" s="5">
        <f t="shared" si="16"/>
        <v>3.4000000000000004</v>
      </c>
      <c r="BJ28" s="5" t="str">
        <f t="shared" si="48"/>
        <v>BASICO</v>
      </c>
      <c r="BK28" s="5">
        <v>1</v>
      </c>
      <c r="BL28" s="7">
        <v>3.3</v>
      </c>
      <c r="BM28" s="7">
        <v>3.3</v>
      </c>
      <c r="BN28" s="7">
        <v>3.3</v>
      </c>
      <c r="BO28" s="5">
        <f t="shared" si="59"/>
        <v>3.3</v>
      </c>
      <c r="BP28" s="5" t="str">
        <f t="shared" si="19"/>
        <v>BASICO</v>
      </c>
      <c r="BQ28" s="5">
        <v>1</v>
      </c>
      <c r="BR28" s="7">
        <v>3.3</v>
      </c>
      <c r="BS28" s="7">
        <v>3.4</v>
      </c>
      <c r="BT28" s="7">
        <v>3.5</v>
      </c>
      <c r="BU28" s="5">
        <f t="shared" si="20"/>
        <v>3.4000000000000004</v>
      </c>
      <c r="BV28" s="5" t="str">
        <f t="shared" si="21"/>
        <v>BASICO</v>
      </c>
      <c r="BW28" s="5">
        <v>1</v>
      </c>
      <c r="BX28" s="7">
        <v>2</v>
      </c>
      <c r="BY28" s="7">
        <v>2</v>
      </c>
      <c r="BZ28" s="7">
        <v>2</v>
      </c>
      <c r="CA28" s="5">
        <f t="shared" si="22"/>
        <v>2</v>
      </c>
      <c r="CB28" s="5" t="str">
        <f t="shared" si="23"/>
        <v>BAJO</v>
      </c>
      <c r="CC28" s="5">
        <v>1</v>
      </c>
      <c r="CD28" s="7">
        <v>4</v>
      </c>
      <c r="CE28" s="7">
        <v>4</v>
      </c>
      <c r="CF28" s="7">
        <v>4</v>
      </c>
      <c r="CG28" s="5">
        <f t="shared" si="24"/>
        <v>4</v>
      </c>
      <c r="CH28" s="5" t="str">
        <f t="shared" si="25"/>
        <v>ALTO</v>
      </c>
      <c r="CI28" s="5">
        <v>1</v>
      </c>
      <c r="CJ28" s="7">
        <v>4.2</v>
      </c>
      <c r="CK28" s="7">
        <v>4</v>
      </c>
      <c r="CL28" s="7">
        <v>4</v>
      </c>
      <c r="CM28" s="5">
        <f t="shared" si="26"/>
        <v>4.0600000000000005</v>
      </c>
      <c r="CN28" s="5" t="str">
        <f t="shared" si="27"/>
        <v>ALTO</v>
      </c>
      <c r="CO28" s="5">
        <v>1</v>
      </c>
      <c r="CP28" s="7">
        <v>5</v>
      </c>
      <c r="CQ28" s="7">
        <v>5</v>
      </c>
      <c r="CR28" s="7">
        <v>5</v>
      </c>
      <c r="CS28" s="5">
        <f t="shared" si="28"/>
        <v>5</v>
      </c>
      <c r="CT28" s="5" t="str">
        <f t="shared" si="29"/>
        <v>SUPERIOR</v>
      </c>
      <c r="CU28" s="5">
        <v>2</v>
      </c>
      <c r="CV28" s="7">
        <v>2</v>
      </c>
      <c r="CW28" s="7">
        <v>2</v>
      </c>
      <c r="CX28" s="7">
        <v>2</v>
      </c>
      <c r="CY28" s="5">
        <f t="shared" si="30"/>
        <v>2</v>
      </c>
      <c r="CZ28" s="5" t="str">
        <f t="shared" si="31"/>
        <v>BAJO</v>
      </c>
      <c r="DA28" s="5">
        <v>2</v>
      </c>
      <c r="DB28" s="7">
        <v>3</v>
      </c>
      <c r="DC28" s="7">
        <v>3</v>
      </c>
      <c r="DD28" s="7">
        <v>3</v>
      </c>
      <c r="DE28" s="5">
        <f t="shared" si="32"/>
        <v>3</v>
      </c>
      <c r="DF28" s="5" t="str">
        <f t="shared" si="33"/>
        <v>BASICO</v>
      </c>
      <c r="DG28" s="5">
        <v>0</v>
      </c>
      <c r="DH28" s="7"/>
      <c r="DI28" s="5" t="str">
        <f t="shared" si="34"/>
        <v>BAJO</v>
      </c>
      <c r="DJ28" s="5">
        <f t="shared" si="35"/>
        <v>3.1475</v>
      </c>
      <c r="DK28" s="5" t="str">
        <f t="shared" si="36"/>
        <v>Comprende el concepto de números reales, su relación de orden y las propiedades de sus operaciones, así como las relaciones de semejanza y congruencia de distintas figuras geométricas.</v>
      </c>
      <c r="DL28" s="5" t="str">
        <f t="shared" ref="DL28:FJ28" si="66">DL27</f>
        <v>Aplica correctamente las propiedades de las operaciones de números reales y expresiones algebraicas en la resolución de problemas.</v>
      </c>
      <c r="DM28" s="5" t="str">
        <f t="shared" si="66"/>
        <v>Valora el uso del pensamiento lógico a la hora de plantear y resolver problemas de las matemáticas y de la vida cotidiana.</v>
      </c>
      <c r="DN28" s="5" t="str">
        <f t="shared" si="6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8" s="5" t="str">
        <f t="shared" si="66"/>
        <v>Organiza y analiza datos mediante la construcción de tablas de frecuencias y diagramas estadísticos, identificando variables aleatorias y utilizando estas representaciones para resolver situaciones problema.</v>
      </c>
      <c r="DP28" s="5" t="str">
        <f t="shared" si="66"/>
        <v>Muestra disposición y responsabilidad en el manejo y análisis de datos, participando activamente en actividades individuales y colaborativas, y comunicando información estadística con claridad y sentido crítico.</v>
      </c>
      <c r="DQ28" s="5" t="str">
        <f t="shared" si="66"/>
        <v>Analiza las características de la literatura prehispánica y la literatura del descubrimiento y la conquista en Colombia identificando sus elementos fundamentales y su impacto en la cultura y el lenguaje actual.</v>
      </c>
      <c r="DR28" s="5" t="str">
        <f t="shared" si="66"/>
        <v>Realiza comprensión lectora cuando analiza un texto desde el discurso de la Enunciación e identifica la función de cada uno de sus componentes.
Responde preguntas en los tres niveles de lectura a una leyenda del Caribe.</v>
      </c>
      <c r="DS28" s="5" t="str">
        <f t="shared" si="66"/>
        <v>Muestra disposición para participar activamente en las clases, promoviendo el respeto por las ideas ajenas y reconociendo la importancia de la precisión como una herramienta clave para una comunicación</v>
      </c>
      <c r="DT28" s="5" t="str">
        <f t="shared" si="66"/>
        <v>Comprende el contenido del cuento A la deriva, identificando su tema central, la secuencia de los hechos, los personajes y las ideas explícitas e implícitas del texto.</v>
      </c>
      <c r="DU28" s="5" t="str">
        <f t="shared" si="66"/>
        <v>Analiza críticamente el cuento A la deriva mediante la identificación de información literal, inferencial y crítica, sustentando sus respuestas de forma oral y escrita.</v>
      </c>
      <c r="DV28" s="5" t="str">
        <f t="shared" si="66"/>
        <v>Valora la lectura literaria como una oportunidad para reflexionar sobre la vida, la naturaleza y la condición humana, participando con interés, respeto y sentido crítico en las actividades propuestas.</v>
      </c>
      <c r="DW28" s="5" t="str">
        <f t="shared" si="66"/>
        <v>Comprende y reconoce vocabulario y estructuras basicas del ingles para interpretar textos cortos y conversaciones sobre temas cotidianos de la vida diaria.</v>
      </c>
      <c r="DX28" s="5" t="str">
        <f t="shared" si="66"/>
        <v>Produce de forma oral y escrita frases y parrafos cortos en Ingles, utilizando correctamente las estructuras conocidas para describir rutinas, narrar experiencias y participar en conversaciones.</v>
      </c>
      <c r="DY28" s="5" t="str">
        <f t="shared" si="66"/>
        <v>Muestra disposicion positiva hacia el aprendizaje del Ingles participando activamente en clase.</v>
      </c>
      <c r="DZ28" s="5" t="str">
        <f t="shared" si="66"/>
        <v>Identifica vocabulario en Ingles  de situaciones cotidianas.</v>
      </c>
      <c r="EA28" s="5" t="str">
        <f t="shared" si="66"/>
        <v>Participa en actividades utilizando vocabulario aprendido para expresar gustos,emociones y necesidades.</v>
      </c>
      <c r="EB28" s="5" t="str">
        <f t="shared" si="66"/>
        <v>Respeta la opinion de los demas, muestra disposicion para participar en actividades orales.</v>
      </c>
      <c r="EC28" s="5" t="str">
        <f t="shared" si="66"/>
        <v>Identifica la conformación y funcionamiento del sistema inmunolófico y diferencia las característics de los estados de la materia.</v>
      </c>
      <c r="ED28" s="5" t="str">
        <f t="shared" si="66"/>
        <v>Reconoce experimentalmente las características de materiales en los diferentes estados de la materia.</v>
      </c>
      <c r="EE28" s="5" t="str">
        <f t="shared" si="66"/>
        <v xml:space="preserve">Valora la importancia de tener habitos saludables, para lograr el mantenimiento saludable del sistema inmune. </v>
      </c>
      <c r="EF28" s="5" t="str">
        <f t="shared" si="66"/>
        <v>Describe correctamente la secuencia de eventos biologicos de la fecundacion,incluyendo las recciones acrosomicas,la funcion de gametos y la formacion de gametos.</v>
      </c>
      <c r="EG28" s="5" t="str">
        <f t="shared" si="66"/>
        <v>Mide la capacidad del labolatrio para lograr la fecundacion exitosa de los ovulos con el espermatozoide.</v>
      </c>
      <c r="EH28" s="5" t="str">
        <f t="shared" si="66"/>
        <v>Valora la importancia del cuidado del cuerpo y de la salud reproductiva como la base para una fecundacion saludable.</v>
      </c>
      <c r="EI28" s="5" t="str">
        <f t="shared" si="66"/>
        <v>Explico las principales caracteristicas de algunas revoluciones de los siglos XVIII y XIX (Revolucion francesa, Industrial...)</v>
      </c>
      <c r="EJ28" s="5" t="str">
        <f t="shared" si="66"/>
        <v>Analiza las causas y consecuencias de procesos historicos como la Revolucion Industrial y Francesa.</v>
      </c>
      <c r="EK28" s="5" t="str">
        <f t="shared" si="66"/>
        <v>Muestra interes y curiosidad por comprender los procesos historicos y su impacto en la sociedad.</v>
      </c>
      <c r="EL28" s="5" t="str">
        <f t="shared" si="66"/>
        <v xml:space="preserve">Identifica los procesos historicos de algunas revoluciones de los siglos XVIII y XIX </v>
      </c>
      <c r="EM28" s="5">
        <f t="shared" si="66"/>
        <v>0</v>
      </c>
      <c r="EN28" s="5">
        <f t="shared" si="66"/>
        <v>0</v>
      </c>
      <c r="EO28" s="5" t="str">
        <f t="shared" si="66"/>
        <v xml:space="preserve">Comprende la distribucion espacial de la poblacion antes y despues de las revoluciones </v>
      </c>
      <c r="EP28" s="5" t="str">
        <f t="shared" si="66"/>
        <v xml:space="preserve">Ubica en mapas las regiones donde se desarrollaron las principales revoluciones y explica sus caracteristicas geograficas </v>
      </c>
      <c r="EQ28" s="5" t="str">
        <f t="shared" si="66"/>
        <v>Muestra interes por comprender la relacion entre sociedad, economia y territorio</v>
      </c>
      <c r="ER28" s="5" t="str">
        <f t="shared" si="66"/>
        <v>Comprende el concepto de cultura de paz y su importancia en la sociedad</v>
      </c>
      <c r="ES28" s="5" t="str">
        <f t="shared" si="66"/>
        <v>Practica normas de convivencia en diferentes espacios( aula, hogar, comunidad)</v>
      </c>
      <c r="ET28" s="5" t="str">
        <f t="shared" si="66"/>
        <v>Muestra actitud de respeto hacia la diversidad cuktural, social y de pensamiento</v>
      </c>
      <c r="EU28" s="5">
        <f t="shared" si="66"/>
        <v>0</v>
      </c>
      <c r="EV28" s="5">
        <f t="shared" si="66"/>
        <v>0</v>
      </c>
      <c r="EW28" s="5">
        <f t="shared" si="66"/>
        <v>0</v>
      </c>
      <c r="EX28" s="5">
        <f t="shared" si="66"/>
        <v>0</v>
      </c>
      <c r="EY28" s="5">
        <f t="shared" si="66"/>
        <v>0</v>
      </c>
      <c r="EZ28" s="5">
        <f t="shared" si="66"/>
        <v>0</v>
      </c>
      <c r="FA28" s="5">
        <f t="shared" si="66"/>
        <v>0</v>
      </c>
      <c r="FB28" s="5">
        <f t="shared" si="66"/>
        <v>0</v>
      </c>
      <c r="FC28" s="5">
        <f t="shared" si="66"/>
        <v>0</v>
      </c>
      <c r="FD28" s="5" t="str">
        <f t="shared" si="66"/>
        <v xml:space="preserve"> Identifica las expresiones motrices relacionadas con el juego del voleibol,  como una oportunidad para mejorar la salud, la estética y las relaciones con los demás.</v>
      </c>
      <c r="FE28" s="5" t="str">
        <f t="shared" si="66"/>
        <v>Pone en práctica los fundamentos básicos del voleibol.</v>
      </c>
      <c r="FF28" s="5" t="str">
        <f t="shared" si="66"/>
        <v>Muestra  responsabilidad y buena actitud al realizar el juego de voleibol.</v>
      </c>
      <c r="FG28" s="5" t="str">
        <f t="shared" si="66"/>
        <v>Comprende el concepto de variable como espacio de almacenamiento de datos y reconoce el uso de estructuras condicionales (si, si-no) para la toma de decisiones en un programa.</v>
      </c>
      <c r="FH28" s="5" t="str">
        <f t="shared" si="66"/>
        <v>Diseña y desarrolla programas que utilizan variables y estructuras condicionales para resolver problemas, evaluando condiciones y generando respuestas según diferentes situaciones.</v>
      </c>
      <c r="FI28" s="5" t="str">
        <f t="shared" si="66"/>
        <v>Muestra pensamiento lógico, perseverancia y actitud crítica al analizar errores y proponer soluciones en la construcción de programas con variables y condicionales.</v>
      </c>
      <c r="FJ28" s="5" t="str">
        <f t="shared" si="66"/>
        <v>Identifica y reconoce sus pricipales deberes y derechos dentro y fuera  de la Institución educativa.</v>
      </c>
    </row>
    <row r="29" spans="1:166" ht="15.75" customHeight="1">
      <c r="A29" s="5">
        <v>28</v>
      </c>
      <c r="B29" s="5" t="s">
        <v>99</v>
      </c>
      <c r="C29" s="6" t="s">
        <v>100</v>
      </c>
      <c r="D29" s="5" t="s">
        <v>68</v>
      </c>
      <c r="E29" s="5" t="s">
        <v>69</v>
      </c>
      <c r="F29" s="5" t="s">
        <v>70</v>
      </c>
      <c r="G29" s="5" t="s">
        <v>71</v>
      </c>
      <c r="H29" s="5">
        <v>2026</v>
      </c>
      <c r="I29" s="5">
        <v>4</v>
      </c>
      <c r="J29" s="7">
        <v>3</v>
      </c>
      <c r="K29" s="7">
        <v>3.5</v>
      </c>
      <c r="L29" s="7">
        <v>4</v>
      </c>
      <c r="M29" s="5">
        <f t="shared" si="0"/>
        <v>3.5</v>
      </c>
      <c r="N29" s="5" t="str">
        <f t="shared" si="1"/>
        <v>BASICO</v>
      </c>
      <c r="O29" s="5">
        <v>1</v>
      </c>
      <c r="P29" s="7">
        <v>3.8</v>
      </c>
      <c r="Q29" s="7">
        <v>3.8</v>
      </c>
      <c r="R29" s="7">
        <v>3.8</v>
      </c>
      <c r="S29" s="5">
        <f t="shared" si="2"/>
        <v>3.8</v>
      </c>
      <c r="T29" s="5" t="str">
        <f t="shared" si="3"/>
        <v>BASICO</v>
      </c>
      <c r="U29" s="5">
        <v>4</v>
      </c>
      <c r="V29" s="7">
        <v>4</v>
      </c>
      <c r="W29" s="7">
        <v>3.5</v>
      </c>
      <c r="X29" s="7">
        <v>3.8</v>
      </c>
      <c r="Y29" s="5">
        <f t="shared" si="4"/>
        <v>3.74</v>
      </c>
      <c r="Z29" s="5" t="str">
        <f t="shared" si="5"/>
        <v>BASICO</v>
      </c>
      <c r="AA29" s="5">
        <v>1</v>
      </c>
      <c r="AB29" s="7">
        <v>4.2</v>
      </c>
      <c r="AC29" s="7">
        <v>4.2</v>
      </c>
      <c r="AD29" s="7">
        <v>4.2</v>
      </c>
      <c r="AE29" s="5">
        <f t="shared" si="6"/>
        <v>4.2</v>
      </c>
      <c r="AF29" s="5" t="str">
        <f t="shared" si="7"/>
        <v>ALTO</v>
      </c>
      <c r="AG29" s="5">
        <v>2</v>
      </c>
      <c r="AH29" s="8">
        <v>4.5</v>
      </c>
      <c r="AI29" s="8">
        <v>4.5</v>
      </c>
      <c r="AJ29" s="8">
        <v>4.5</v>
      </c>
      <c r="AK29" s="5">
        <f t="shared" si="8"/>
        <v>4.5</v>
      </c>
      <c r="AL29" s="5" t="str">
        <f t="shared" si="9"/>
        <v>SUPERIOR</v>
      </c>
      <c r="AM29" s="5">
        <v>1</v>
      </c>
      <c r="AN29" s="8">
        <v>4.5</v>
      </c>
      <c r="AO29" s="8">
        <v>4.5</v>
      </c>
      <c r="AP29" s="8">
        <v>4.5</v>
      </c>
      <c r="AQ29" s="5">
        <f t="shared" si="10"/>
        <v>4.5</v>
      </c>
      <c r="AR29" s="5" t="str">
        <f t="shared" si="11"/>
        <v>SUPERIOR</v>
      </c>
      <c r="AS29" s="5">
        <v>4</v>
      </c>
      <c r="AT29" s="7">
        <v>4.5</v>
      </c>
      <c r="AU29" s="7">
        <v>4.5</v>
      </c>
      <c r="AV29" s="7">
        <v>4.5</v>
      </c>
      <c r="AW29" s="5">
        <f t="shared" si="12"/>
        <v>4.5</v>
      </c>
      <c r="AX29" s="5" t="str">
        <f t="shared" si="53"/>
        <v>SUPERIOR</v>
      </c>
      <c r="AY29" s="5">
        <v>1</v>
      </c>
      <c r="AZ29" s="7">
        <v>3.5</v>
      </c>
      <c r="BA29" s="7">
        <v>3.8</v>
      </c>
      <c r="BB29" s="7">
        <v>3.5</v>
      </c>
      <c r="BC29" s="5">
        <f t="shared" si="14"/>
        <v>3.62</v>
      </c>
      <c r="BD29" s="5" t="str">
        <f t="shared" si="15"/>
        <v>BASICO</v>
      </c>
      <c r="BE29" s="7">
        <v>2</v>
      </c>
      <c r="BF29" s="7">
        <v>4.5</v>
      </c>
      <c r="BG29" s="7">
        <v>4.5</v>
      </c>
      <c r="BH29" s="7">
        <v>4.8</v>
      </c>
      <c r="BI29" s="5">
        <f t="shared" si="16"/>
        <v>4.59</v>
      </c>
      <c r="BJ29" s="5" t="str">
        <f t="shared" si="48"/>
        <v>SUPERIOR</v>
      </c>
      <c r="BK29" s="5">
        <v>1</v>
      </c>
      <c r="BL29" s="7">
        <v>4.5</v>
      </c>
      <c r="BM29" s="7">
        <v>4.5</v>
      </c>
      <c r="BN29" s="7">
        <v>4.3</v>
      </c>
      <c r="BO29" s="5">
        <f t="shared" si="59"/>
        <v>4.4399999999999995</v>
      </c>
      <c r="BP29" s="5" t="str">
        <f t="shared" si="19"/>
        <v>ALTO</v>
      </c>
      <c r="BQ29" s="5">
        <v>1</v>
      </c>
      <c r="BR29" s="7">
        <v>4.5</v>
      </c>
      <c r="BS29" s="7">
        <v>4.5</v>
      </c>
      <c r="BT29" s="7">
        <v>4.8</v>
      </c>
      <c r="BU29" s="5">
        <f t="shared" si="20"/>
        <v>4.59</v>
      </c>
      <c r="BV29" s="5" t="str">
        <f t="shared" si="21"/>
        <v>SUPERIOR</v>
      </c>
      <c r="BW29" s="5">
        <v>1</v>
      </c>
      <c r="BX29" s="7">
        <v>4.5</v>
      </c>
      <c r="BY29" s="7">
        <v>4.5999999999999996</v>
      </c>
      <c r="BZ29" s="7">
        <v>4.9000000000000004</v>
      </c>
      <c r="CA29" s="5">
        <f t="shared" si="22"/>
        <v>4.6599999999999993</v>
      </c>
      <c r="CB29" s="5" t="str">
        <f t="shared" si="23"/>
        <v>SUPERIOR</v>
      </c>
      <c r="CC29" s="5">
        <v>1</v>
      </c>
      <c r="CD29" s="7">
        <v>4.4000000000000004</v>
      </c>
      <c r="CE29" s="7">
        <v>4.2</v>
      </c>
      <c r="CF29" s="7">
        <v>4.2</v>
      </c>
      <c r="CG29" s="5">
        <f t="shared" si="24"/>
        <v>4.26</v>
      </c>
      <c r="CH29" s="5" t="str">
        <f t="shared" si="25"/>
        <v>ALTO</v>
      </c>
      <c r="CI29" s="5">
        <v>1</v>
      </c>
      <c r="CJ29" s="7">
        <v>4.5</v>
      </c>
      <c r="CK29" s="7">
        <v>4.5</v>
      </c>
      <c r="CL29" s="7">
        <v>4.5</v>
      </c>
      <c r="CM29" s="5">
        <f t="shared" si="26"/>
        <v>4.5</v>
      </c>
      <c r="CN29" s="5" t="str">
        <f t="shared" si="27"/>
        <v>SUPERIOR</v>
      </c>
      <c r="CO29" s="5">
        <v>1</v>
      </c>
      <c r="CP29" s="7">
        <v>5</v>
      </c>
      <c r="CQ29" s="7">
        <v>5</v>
      </c>
      <c r="CR29" s="7">
        <v>5</v>
      </c>
      <c r="CS29" s="5">
        <f t="shared" si="28"/>
        <v>5</v>
      </c>
      <c r="CT29" s="5" t="str">
        <f t="shared" si="29"/>
        <v>SUPERIOR</v>
      </c>
      <c r="CU29" s="5">
        <v>2</v>
      </c>
      <c r="CV29" s="7">
        <v>3</v>
      </c>
      <c r="CW29" s="7">
        <v>3</v>
      </c>
      <c r="CX29" s="7">
        <v>3</v>
      </c>
      <c r="CY29" s="5">
        <f t="shared" si="30"/>
        <v>3</v>
      </c>
      <c r="CZ29" s="5" t="str">
        <f t="shared" si="31"/>
        <v>BASICO</v>
      </c>
      <c r="DA29" s="5">
        <v>2</v>
      </c>
      <c r="DB29" s="7">
        <v>3</v>
      </c>
      <c r="DC29" s="7">
        <v>3</v>
      </c>
      <c r="DD29" s="7">
        <v>3</v>
      </c>
      <c r="DE29" s="5">
        <f t="shared" si="32"/>
        <v>3</v>
      </c>
      <c r="DF29" s="5" t="str">
        <f t="shared" si="33"/>
        <v>BASICO</v>
      </c>
      <c r="DG29" s="5">
        <v>0</v>
      </c>
      <c r="DH29" s="7"/>
      <c r="DI29" s="5" t="str">
        <f t="shared" si="34"/>
        <v>BAJO</v>
      </c>
      <c r="DJ29" s="5">
        <f t="shared" si="35"/>
        <v>4.1131250000000001</v>
      </c>
      <c r="DK29" s="5" t="str">
        <f t="shared" si="36"/>
        <v>Comprende el concepto de números reales, su relación de orden y las propiedades de sus operaciones, así como las relaciones de semejanza y congruencia de distintas figuras geométricas.</v>
      </c>
      <c r="DL29" s="5" t="str">
        <f t="shared" ref="DL29:FJ29" si="67">DL28</f>
        <v>Aplica correctamente las propiedades de las operaciones de números reales y expresiones algebraicas en la resolución de problemas.</v>
      </c>
      <c r="DM29" s="5" t="str">
        <f t="shared" si="67"/>
        <v>Valora el uso del pensamiento lógico a la hora de plantear y resolver problemas de las matemáticas y de la vida cotidiana.</v>
      </c>
      <c r="DN29" s="5" t="str">
        <f t="shared" si="6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9" s="5" t="str">
        <f t="shared" si="67"/>
        <v>Organiza y analiza datos mediante la construcción de tablas de frecuencias y diagramas estadísticos, identificando variables aleatorias y utilizando estas representaciones para resolver situaciones problema.</v>
      </c>
      <c r="DP29" s="5" t="str">
        <f t="shared" si="67"/>
        <v>Muestra disposición y responsabilidad en el manejo y análisis de datos, participando activamente en actividades individuales y colaborativas, y comunicando información estadística con claridad y sentido crítico.</v>
      </c>
      <c r="DQ29" s="5" t="str">
        <f t="shared" si="67"/>
        <v>Analiza las características de la literatura prehispánica y la literatura del descubrimiento y la conquista en Colombia identificando sus elementos fundamentales y su impacto en la cultura y el lenguaje actual.</v>
      </c>
      <c r="DR29" s="5" t="str">
        <f t="shared" si="67"/>
        <v>Realiza comprensión lectora cuando analiza un texto desde el discurso de la Enunciación e identifica la función de cada uno de sus componentes.
Responde preguntas en los tres niveles de lectura a una leyenda del Caribe.</v>
      </c>
      <c r="DS29" s="5" t="str">
        <f t="shared" si="67"/>
        <v>Muestra disposición para participar activamente en las clases, promoviendo el respeto por las ideas ajenas y reconociendo la importancia de la precisión como una herramienta clave para una comunicación</v>
      </c>
      <c r="DT29" s="5" t="str">
        <f t="shared" si="67"/>
        <v>Comprende el contenido del cuento A la deriva, identificando su tema central, la secuencia de los hechos, los personajes y las ideas explícitas e implícitas del texto.</v>
      </c>
      <c r="DU29" s="5" t="str">
        <f t="shared" si="67"/>
        <v>Analiza críticamente el cuento A la deriva mediante la identificación de información literal, inferencial y crítica, sustentando sus respuestas de forma oral y escrita.</v>
      </c>
      <c r="DV29" s="5" t="str">
        <f t="shared" si="67"/>
        <v>Valora la lectura literaria como una oportunidad para reflexionar sobre la vida, la naturaleza y la condición humana, participando con interés, respeto y sentido crítico en las actividades propuestas.</v>
      </c>
      <c r="DW29" s="5" t="str">
        <f t="shared" si="67"/>
        <v>Comprende y reconoce vocabulario y estructuras basicas del ingles para interpretar textos cortos y conversaciones sobre temas cotidianos de la vida diaria.</v>
      </c>
      <c r="DX29" s="5" t="str">
        <f t="shared" si="67"/>
        <v>Produce de forma oral y escrita frases y parrafos cortos en Ingles, utilizando correctamente las estructuras conocidas para describir rutinas, narrar experiencias y participar en conversaciones.</v>
      </c>
      <c r="DY29" s="5" t="str">
        <f t="shared" si="67"/>
        <v>Muestra disposicion positiva hacia el aprendizaje del Ingles participando activamente en clase.</v>
      </c>
      <c r="DZ29" s="5" t="str">
        <f t="shared" si="67"/>
        <v>Identifica vocabulario en Ingles  de situaciones cotidianas.</v>
      </c>
      <c r="EA29" s="5" t="str">
        <f t="shared" si="67"/>
        <v>Participa en actividades utilizando vocabulario aprendido para expresar gustos,emociones y necesidades.</v>
      </c>
      <c r="EB29" s="5" t="str">
        <f t="shared" si="67"/>
        <v>Respeta la opinion de los demas, muestra disposicion para participar en actividades orales.</v>
      </c>
      <c r="EC29" s="5" t="str">
        <f t="shared" si="67"/>
        <v>Identifica la conformación y funcionamiento del sistema inmunolófico y diferencia las característics de los estados de la materia.</v>
      </c>
      <c r="ED29" s="5" t="str">
        <f t="shared" si="67"/>
        <v>Reconoce experimentalmente las características de materiales en los diferentes estados de la materia.</v>
      </c>
      <c r="EE29" s="5" t="str">
        <f t="shared" si="67"/>
        <v xml:space="preserve">Valora la importancia de tener habitos saludables, para lograr el mantenimiento saludable del sistema inmune. </v>
      </c>
      <c r="EF29" s="5" t="str">
        <f t="shared" si="67"/>
        <v>Describe correctamente la secuencia de eventos biologicos de la fecundacion,incluyendo las recciones acrosomicas,la funcion de gametos y la formacion de gametos.</v>
      </c>
      <c r="EG29" s="5" t="str">
        <f t="shared" si="67"/>
        <v>Mide la capacidad del labolatrio para lograr la fecundacion exitosa de los ovulos con el espermatozoide.</v>
      </c>
      <c r="EH29" s="5" t="str">
        <f t="shared" si="67"/>
        <v>Valora la importancia del cuidado del cuerpo y de la salud reproductiva como la base para una fecundacion saludable.</v>
      </c>
      <c r="EI29" s="5" t="str">
        <f t="shared" si="67"/>
        <v>Explico las principales caracteristicas de algunas revoluciones de los siglos XVIII y XIX (Revolucion francesa, Industrial...)</v>
      </c>
      <c r="EJ29" s="5" t="str">
        <f t="shared" si="67"/>
        <v>Analiza las causas y consecuencias de procesos historicos como la Revolucion Industrial y Francesa.</v>
      </c>
      <c r="EK29" s="5" t="str">
        <f t="shared" si="67"/>
        <v>Muestra interes y curiosidad por comprender los procesos historicos y su impacto en la sociedad.</v>
      </c>
      <c r="EL29" s="5" t="str">
        <f t="shared" si="67"/>
        <v xml:space="preserve">Identifica los procesos historicos de algunas revoluciones de los siglos XVIII y XIX </v>
      </c>
      <c r="EM29" s="5">
        <f t="shared" si="67"/>
        <v>0</v>
      </c>
      <c r="EN29" s="5">
        <f t="shared" si="67"/>
        <v>0</v>
      </c>
      <c r="EO29" s="5" t="str">
        <f t="shared" si="67"/>
        <v xml:space="preserve">Comprende la distribucion espacial de la poblacion antes y despues de las revoluciones </v>
      </c>
      <c r="EP29" s="5" t="str">
        <f t="shared" si="67"/>
        <v xml:space="preserve">Ubica en mapas las regiones donde se desarrollaron las principales revoluciones y explica sus caracteristicas geograficas </v>
      </c>
      <c r="EQ29" s="5" t="str">
        <f t="shared" si="67"/>
        <v>Muestra interes por comprender la relacion entre sociedad, economia y territorio</v>
      </c>
      <c r="ER29" s="5" t="str">
        <f t="shared" si="67"/>
        <v>Comprende el concepto de cultura de paz y su importancia en la sociedad</v>
      </c>
      <c r="ES29" s="5" t="str">
        <f t="shared" si="67"/>
        <v>Practica normas de convivencia en diferentes espacios( aula, hogar, comunidad)</v>
      </c>
      <c r="ET29" s="5" t="str">
        <f t="shared" si="67"/>
        <v>Muestra actitud de respeto hacia la diversidad cuktural, social y de pensamiento</v>
      </c>
      <c r="EU29" s="5">
        <f t="shared" si="67"/>
        <v>0</v>
      </c>
      <c r="EV29" s="5">
        <f t="shared" si="67"/>
        <v>0</v>
      </c>
      <c r="EW29" s="5">
        <f t="shared" si="67"/>
        <v>0</v>
      </c>
      <c r="EX29" s="5">
        <f t="shared" si="67"/>
        <v>0</v>
      </c>
      <c r="EY29" s="5">
        <f t="shared" si="67"/>
        <v>0</v>
      </c>
      <c r="EZ29" s="5">
        <f t="shared" si="67"/>
        <v>0</v>
      </c>
      <c r="FA29" s="5">
        <f t="shared" si="67"/>
        <v>0</v>
      </c>
      <c r="FB29" s="5">
        <f t="shared" si="67"/>
        <v>0</v>
      </c>
      <c r="FC29" s="5">
        <f t="shared" si="67"/>
        <v>0</v>
      </c>
      <c r="FD29" s="5" t="str">
        <f t="shared" si="67"/>
        <v xml:space="preserve"> Identifica las expresiones motrices relacionadas con el juego del voleibol,  como una oportunidad para mejorar la salud, la estética y las relaciones con los demás.</v>
      </c>
      <c r="FE29" s="5" t="str">
        <f t="shared" si="67"/>
        <v>Pone en práctica los fundamentos básicos del voleibol.</v>
      </c>
      <c r="FF29" s="5" t="str">
        <f t="shared" si="67"/>
        <v>Muestra  responsabilidad y buena actitud al realizar el juego de voleibol.</v>
      </c>
      <c r="FG29" s="5" t="str">
        <f t="shared" si="67"/>
        <v>Comprende el concepto de variable como espacio de almacenamiento de datos y reconoce el uso de estructuras condicionales (si, si-no) para la toma de decisiones en un programa.</v>
      </c>
      <c r="FH29" s="5" t="str">
        <f t="shared" si="67"/>
        <v>Diseña y desarrolla programas que utilizan variables y estructuras condicionales para resolver problemas, evaluando condiciones y generando respuestas según diferentes situaciones.</v>
      </c>
      <c r="FI29" s="5" t="str">
        <f t="shared" si="67"/>
        <v>Muestra pensamiento lógico, perseverancia y actitud crítica al analizar errores y proponer soluciones en la construcción de programas con variables y condicionales.</v>
      </c>
      <c r="FJ29" s="5" t="str">
        <f t="shared" si="67"/>
        <v>Identifica y reconoce sus pricipales deberes y derechos dentro y fuera  de la Institución educativa.</v>
      </c>
    </row>
    <row r="30" spans="1:166" ht="15.75" customHeight="1">
      <c r="A30" s="5">
        <v>29</v>
      </c>
      <c r="B30" s="5" t="s">
        <v>101</v>
      </c>
      <c r="C30" s="6">
        <v>1043166007</v>
      </c>
      <c r="D30" s="5" t="s">
        <v>68</v>
      </c>
      <c r="E30" s="5" t="s">
        <v>69</v>
      </c>
      <c r="F30" s="5" t="s">
        <v>70</v>
      </c>
      <c r="G30" s="5" t="s">
        <v>71</v>
      </c>
      <c r="H30" s="5">
        <v>2026</v>
      </c>
      <c r="I30" s="5">
        <v>4</v>
      </c>
      <c r="J30" s="7">
        <v>2.4</v>
      </c>
      <c r="K30" s="7">
        <v>2.5</v>
      </c>
      <c r="L30" s="7">
        <v>2.6</v>
      </c>
      <c r="M30" s="5">
        <f t="shared" si="0"/>
        <v>2.5</v>
      </c>
      <c r="N30" s="5" t="str">
        <f t="shared" si="1"/>
        <v>BAJO</v>
      </c>
      <c r="O30" s="5">
        <v>1</v>
      </c>
      <c r="P30" s="7">
        <v>2.7</v>
      </c>
      <c r="Q30" s="7">
        <v>2.7</v>
      </c>
      <c r="R30" s="7">
        <v>2.7</v>
      </c>
      <c r="S30" s="5">
        <f t="shared" si="2"/>
        <v>2.7</v>
      </c>
      <c r="T30" s="5" t="str">
        <f t="shared" si="3"/>
        <v>BAJO</v>
      </c>
      <c r="U30" s="5">
        <v>4</v>
      </c>
      <c r="V30" s="7">
        <v>2.5</v>
      </c>
      <c r="W30" s="7">
        <v>2.5</v>
      </c>
      <c r="X30" s="7">
        <v>2.5</v>
      </c>
      <c r="Y30" s="5">
        <f t="shared" si="4"/>
        <v>2.5</v>
      </c>
      <c r="Z30" s="5" t="str">
        <f t="shared" si="5"/>
        <v>BAJO</v>
      </c>
      <c r="AA30" s="5">
        <v>1</v>
      </c>
      <c r="AB30" s="7">
        <v>2.5</v>
      </c>
      <c r="AC30" s="7">
        <v>2.5</v>
      </c>
      <c r="AD30" s="7">
        <v>2.5</v>
      </c>
      <c r="AE30" s="5">
        <f t="shared" si="6"/>
        <v>2.5</v>
      </c>
      <c r="AF30" s="5" t="str">
        <f t="shared" si="7"/>
        <v>BAJO</v>
      </c>
      <c r="AG30" s="5">
        <v>2</v>
      </c>
      <c r="AH30" s="8">
        <v>2</v>
      </c>
      <c r="AI30" s="8">
        <v>3</v>
      </c>
      <c r="AJ30" s="8">
        <v>3</v>
      </c>
      <c r="AK30" s="5">
        <f t="shared" si="8"/>
        <v>2.7</v>
      </c>
      <c r="AL30" s="5" t="str">
        <f t="shared" si="9"/>
        <v>BAJO</v>
      </c>
      <c r="AM30" s="5">
        <v>1</v>
      </c>
      <c r="AN30" s="8">
        <v>2</v>
      </c>
      <c r="AO30" s="8">
        <v>3</v>
      </c>
      <c r="AP30" s="8">
        <v>3</v>
      </c>
      <c r="AQ30" s="5">
        <f t="shared" si="10"/>
        <v>2.7</v>
      </c>
      <c r="AR30" s="5" t="str">
        <f t="shared" si="11"/>
        <v>BAJO</v>
      </c>
      <c r="AS30" s="5">
        <v>4</v>
      </c>
      <c r="AT30" s="7">
        <v>2</v>
      </c>
      <c r="AU30" s="7">
        <v>2</v>
      </c>
      <c r="AV30" s="7">
        <v>2</v>
      </c>
      <c r="AW30" s="5">
        <f t="shared" si="12"/>
        <v>2</v>
      </c>
      <c r="AX30" s="5" t="str">
        <f t="shared" si="53"/>
        <v>BAJO</v>
      </c>
      <c r="AY30" s="5">
        <v>1</v>
      </c>
      <c r="AZ30" s="7">
        <v>3</v>
      </c>
      <c r="BA30" s="7">
        <v>3</v>
      </c>
      <c r="BB30" s="7">
        <v>3</v>
      </c>
      <c r="BC30" s="5">
        <f t="shared" si="14"/>
        <v>3</v>
      </c>
      <c r="BD30" s="5" t="str">
        <f t="shared" si="15"/>
        <v>BASICO</v>
      </c>
      <c r="BE30" s="7">
        <v>2</v>
      </c>
      <c r="BF30" s="7">
        <v>2.5</v>
      </c>
      <c r="BG30" s="7">
        <v>2.8</v>
      </c>
      <c r="BH30" s="7">
        <v>2.5</v>
      </c>
      <c r="BI30" s="5">
        <f t="shared" si="16"/>
        <v>2.62</v>
      </c>
      <c r="BJ30" s="5" t="str">
        <f t="shared" si="48"/>
        <v>BAJO</v>
      </c>
      <c r="BK30" s="5">
        <v>1</v>
      </c>
      <c r="BL30" s="7">
        <v>2.2000000000000002</v>
      </c>
      <c r="BM30" s="7">
        <v>2.8</v>
      </c>
      <c r="BN30" s="7">
        <v>2.6</v>
      </c>
      <c r="BO30" s="5">
        <f t="shared" si="59"/>
        <v>2.5599999999999996</v>
      </c>
      <c r="BP30" s="5" t="str">
        <f t="shared" si="19"/>
        <v>BAJO</v>
      </c>
      <c r="BQ30" s="5">
        <v>1</v>
      </c>
      <c r="BR30" s="7">
        <v>2.5</v>
      </c>
      <c r="BS30" s="7">
        <v>2.8</v>
      </c>
      <c r="BT30" s="7">
        <v>2.6</v>
      </c>
      <c r="BU30" s="5">
        <f t="shared" si="20"/>
        <v>2.65</v>
      </c>
      <c r="BV30" s="5" t="str">
        <f t="shared" si="21"/>
        <v>BAJO</v>
      </c>
      <c r="BW30" s="5">
        <v>1</v>
      </c>
      <c r="BX30" s="7">
        <v>2</v>
      </c>
      <c r="BY30" s="7">
        <v>2</v>
      </c>
      <c r="BZ30" s="7">
        <v>2</v>
      </c>
      <c r="CA30" s="5">
        <f t="shared" si="22"/>
        <v>2</v>
      </c>
      <c r="CB30" s="5" t="str">
        <f t="shared" si="23"/>
        <v>BAJO</v>
      </c>
      <c r="CC30" s="5">
        <v>1</v>
      </c>
      <c r="CD30" s="7">
        <v>2</v>
      </c>
      <c r="CE30" s="7">
        <v>2</v>
      </c>
      <c r="CF30" s="7">
        <v>2</v>
      </c>
      <c r="CG30" s="5">
        <f t="shared" si="24"/>
        <v>2</v>
      </c>
      <c r="CH30" s="5" t="str">
        <f t="shared" si="25"/>
        <v>BAJO</v>
      </c>
      <c r="CI30" s="5">
        <v>1</v>
      </c>
      <c r="CJ30" s="7">
        <v>4</v>
      </c>
      <c r="CK30" s="7">
        <v>4</v>
      </c>
      <c r="CL30" s="7">
        <v>3.5</v>
      </c>
      <c r="CM30" s="5">
        <f t="shared" si="26"/>
        <v>3.8499999999999996</v>
      </c>
      <c r="CN30" s="5" t="str">
        <f t="shared" si="27"/>
        <v>BASICO</v>
      </c>
      <c r="CO30" s="5">
        <v>1</v>
      </c>
      <c r="CP30" s="7">
        <v>5</v>
      </c>
      <c r="CQ30" s="7">
        <v>5</v>
      </c>
      <c r="CR30" s="7">
        <v>5</v>
      </c>
      <c r="CS30" s="5">
        <f t="shared" si="28"/>
        <v>5</v>
      </c>
      <c r="CT30" s="5" t="str">
        <f t="shared" si="29"/>
        <v>SUPERIOR</v>
      </c>
      <c r="CU30" s="5">
        <v>2</v>
      </c>
      <c r="CV30" s="7">
        <v>3</v>
      </c>
      <c r="CW30" s="7">
        <v>3</v>
      </c>
      <c r="CX30" s="7">
        <v>3</v>
      </c>
      <c r="CY30" s="5">
        <f t="shared" si="30"/>
        <v>3</v>
      </c>
      <c r="CZ30" s="5" t="str">
        <f t="shared" si="31"/>
        <v>BASICO</v>
      </c>
      <c r="DA30" s="5">
        <v>2</v>
      </c>
      <c r="DB30" s="7">
        <v>2.8</v>
      </c>
      <c r="DC30" s="7">
        <v>2.8</v>
      </c>
      <c r="DD30" s="7">
        <v>3.8</v>
      </c>
      <c r="DE30" s="5">
        <f t="shared" si="32"/>
        <v>3.0999999999999996</v>
      </c>
      <c r="DF30" s="5" t="str">
        <f t="shared" si="33"/>
        <v>BASICO</v>
      </c>
      <c r="DG30" s="5">
        <v>0</v>
      </c>
      <c r="DH30" s="7"/>
      <c r="DI30" s="5" t="str">
        <f t="shared" si="34"/>
        <v>BAJO</v>
      </c>
      <c r="DJ30" s="5">
        <f t="shared" si="35"/>
        <v>2.7956250000000002</v>
      </c>
      <c r="DK30" s="5" t="str">
        <f t="shared" si="36"/>
        <v>Comprende el concepto de números reales, su relación de orden y las propiedades de sus operaciones, así como las relaciones de semejanza y congruencia de distintas figuras geométricas.</v>
      </c>
      <c r="DL30" s="5" t="str">
        <f t="shared" ref="DL30:FJ30" si="68">DL29</f>
        <v>Aplica correctamente las propiedades de las operaciones de números reales y expresiones algebraicas en la resolución de problemas.</v>
      </c>
      <c r="DM30" s="5" t="str">
        <f t="shared" si="68"/>
        <v>Valora el uso del pensamiento lógico a la hora de plantear y resolver problemas de las matemáticas y de la vida cotidiana.</v>
      </c>
      <c r="DN30" s="5" t="str">
        <f t="shared" si="6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0" s="5" t="str">
        <f t="shared" si="68"/>
        <v>Organiza y analiza datos mediante la construcción de tablas de frecuencias y diagramas estadísticos, identificando variables aleatorias y utilizando estas representaciones para resolver situaciones problema.</v>
      </c>
      <c r="DP30" s="5" t="str">
        <f t="shared" si="68"/>
        <v>Muestra disposición y responsabilidad en el manejo y análisis de datos, participando activamente en actividades individuales y colaborativas, y comunicando información estadística con claridad y sentido crítico.</v>
      </c>
      <c r="DQ30" s="5" t="str">
        <f t="shared" si="68"/>
        <v>Analiza las características de la literatura prehispánica y la literatura del descubrimiento y la conquista en Colombia identificando sus elementos fundamentales y su impacto en la cultura y el lenguaje actual.</v>
      </c>
      <c r="DR30" s="5" t="str">
        <f t="shared" si="68"/>
        <v>Realiza comprensión lectora cuando analiza un texto desde el discurso de la Enunciación e identifica la función de cada uno de sus componentes.
Responde preguntas en los tres niveles de lectura a una leyenda del Caribe.</v>
      </c>
      <c r="DS30" s="5" t="str">
        <f t="shared" si="68"/>
        <v>Muestra disposición para participar activamente en las clases, promoviendo el respeto por las ideas ajenas y reconociendo la importancia de la precisión como una herramienta clave para una comunicación</v>
      </c>
      <c r="DT30" s="5" t="str">
        <f t="shared" si="68"/>
        <v>Comprende el contenido del cuento A la deriva, identificando su tema central, la secuencia de los hechos, los personajes y las ideas explícitas e implícitas del texto.</v>
      </c>
      <c r="DU30" s="5" t="str">
        <f t="shared" si="68"/>
        <v>Analiza críticamente el cuento A la deriva mediante la identificación de información literal, inferencial y crítica, sustentando sus respuestas de forma oral y escrita.</v>
      </c>
      <c r="DV30" s="5" t="str">
        <f t="shared" si="68"/>
        <v>Valora la lectura literaria como una oportunidad para reflexionar sobre la vida, la naturaleza y la condición humana, participando con interés, respeto y sentido crítico en las actividades propuestas.</v>
      </c>
      <c r="DW30" s="5" t="str">
        <f t="shared" si="68"/>
        <v>Comprende y reconoce vocabulario y estructuras basicas del ingles para interpretar textos cortos y conversaciones sobre temas cotidianos de la vida diaria.</v>
      </c>
      <c r="DX30" s="5" t="str">
        <f t="shared" si="68"/>
        <v>Produce de forma oral y escrita frases y parrafos cortos en Ingles, utilizando correctamente las estructuras conocidas para describir rutinas, narrar experiencias y participar en conversaciones.</v>
      </c>
      <c r="DY30" s="5" t="str">
        <f t="shared" si="68"/>
        <v>Muestra disposicion positiva hacia el aprendizaje del Ingles participando activamente en clase.</v>
      </c>
      <c r="DZ30" s="5" t="str">
        <f t="shared" si="68"/>
        <v>Identifica vocabulario en Ingles  de situaciones cotidianas.</v>
      </c>
      <c r="EA30" s="5" t="str">
        <f t="shared" si="68"/>
        <v>Participa en actividades utilizando vocabulario aprendido para expresar gustos,emociones y necesidades.</v>
      </c>
      <c r="EB30" s="5" t="str">
        <f t="shared" si="68"/>
        <v>Respeta la opinion de los demas, muestra disposicion para participar en actividades orales.</v>
      </c>
      <c r="EC30" s="5" t="str">
        <f t="shared" si="68"/>
        <v>Identifica la conformación y funcionamiento del sistema inmunolófico y diferencia las característics de los estados de la materia.</v>
      </c>
      <c r="ED30" s="5" t="str">
        <f t="shared" si="68"/>
        <v>Reconoce experimentalmente las características de materiales en los diferentes estados de la materia.</v>
      </c>
      <c r="EE30" s="5" t="str">
        <f t="shared" si="68"/>
        <v xml:space="preserve">Valora la importancia de tener habitos saludables, para lograr el mantenimiento saludable del sistema inmune. </v>
      </c>
      <c r="EF30" s="5" t="str">
        <f t="shared" si="68"/>
        <v>Describe correctamente la secuencia de eventos biologicos de la fecundacion,incluyendo las recciones acrosomicas,la funcion de gametos y la formacion de gametos.</v>
      </c>
      <c r="EG30" s="5" t="str">
        <f t="shared" si="68"/>
        <v>Mide la capacidad del labolatrio para lograr la fecundacion exitosa de los ovulos con el espermatozoide.</v>
      </c>
      <c r="EH30" s="5" t="str">
        <f t="shared" si="68"/>
        <v>Valora la importancia del cuidado del cuerpo y de la salud reproductiva como la base para una fecundacion saludable.</v>
      </c>
      <c r="EI30" s="5" t="str">
        <f t="shared" si="68"/>
        <v>Explico las principales caracteristicas de algunas revoluciones de los siglos XVIII y XIX (Revolucion francesa, Industrial...)</v>
      </c>
      <c r="EJ30" s="5" t="str">
        <f t="shared" si="68"/>
        <v>Analiza las causas y consecuencias de procesos historicos como la Revolucion Industrial y Francesa.</v>
      </c>
      <c r="EK30" s="5" t="str">
        <f t="shared" si="68"/>
        <v>Muestra interes y curiosidad por comprender los procesos historicos y su impacto en la sociedad.</v>
      </c>
      <c r="EL30" s="5" t="str">
        <f t="shared" si="68"/>
        <v xml:space="preserve">Identifica los procesos historicos de algunas revoluciones de los siglos XVIII y XIX </v>
      </c>
      <c r="EM30" s="5">
        <f t="shared" si="68"/>
        <v>0</v>
      </c>
      <c r="EN30" s="5">
        <f t="shared" si="68"/>
        <v>0</v>
      </c>
      <c r="EO30" s="5" t="str">
        <f t="shared" si="68"/>
        <v xml:space="preserve">Comprende la distribucion espacial de la poblacion antes y despues de las revoluciones </v>
      </c>
      <c r="EP30" s="5" t="str">
        <f t="shared" si="68"/>
        <v xml:space="preserve">Ubica en mapas las regiones donde se desarrollaron las principales revoluciones y explica sus caracteristicas geograficas </v>
      </c>
      <c r="EQ30" s="5" t="str">
        <f t="shared" si="68"/>
        <v>Muestra interes por comprender la relacion entre sociedad, economia y territorio</v>
      </c>
      <c r="ER30" s="5" t="str">
        <f t="shared" si="68"/>
        <v>Comprende el concepto de cultura de paz y su importancia en la sociedad</v>
      </c>
      <c r="ES30" s="5" t="str">
        <f t="shared" si="68"/>
        <v>Practica normas de convivencia en diferentes espacios( aula, hogar, comunidad)</v>
      </c>
      <c r="ET30" s="5" t="str">
        <f t="shared" si="68"/>
        <v>Muestra actitud de respeto hacia la diversidad cuktural, social y de pensamiento</v>
      </c>
      <c r="EU30" s="5">
        <f t="shared" si="68"/>
        <v>0</v>
      </c>
      <c r="EV30" s="5">
        <f t="shared" si="68"/>
        <v>0</v>
      </c>
      <c r="EW30" s="5">
        <f t="shared" si="68"/>
        <v>0</v>
      </c>
      <c r="EX30" s="5">
        <f t="shared" si="68"/>
        <v>0</v>
      </c>
      <c r="EY30" s="5">
        <f t="shared" si="68"/>
        <v>0</v>
      </c>
      <c r="EZ30" s="5">
        <f t="shared" si="68"/>
        <v>0</v>
      </c>
      <c r="FA30" s="5">
        <f t="shared" si="68"/>
        <v>0</v>
      </c>
      <c r="FB30" s="5">
        <f t="shared" si="68"/>
        <v>0</v>
      </c>
      <c r="FC30" s="5">
        <f t="shared" si="68"/>
        <v>0</v>
      </c>
      <c r="FD30" s="5" t="str">
        <f t="shared" si="68"/>
        <v xml:space="preserve"> Identifica las expresiones motrices relacionadas con el juego del voleibol,  como una oportunidad para mejorar la salud, la estética y las relaciones con los demás.</v>
      </c>
      <c r="FE30" s="5" t="str">
        <f t="shared" si="68"/>
        <v>Pone en práctica los fundamentos básicos del voleibol.</v>
      </c>
      <c r="FF30" s="5" t="str">
        <f t="shared" si="68"/>
        <v>Muestra  responsabilidad y buena actitud al realizar el juego de voleibol.</v>
      </c>
      <c r="FG30" s="5" t="str">
        <f t="shared" si="68"/>
        <v>Comprende el concepto de variable como espacio de almacenamiento de datos y reconoce el uso de estructuras condicionales (si, si-no) para la toma de decisiones en un programa.</v>
      </c>
      <c r="FH30" s="5" t="str">
        <f t="shared" si="68"/>
        <v>Diseña y desarrolla programas que utilizan variables y estructuras condicionales para resolver problemas, evaluando condiciones y generando respuestas según diferentes situaciones.</v>
      </c>
      <c r="FI30" s="5" t="str">
        <f t="shared" si="68"/>
        <v>Muestra pensamiento lógico, perseverancia y actitud crítica al analizar errores y proponer soluciones en la construcción de programas con variables y condicionales.</v>
      </c>
      <c r="FJ30" s="5" t="str">
        <f t="shared" si="68"/>
        <v>Identifica y reconoce sus pricipales deberes y derechos dentro y fuera  de la Institución educativa.</v>
      </c>
    </row>
    <row r="31" spans="1:166" ht="15.75" customHeight="1">
      <c r="A31" s="5">
        <v>30</v>
      </c>
      <c r="B31" s="5" t="s">
        <v>102</v>
      </c>
      <c r="C31" s="6">
        <v>1097120471</v>
      </c>
      <c r="D31" s="5" t="s">
        <v>68</v>
      </c>
      <c r="E31" s="5" t="s">
        <v>69</v>
      </c>
      <c r="F31" s="5" t="s">
        <v>70</v>
      </c>
      <c r="G31" s="5" t="s">
        <v>71</v>
      </c>
      <c r="H31" s="5">
        <v>2026</v>
      </c>
      <c r="I31" s="5">
        <v>4</v>
      </c>
      <c r="J31" s="7">
        <v>3</v>
      </c>
      <c r="K31" s="7">
        <v>3.1</v>
      </c>
      <c r="L31" s="7">
        <v>3.2</v>
      </c>
      <c r="M31" s="5">
        <f t="shared" si="0"/>
        <v>3.1</v>
      </c>
      <c r="N31" s="5" t="str">
        <f t="shared" si="1"/>
        <v>BASICO</v>
      </c>
      <c r="O31" s="5">
        <v>1</v>
      </c>
      <c r="P31" s="7">
        <v>3.8</v>
      </c>
      <c r="Q31" s="7">
        <v>3.8</v>
      </c>
      <c r="R31" s="7">
        <v>3.8</v>
      </c>
      <c r="S31" s="5">
        <f t="shared" si="2"/>
        <v>3.8</v>
      </c>
      <c r="T31" s="5" t="str">
        <f t="shared" si="3"/>
        <v>BASICO</v>
      </c>
      <c r="U31" s="5">
        <v>4</v>
      </c>
      <c r="V31" s="7">
        <v>4</v>
      </c>
      <c r="W31" s="7">
        <v>4</v>
      </c>
      <c r="X31" s="7">
        <v>4</v>
      </c>
      <c r="Y31" s="5">
        <f t="shared" si="4"/>
        <v>4</v>
      </c>
      <c r="Z31" s="5" t="str">
        <f t="shared" si="5"/>
        <v>ALTO</v>
      </c>
      <c r="AA31" s="5">
        <v>1</v>
      </c>
      <c r="AB31" s="7">
        <v>3.2</v>
      </c>
      <c r="AC31" s="7">
        <v>3.2</v>
      </c>
      <c r="AD31" s="7">
        <v>3.2</v>
      </c>
      <c r="AE31" s="5">
        <f t="shared" si="6"/>
        <v>3.2</v>
      </c>
      <c r="AF31" s="5" t="str">
        <f t="shared" si="7"/>
        <v>BASICO</v>
      </c>
      <c r="AG31" s="5">
        <v>2</v>
      </c>
      <c r="AH31" s="8">
        <v>4</v>
      </c>
      <c r="AI31" s="8">
        <v>3.5</v>
      </c>
      <c r="AJ31" s="8">
        <v>3.5</v>
      </c>
      <c r="AK31" s="5">
        <f t="shared" si="8"/>
        <v>3.6500000000000004</v>
      </c>
      <c r="AL31" s="5" t="str">
        <f t="shared" si="9"/>
        <v>BASICO</v>
      </c>
      <c r="AM31" s="5">
        <v>1</v>
      </c>
      <c r="AN31" s="8">
        <v>4</v>
      </c>
      <c r="AO31" s="8">
        <v>3.5</v>
      </c>
      <c r="AP31" s="8">
        <v>3.5</v>
      </c>
      <c r="AQ31" s="5">
        <f t="shared" si="10"/>
        <v>3.6500000000000004</v>
      </c>
      <c r="AR31" s="5" t="str">
        <f t="shared" si="11"/>
        <v>BASICO</v>
      </c>
      <c r="AS31" s="5">
        <v>4</v>
      </c>
      <c r="AT31" s="7">
        <v>3.8</v>
      </c>
      <c r="AU31" s="7">
        <v>3.8</v>
      </c>
      <c r="AV31" s="7">
        <v>3.8</v>
      </c>
      <c r="AW31" s="5">
        <f t="shared" si="12"/>
        <v>3.8</v>
      </c>
      <c r="AX31" s="5" t="str">
        <f t="shared" si="53"/>
        <v>BASICO</v>
      </c>
      <c r="AY31" s="5">
        <v>1</v>
      </c>
      <c r="AZ31" s="7">
        <v>4.5</v>
      </c>
      <c r="BA31" s="7">
        <v>4.5</v>
      </c>
      <c r="BB31" s="7">
        <v>4.5</v>
      </c>
      <c r="BC31" s="5">
        <f t="shared" si="14"/>
        <v>4.5</v>
      </c>
      <c r="BD31" s="5" t="str">
        <f t="shared" si="15"/>
        <v>SUPERIOR</v>
      </c>
      <c r="BE31" s="7">
        <v>2</v>
      </c>
      <c r="BF31" s="7">
        <v>3.5</v>
      </c>
      <c r="BG31" s="7">
        <v>3.3</v>
      </c>
      <c r="BH31" s="7">
        <v>3.8</v>
      </c>
      <c r="BI31" s="5">
        <f t="shared" si="16"/>
        <v>3.51</v>
      </c>
      <c r="BJ31" s="5" t="str">
        <f t="shared" si="48"/>
        <v>BASICO</v>
      </c>
      <c r="BK31" s="5">
        <v>1</v>
      </c>
      <c r="BL31" s="7">
        <v>3.3</v>
      </c>
      <c r="BM31" s="7">
        <v>3.8</v>
      </c>
      <c r="BN31" s="7">
        <v>3.6</v>
      </c>
      <c r="BO31" s="5">
        <f t="shared" si="59"/>
        <v>3.59</v>
      </c>
      <c r="BP31" s="5" t="str">
        <f t="shared" si="19"/>
        <v>BASICO</v>
      </c>
      <c r="BQ31" s="5">
        <v>1</v>
      </c>
      <c r="BR31" s="7">
        <v>3.5</v>
      </c>
      <c r="BS31" s="7">
        <v>3.4</v>
      </c>
      <c r="BT31" s="7">
        <v>3.8</v>
      </c>
      <c r="BU31" s="5">
        <f t="shared" si="20"/>
        <v>3.55</v>
      </c>
      <c r="BV31" s="5" t="str">
        <f t="shared" si="21"/>
        <v>BASICO</v>
      </c>
      <c r="BW31" s="5">
        <v>1</v>
      </c>
      <c r="BX31" s="7">
        <v>3.5</v>
      </c>
      <c r="BY31" s="7">
        <v>3.8</v>
      </c>
      <c r="BZ31" s="7">
        <v>3.6</v>
      </c>
      <c r="CA31" s="5">
        <f t="shared" si="22"/>
        <v>3.6500000000000004</v>
      </c>
      <c r="CB31" s="5" t="str">
        <f t="shared" si="23"/>
        <v>BASICO</v>
      </c>
      <c r="CC31" s="5">
        <v>1</v>
      </c>
      <c r="CD31" s="7">
        <v>4.8</v>
      </c>
      <c r="CE31" s="7">
        <v>4.8</v>
      </c>
      <c r="CF31" s="7">
        <v>4.8</v>
      </c>
      <c r="CG31" s="5">
        <f t="shared" si="24"/>
        <v>4.8</v>
      </c>
      <c r="CH31" s="5" t="str">
        <f t="shared" si="25"/>
        <v>SUPERIOR</v>
      </c>
      <c r="CI31" s="5">
        <v>1</v>
      </c>
      <c r="CJ31" s="7">
        <v>4.5</v>
      </c>
      <c r="CK31" s="7">
        <v>4.5</v>
      </c>
      <c r="CL31" s="7">
        <v>4</v>
      </c>
      <c r="CM31" s="5">
        <f t="shared" si="26"/>
        <v>4.3499999999999996</v>
      </c>
      <c r="CN31" s="5" t="str">
        <f t="shared" si="27"/>
        <v>ALTO</v>
      </c>
      <c r="CO31" s="5">
        <v>1</v>
      </c>
      <c r="CP31" s="7">
        <v>5</v>
      </c>
      <c r="CQ31" s="7">
        <v>5</v>
      </c>
      <c r="CR31" s="7">
        <v>5</v>
      </c>
      <c r="CS31" s="5">
        <f t="shared" si="28"/>
        <v>5</v>
      </c>
      <c r="CT31" s="5" t="str">
        <f t="shared" si="29"/>
        <v>SUPERIOR</v>
      </c>
      <c r="CU31" s="5">
        <v>2</v>
      </c>
      <c r="CV31" s="7">
        <v>3</v>
      </c>
      <c r="CW31" s="7">
        <v>3</v>
      </c>
      <c r="CX31" s="7">
        <v>3</v>
      </c>
      <c r="CY31" s="5">
        <f t="shared" si="30"/>
        <v>3</v>
      </c>
      <c r="CZ31" s="5" t="str">
        <f t="shared" si="31"/>
        <v>BASICO</v>
      </c>
      <c r="DA31" s="5">
        <v>2</v>
      </c>
      <c r="DB31" s="7">
        <v>3</v>
      </c>
      <c r="DC31" s="7">
        <v>3</v>
      </c>
      <c r="DD31" s="7">
        <v>3</v>
      </c>
      <c r="DE31" s="5">
        <f t="shared" si="32"/>
        <v>3</v>
      </c>
      <c r="DF31" s="5" t="str">
        <f t="shared" si="33"/>
        <v>BASICO</v>
      </c>
      <c r="DG31" s="5">
        <v>0</v>
      </c>
      <c r="DH31" s="7"/>
      <c r="DI31" s="5" t="str">
        <f t="shared" si="34"/>
        <v>BAJO</v>
      </c>
      <c r="DJ31" s="5">
        <f t="shared" si="35"/>
        <v>3.7874999999999996</v>
      </c>
      <c r="DK31" s="5" t="str">
        <f t="shared" si="36"/>
        <v>Comprende el concepto de números reales, su relación de orden y las propiedades de sus operaciones, así como las relaciones de semejanza y congruencia de distintas figuras geométricas.</v>
      </c>
      <c r="DL31" s="5" t="str">
        <f t="shared" ref="DL31:FJ31" si="69">DL30</f>
        <v>Aplica correctamente las propiedades de las operaciones de números reales y expresiones algebraicas en la resolución de problemas.</v>
      </c>
      <c r="DM31" s="5" t="str">
        <f t="shared" si="69"/>
        <v>Valora el uso del pensamiento lógico a la hora de plantear y resolver problemas de las matemáticas y de la vida cotidiana.</v>
      </c>
      <c r="DN31" s="5" t="str">
        <f t="shared" si="6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1" s="5" t="str">
        <f t="shared" si="69"/>
        <v>Organiza y analiza datos mediante la construcción de tablas de frecuencias y diagramas estadísticos, identificando variables aleatorias y utilizando estas representaciones para resolver situaciones problema.</v>
      </c>
      <c r="DP31" s="5" t="str">
        <f t="shared" si="69"/>
        <v>Muestra disposición y responsabilidad en el manejo y análisis de datos, participando activamente en actividades individuales y colaborativas, y comunicando información estadística con claridad y sentido crítico.</v>
      </c>
      <c r="DQ31" s="5" t="str">
        <f t="shared" si="69"/>
        <v>Analiza las características de la literatura prehispánica y la literatura del descubrimiento y la conquista en Colombia identificando sus elementos fundamentales y su impacto en la cultura y el lenguaje actual.</v>
      </c>
      <c r="DR31" s="5" t="str">
        <f t="shared" si="69"/>
        <v>Realiza comprensión lectora cuando analiza un texto desde el discurso de la Enunciación e identifica la función de cada uno de sus componentes.
Responde preguntas en los tres niveles de lectura a una leyenda del Caribe.</v>
      </c>
      <c r="DS31" s="5" t="str">
        <f t="shared" si="69"/>
        <v>Muestra disposición para participar activamente en las clases, promoviendo el respeto por las ideas ajenas y reconociendo la importancia de la precisión como una herramienta clave para una comunicación</v>
      </c>
      <c r="DT31" s="5" t="str">
        <f t="shared" si="69"/>
        <v>Comprende el contenido del cuento A la deriva, identificando su tema central, la secuencia de los hechos, los personajes y las ideas explícitas e implícitas del texto.</v>
      </c>
      <c r="DU31" s="5" t="str">
        <f t="shared" si="69"/>
        <v>Analiza críticamente el cuento A la deriva mediante la identificación de información literal, inferencial y crítica, sustentando sus respuestas de forma oral y escrita.</v>
      </c>
      <c r="DV31" s="5" t="str">
        <f t="shared" si="69"/>
        <v>Valora la lectura literaria como una oportunidad para reflexionar sobre la vida, la naturaleza y la condición humana, participando con interés, respeto y sentido crítico en las actividades propuestas.</v>
      </c>
      <c r="DW31" s="5" t="str">
        <f t="shared" si="69"/>
        <v>Comprende y reconoce vocabulario y estructuras basicas del ingles para interpretar textos cortos y conversaciones sobre temas cotidianos de la vida diaria.</v>
      </c>
      <c r="DX31" s="5" t="str">
        <f t="shared" si="69"/>
        <v>Produce de forma oral y escrita frases y parrafos cortos en Ingles, utilizando correctamente las estructuras conocidas para describir rutinas, narrar experiencias y participar en conversaciones.</v>
      </c>
      <c r="DY31" s="5" t="str">
        <f t="shared" si="69"/>
        <v>Muestra disposicion positiva hacia el aprendizaje del Ingles participando activamente en clase.</v>
      </c>
      <c r="DZ31" s="5" t="str">
        <f t="shared" si="69"/>
        <v>Identifica vocabulario en Ingles  de situaciones cotidianas.</v>
      </c>
      <c r="EA31" s="5" t="str">
        <f t="shared" si="69"/>
        <v>Participa en actividades utilizando vocabulario aprendido para expresar gustos,emociones y necesidades.</v>
      </c>
      <c r="EB31" s="5" t="str">
        <f t="shared" si="69"/>
        <v>Respeta la opinion de los demas, muestra disposicion para participar en actividades orales.</v>
      </c>
      <c r="EC31" s="5" t="str">
        <f t="shared" si="69"/>
        <v>Identifica la conformación y funcionamiento del sistema inmunolófico y diferencia las característics de los estados de la materia.</v>
      </c>
      <c r="ED31" s="5" t="str">
        <f t="shared" si="69"/>
        <v>Reconoce experimentalmente las características de materiales en los diferentes estados de la materia.</v>
      </c>
      <c r="EE31" s="5" t="str">
        <f t="shared" si="69"/>
        <v xml:space="preserve">Valora la importancia de tener habitos saludables, para lograr el mantenimiento saludable del sistema inmune. </v>
      </c>
      <c r="EF31" s="5" t="str">
        <f t="shared" si="69"/>
        <v>Describe correctamente la secuencia de eventos biologicos de la fecundacion,incluyendo las recciones acrosomicas,la funcion de gametos y la formacion de gametos.</v>
      </c>
      <c r="EG31" s="5" t="str">
        <f t="shared" si="69"/>
        <v>Mide la capacidad del labolatrio para lograr la fecundacion exitosa de los ovulos con el espermatozoide.</v>
      </c>
      <c r="EH31" s="5" t="str">
        <f t="shared" si="69"/>
        <v>Valora la importancia del cuidado del cuerpo y de la salud reproductiva como la base para una fecundacion saludable.</v>
      </c>
      <c r="EI31" s="5" t="str">
        <f t="shared" si="69"/>
        <v>Explico las principales caracteristicas de algunas revoluciones de los siglos XVIII y XIX (Revolucion francesa, Industrial...)</v>
      </c>
      <c r="EJ31" s="5" t="str">
        <f t="shared" si="69"/>
        <v>Analiza las causas y consecuencias de procesos historicos como la Revolucion Industrial y Francesa.</v>
      </c>
      <c r="EK31" s="5" t="str">
        <f t="shared" si="69"/>
        <v>Muestra interes y curiosidad por comprender los procesos historicos y su impacto en la sociedad.</v>
      </c>
      <c r="EL31" s="5" t="str">
        <f t="shared" si="69"/>
        <v xml:space="preserve">Identifica los procesos historicos de algunas revoluciones de los siglos XVIII y XIX </v>
      </c>
      <c r="EM31" s="5">
        <f t="shared" si="69"/>
        <v>0</v>
      </c>
      <c r="EN31" s="5">
        <f t="shared" si="69"/>
        <v>0</v>
      </c>
      <c r="EO31" s="5" t="str">
        <f t="shared" si="69"/>
        <v xml:space="preserve">Comprende la distribucion espacial de la poblacion antes y despues de las revoluciones </v>
      </c>
      <c r="EP31" s="5" t="str">
        <f t="shared" si="69"/>
        <v xml:space="preserve">Ubica en mapas las regiones donde se desarrollaron las principales revoluciones y explica sus caracteristicas geograficas </v>
      </c>
      <c r="EQ31" s="5" t="str">
        <f t="shared" si="69"/>
        <v>Muestra interes por comprender la relacion entre sociedad, economia y territorio</v>
      </c>
      <c r="ER31" s="5" t="str">
        <f t="shared" si="69"/>
        <v>Comprende el concepto de cultura de paz y su importancia en la sociedad</v>
      </c>
      <c r="ES31" s="5" t="str">
        <f t="shared" si="69"/>
        <v>Practica normas de convivencia en diferentes espacios( aula, hogar, comunidad)</v>
      </c>
      <c r="ET31" s="5" t="str">
        <f t="shared" si="69"/>
        <v>Muestra actitud de respeto hacia la diversidad cuktural, social y de pensamiento</v>
      </c>
      <c r="EU31" s="5">
        <f t="shared" si="69"/>
        <v>0</v>
      </c>
      <c r="EV31" s="5">
        <f t="shared" si="69"/>
        <v>0</v>
      </c>
      <c r="EW31" s="5">
        <f t="shared" si="69"/>
        <v>0</v>
      </c>
      <c r="EX31" s="5">
        <f t="shared" si="69"/>
        <v>0</v>
      </c>
      <c r="EY31" s="5">
        <f t="shared" si="69"/>
        <v>0</v>
      </c>
      <c r="EZ31" s="5">
        <f t="shared" si="69"/>
        <v>0</v>
      </c>
      <c r="FA31" s="5">
        <f t="shared" si="69"/>
        <v>0</v>
      </c>
      <c r="FB31" s="5">
        <f t="shared" si="69"/>
        <v>0</v>
      </c>
      <c r="FC31" s="5">
        <f t="shared" si="69"/>
        <v>0</v>
      </c>
      <c r="FD31" s="5" t="str">
        <f t="shared" si="69"/>
        <v xml:space="preserve"> Identifica las expresiones motrices relacionadas con el juego del voleibol,  como una oportunidad para mejorar la salud, la estética y las relaciones con los demás.</v>
      </c>
      <c r="FE31" s="5" t="str">
        <f t="shared" si="69"/>
        <v>Pone en práctica los fundamentos básicos del voleibol.</v>
      </c>
      <c r="FF31" s="5" t="str">
        <f t="shared" si="69"/>
        <v>Muestra  responsabilidad y buena actitud al realizar el juego de voleibol.</v>
      </c>
      <c r="FG31" s="5" t="str">
        <f t="shared" si="69"/>
        <v>Comprende el concepto de variable como espacio de almacenamiento de datos y reconoce el uso de estructuras condicionales (si, si-no) para la toma de decisiones en un programa.</v>
      </c>
      <c r="FH31" s="5" t="str">
        <f t="shared" si="69"/>
        <v>Diseña y desarrolla programas que utilizan variables y estructuras condicionales para resolver problemas, evaluando condiciones y generando respuestas según diferentes situaciones.</v>
      </c>
      <c r="FI31" s="5" t="str">
        <f t="shared" si="69"/>
        <v>Muestra pensamiento lógico, perseverancia y actitud crítica al analizar errores y proponer soluciones en la construcción de programas con variables y condicionales.</v>
      </c>
      <c r="FJ31" s="5" t="str">
        <f t="shared" si="69"/>
        <v>Identifica y reconoce sus pricipales deberes y derechos dentro y fuera  de la Institución educativa.</v>
      </c>
    </row>
    <row r="32" spans="1:166" ht="15.75" customHeight="1">
      <c r="A32" s="5">
        <v>31</v>
      </c>
      <c r="B32" s="5" t="s">
        <v>103</v>
      </c>
      <c r="C32" s="6">
        <v>1044647612</v>
      </c>
      <c r="D32" s="5" t="s">
        <v>68</v>
      </c>
      <c r="E32" s="5" t="s">
        <v>69</v>
      </c>
      <c r="F32" s="5" t="s">
        <v>70</v>
      </c>
      <c r="G32" s="5" t="s">
        <v>71</v>
      </c>
      <c r="H32" s="5">
        <v>2026</v>
      </c>
      <c r="I32" s="5">
        <v>4</v>
      </c>
      <c r="J32" s="7">
        <v>3</v>
      </c>
      <c r="K32" s="7">
        <v>3</v>
      </c>
      <c r="L32" s="7">
        <v>3</v>
      </c>
      <c r="M32" s="5">
        <f t="shared" si="0"/>
        <v>3</v>
      </c>
      <c r="N32" s="5" t="str">
        <f t="shared" si="1"/>
        <v>BASICO</v>
      </c>
      <c r="O32" s="5">
        <v>1</v>
      </c>
      <c r="P32" s="7">
        <v>2.2999999999999998</v>
      </c>
      <c r="Q32" s="7">
        <v>2.2999999999999998</v>
      </c>
      <c r="R32" s="7">
        <v>2.2999999999999998</v>
      </c>
      <c r="S32" s="5">
        <f t="shared" si="2"/>
        <v>2.2999999999999998</v>
      </c>
      <c r="T32" s="5" t="str">
        <f t="shared" si="3"/>
        <v>BAJO</v>
      </c>
      <c r="U32" s="5">
        <v>4</v>
      </c>
      <c r="V32" s="7">
        <v>2.8</v>
      </c>
      <c r="W32" s="7">
        <v>2.5</v>
      </c>
      <c r="X32" s="7">
        <v>3.5</v>
      </c>
      <c r="Y32" s="5">
        <f t="shared" si="4"/>
        <v>2.8899999999999997</v>
      </c>
      <c r="Z32" s="5" t="str">
        <f t="shared" si="5"/>
        <v>BAJO</v>
      </c>
      <c r="AA32" s="5">
        <v>1</v>
      </c>
      <c r="AB32" s="7">
        <v>3.7</v>
      </c>
      <c r="AC32" s="7">
        <v>3.7</v>
      </c>
      <c r="AD32" s="7">
        <v>3.7</v>
      </c>
      <c r="AE32" s="5">
        <f t="shared" si="6"/>
        <v>3.7</v>
      </c>
      <c r="AF32" s="5" t="str">
        <f t="shared" si="7"/>
        <v>BASICO</v>
      </c>
      <c r="AG32" s="5">
        <v>2</v>
      </c>
      <c r="AH32" s="8">
        <v>3</v>
      </c>
      <c r="AI32" s="8">
        <v>3</v>
      </c>
      <c r="AJ32" s="8">
        <v>3</v>
      </c>
      <c r="AK32" s="5">
        <f t="shared" si="8"/>
        <v>3</v>
      </c>
      <c r="AL32" s="5" t="str">
        <f t="shared" si="9"/>
        <v>BASICO</v>
      </c>
      <c r="AM32" s="5">
        <v>1</v>
      </c>
      <c r="AN32" s="8">
        <v>3</v>
      </c>
      <c r="AO32" s="8">
        <v>3</v>
      </c>
      <c r="AP32" s="8">
        <v>3</v>
      </c>
      <c r="AQ32" s="5">
        <f t="shared" si="10"/>
        <v>3</v>
      </c>
      <c r="AR32" s="5" t="str">
        <f t="shared" si="11"/>
        <v>BASICO</v>
      </c>
      <c r="AS32" s="5">
        <v>4</v>
      </c>
      <c r="AT32" s="7">
        <v>3</v>
      </c>
      <c r="AU32" s="7">
        <v>3</v>
      </c>
      <c r="AV32" s="7">
        <v>3</v>
      </c>
      <c r="AW32" s="5">
        <f t="shared" si="12"/>
        <v>3</v>
      </c>
      <c r="AX32" s="5" t="str">
        <f t="shared" si="53"/>
        <v>BASICO</v>
      </c>
      <c r="AY32" s="5">
        <v>1</v>
      </c>
      <c r="AZ32" s="7">
        <v>5</v>
      </c>
      <c r="BA32" s="7">
        <v>4.5</v>
      </c>
      <c r="BB32" s="7">
        <v>4.5</v>
      </c>
      <c r="BC32" s="5">
        <f t="shared" si="14"/>
        <v>4.6499999999999995</v>
      </c>
      <c r="BD32" s="5" t="str">
        <f t="shared" si="15"/>
        <v>SUPERIOR</v>
      </c>
      <c r="BE32" s="7">
        <v>2</v>
      </c>
      <c r="BF32" s="7">
        <v>3.3</v>
      </c>
      <c r="BG32" s="7">
        <v>3.3</v>
      </c>
      <c r="BH32" s="7">
        <v>3.4</v>
      </c>
      <c r="BI32" s="5">
        <f t="shared" si="16"/>
        <v>3.33</v>
      </c>
      <c r="BJ32" s="5" t="str">
        <f t="shared" si="48"/>
        <v>BASICO</v>
      </c>
      <c r="BK32" s="5">
        <v>1</v>
      </c>
      <c r="BL32" s="7">
        <v>3.2</v>
      </c>
      <c r="BM32" s="7">
        <v>3.3</v>
      </c>
      <c r="BN32" s="7">
        <v>3.2</v>
      </c>
      <c r="BO32" s="5">
        <f t="shared" si="59"/>
        <v>3.24</v>
      </c>
      <c r="BP32" s="5" t="str">
        <f t="shared" si="19"/>
        <v>BASICO</v>
      </c>
      <c r="BQ32" s="5">
        <v>1</v>
      </c>
      <c r="BR32" s="7">
        <v>3.4</v>
      </c>
      <c r="BS32" s="7">
        <v>3.3</v>
      </c>
      <c r="BT32" s="7">
        <v>3.2</v>
      </c>
      <c r="BU32" s="5">
        <f t="shared" si="20"/>
        <v>3.3</v>
      </c>
      <c r="BV32" s="5" t="str">
        <f t="shared" si="21"/>
        <v>BASICO</v>
      </c>
      <c r="BW32" s="5">
        <v>1</v>
      </c>
      <c r="BX32" s="7">
        <v>2</v>
      </c>
      <c r="BY32" s="7">
        <v>2</v>
      </c>
      <c r="BZ32" s="7">
        <v>2</v>
      </c>
      <c r="CA32" s="5">
        <f t="shared" si="22"/>
        <v>2</v>
      </c>
      <c r="CB32" s="5" t="str">
        <f t="shared" si="23"/>
        <v>BAJO</v>
      </c>
      <c r="CC32" s="5">
        <v>1</v>
      </c>
      <c r="CD32" s="7">
        <v>2</v>
      </c>
      <c r="CE32" s="7">
        <v>2</v>
      </c>
      <c r="CF32" s="7">
        <v>2</v>
      </c>
      <c r="CG32" s="5">
        <f t="shared" si="24"/>
        <v>2</v>
      </c>
      <c r="CH32" s="5" t="str">
        <f t="shared" si="25"/>
        <v>BAJO</v>
      </c>
      <c r="CI32" s="5">
        <v>1</v>
      </c>
      <c r="CJ32" s="7">
        <v>4</v>
      </c>
      <c r="CK32" s="7">
        <v>4</v>
      </c>
      <c r="CL32" s="7">
        <v>4</v>
      </c>
      <c r="CM32" s="5">
        <f t="shared" si="26"/>
        <v>4</v>
      </c>
      <c r="CN32" s="5" t="str">
        <f t="shared" si="27"/>
        <v>ALTO</v>
      </c>
      <c r="CO32" s="5">
        <v>1</v>
      </c>
      <c r="CP32" s="7">
        <v>5</v>
      </c>
      <c r="CQ32" s="7">
        <v>5</v>
      </c>
      <c r="CR32" s="7">
        <v>5</v>
      </c>
      <c r="CS32" s="5">
        <f t="shared" si="28"/>
        <v>5</v>
      </c>
      <c r="CT32" s="5" t="str">
        <f t="shared" si="29"/>
        <v>SUPERIOR</v>
      </c>
      <c r="CU32" s="5">
        <v>2</v>
      </c>
      <c r="CV32" s="7">
        <v>2</v>
      </c>
      <c r="CW32" s="7">
        <v>2</v>
      </c>
      <c r="CX32" s="7">
        <v>2</v>
      </c>
      <c r="CY32" s="5">
        <f t="shared" si="30"/>
        <v>2</v>
      </c>
      <c r="CZ32" s="5" t="str">
        <f t="shared" si="31"/>
        <v>BAJO</v>
      </c>
      <c r="DA32" s="5">
        <v>2</v>
      </c>
      <c r="DB32" s="7">
        <v>3</v>
      </c>
      <c r="DC32" s="7">
        <v>3</v>
      </c>
      <c r="DD32" s="7">
        <v>3</v>
      </c>
      <c r="DE32" s="5">
        <f t="shared" si="32"/>
        <v>3</v>
      </c>
      <c r="DF32" s="5" t="str">
        <f t="shared" si="33"/>
        <v>BASICO</v>
      </c>
      <c r="DG32" s="5">
        <v>0</v>
      </c>
      <c r="DH32" s="7"/>
      <c r="DI32" s="5" t="str">
        <f t="shared" si="34"/>
        <v>BAJO</v>
      </c>
      <c r="DJ32" s="5">
        <f t="shared" si="35"/>
        <v>3.131875</v>
      </c>
      <c r="DK32" s="5" t="str">
        <f t="shared" si="36"/>
        <v>Comprende el concepto de números reales, su relación de orden y las propiedades de sus operaciones, así como las relaciones de semejanza y congruencia de distintas figuras geométricas.</v>
      </c>
      <c r="DL32" s="5" t="str">
        <f t="shared" ref="DL32:FJ32" si="70">DL31</f>
        <v>Aplica correctamente las propiedades de las operaciones de números reales y expresiones algebraicas en la resolución de problemas.</v>
      </c>
      <c r="DM32" s="5" t="str">
        <f t="shared" si="70"/>
        <v>Valora el uso del pensamiento lógico a la hora de plantear y resolver problemas de las matemáticas y de la vida cotidiana.</v>
      </c>
      <c r="DN32" s="5" t="str">
        <f t="shared" si="7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2" s="5" t="str">
        <f t="shared" si="70"/>
        <v>Organiza y analiza datos mediante la construcción de tablas de frecuencias y diagramas estadísticos, identificando variables aleatorias y utilizando estas representaciones para resolver situaciones problema.</v>
      </c>
      <c r="DP32" s="5" t="str">
        <f t="shared" si="70"/>
        <v>Muestra disposición y responsabilidad en el manejo y análisis de datos, participando activamente en actividades individuales y colaborativas, y comunicando información estadística con claridad y sentido crítico.</v>
      </c>
      <c r="DQ32" s="5" t="str">
        <f t="shared" si="70"/>
        <v>Analiza las características de la literatura prehispánica y la literatura del descubrimiento y la conquista en Colombia identificando sus elementos fundamentales y su impacto en la cultura y el lenguaje actual.</v>
      </c>
      <c r="DR32" s="5" t="str">
        <f t="shared" si="70"/>
        <v>Realiza comprensión lectora cuando analiza un texto desde el discurso de la Enunciación e identifica la función de cada uno de sus componentes.
Responde preguntas en los tres niveles de lectura a una leyenda del Caribe.</v>
      </c>
      <c r="DS32" s="5" t="str">
        <f t="shared" si="70"/>
        <v>Muestra disposición para participar activamente en las clases, promoviendo el respeto por las ideas ajenas y reconociendo la importancia de la precisión como una herramienta clave para una comunicación</v>
      </c>
      <c r="DT32" s="5" t="str">
        <f t="shared" si="70"/>
        <v>Comprende el contenido del cuento A la deriva, identificando su tema central, la secuencia de los hechos, los personajes y las ideas explícitas e implícitas del texto.</v>
      </c>
      <c r="DU32" s="5" t="str">
        <f t="shared" si="70"/>
        <v>Analiza críticamente el cuento A la deriva mediante la identificación de información literal, inferencial y crítica, sustentando sus respuestas de forma oral y escrita.</v>
      </c>
      <c r="DV32" s="5" t="str">
        <f t="shared" si="70"/>
        <v>Valora la lectura literaria como una oportunidad para reflexionar sobre la vida, la naturaleza y la condición humana, participando con interés, respeto y sentido crítico en las actividades propuestas.</v>
      </c>
      <c r="DW32" s="5" t="str">
        <f t="shared" si="70"/>
        <v>Comprende y reconoce vocabulario y estructuras basicas del ingles para interpretar textos cortos y conversaciones sobre temas cotidianos de la vida diaria.</v>
      </c>
      <c r="DX32" s="5" t="str">
        <f t="shared" si="70"/>
        <v>Produce de forma oral y escrita frases y parrafos cortos en Ingles, utilizando correctamente las estructuras conocidas para describir rutinas, narrar experiencias y participar en conversaciones.</v>
      </c>
      <c r="DY32" s="5" t="str">
        <f t="shared" si="70"/>
        <v>Muestra disposicion positiva hacia el aprendizaje del Ingles participando activamente en clase.</v>
      </c>
      <c r="DZ32" s="5" t="str">
        <f t="shared" si="70"/>
        <v>Identifica vocabulario en Ingles  de situaciones cotidianas.</v>
      </c>
      <c r="EA32" s="5" t="str">
        <f t="shared" si="70"/>
        <v>Participa en actividades utilizando vocabulario aprendido para expresar gustos,emociones y necesidades.</v>
      </c>
      <c r="EB32" s="5" t="str">
        <f t="shared" si="70"/>
        <v>Respeta la opinion de los demas, muestra disposicion para participar en actividades orales.</v>
      </c>
      <c r="EC32" s="5" t="str">
        <f t="shared" si="70"/>
        <v>Identifica la conformación y funcionamiento del sistema inmunolófico y diferencia las característics de los estados de la materia.</v>
      </c>
      <c r="ED32" s="5" t="str">
        <f t="shared" si="70"/>
        <v>Reconoce experimentalmente las características de materiales en los diferentes estados de la materia.</v>
      </c>
      <c r="EE32" s="5" t="str">
        <f t="shared" si="70"/>
        <v xml:space="preserve">Valora la importancia de tener habitos saludables, para lograr el mantenimiento saludable del sistema inmune. </v>
      </c>
      <c r="EF32" s="5" t="str">
        <f t="shared" si="70"/>
        <v>Describe correctamente la secuencia de eventos biologicos de la fecundacion,incluyendo las recciones acrosomicas,la funcion de gametos y la formacion de gametos.</v>
      </c>
      <c r="EG32" s="5" t="str">
        <f t="shared" si="70"/>
        <v>Mide la capacidad del labolatrio para lograr la fecundacion exitosa de los ovulos con el espermatozoide.</v>
      </c>
      <c r="EH32" s="5" t="str">
        <f t="shared" si="70"/>
        <v>Valora la importancia del cuidado del cuerpo y de la salud reproductiva como la base para una fecundacion saludable.</v>
      </c>
      <c r="EI32" s="5" t="str">
        <f t="shared" si="70"/>
        <v>Explico las principales caracteristicas de algunas revoluciones de los siglos XVIII y XIX (Revolucion francesa, Industrial...)</v>
      </c>
      <c r="EJ32" s="5" t="str">
        <f t="shared" si="70"/>
        <v>Analiza las causas y consecuencias de procesos historicos como la Revolucion Industrial y Francesa.</v>
      </c>
      <c r="EK32" s="5" t="str">
        <f t="shared" si="70"/>
        <v>Muestra interes y curiosidad por comprender los procesos historicos y su impacto en la sociedad.</v>
      </c>
      <c r="EL32" s="5" t="str">
        <f t="shared" si="70"/>
        <v xml:space="preserve">Identifica los procesos historicos de algunas revoluciones de los siglos XVIII y XIX </v>
      </c>
      <c r="EM32" s="5">
        <f t="shared" si="70"/>
        <v>0</v>
      </c>
      <c r="EN32" s="5">
        <f t="shared" si="70"/>
        <v>0</v>
      </c>
      <c r="EO32" s="5" t="str">
        <f t="shared" si="70"/>
        <v xml:space="preserve">Comprende la distribucion espacial de la poblacion antes y despues de las revoluciones </v>
      </c>
      <c r="EP32" s="5" t="str">
        <f t="shared" si="70"/>
        <v xml:space="preserve">Ubica en mapas las regiones donde se desarrollaron las principales revoluciones y explica sus caracteristicas geograficas </v>
      </c>
      <c r="EQ32" s="5" t="str">
        <f t="shared" si="70"/>
        <v>Muestra interes por comprender la relacion entre sociedad, economia y territorio</v>
      </c>
      <c r="ER32" s="5" t="str">
        <f t="shared" si="70"/>
        <v>Comprende el concepto de cultura de paz y su importancia en la sociedad</v>
      </c>
      <c r="ES32" s="5" t="str">
        <f t="shared" si="70"/>
        <v>Practica normas de convivencia en diferentes espacios( aula, hogar, comunidad)</v>
      </c>
      <c r="ET32" s="5" t="str">
        <f t="shared" si="70"/>
        <v>Muestra actitud de respeto hacia la diversidad cuktural, social y de pensamiento</v>
      </c>
      <c r="EU32" s="5">
        <f t="shared" si="70"/>
        <v>0</v>
      </c>
      <c r="EV32" s="5">
        <f t="shared" si="70"/>
        <v>0</v>
      </c>
      <c r="EW32" s="5">
        <f t="shared" si="70"/>
        <v>0</v>
      </c>
      <c r="EX32" s="5">
        <f t="shared" si="70"/>
        <v>0</v>
      </c>
      <c r="EY32" s="5">
        <f t="shared" si="70"/>
        <v>0</v>
      </c>
      <c r="EZ32" s="5">
        <f t="shared" si="70"/>
        <v>0</v>
      </c>
      <c r="FA32" s="5">
        <f t="shared" si="70"/>
        <v>0</v>
      </c>
      <c r="FB32" s="5">
        <f t="shared" si="70"/>
        <v>0</v>
      </c>
      <c r="FC32" s="5">
        <f t="shared" si="70"/>
        <v>0</v>
      </c>
      <c r="FD32" s="5" t="str">
        <f t="shared" si="70"/>
        <v xml:space="preserve"> Identifica las expresiones motrices relacionadas con el juego del voleibol,  como una oportunidad para mejorar la salud, la estética y las relaciones con los demás.</v>
      </c>
      <c r="FE32" s="5" t="str">
        <f t="shared" si="70"/>
        <v>Pone en práctica los fundamentos básicos del voleibol.</v>
      </c>
      <c r="FF32" s="5" t="str">
        <f t="shared" si="70"/>
        <v>Muestra  responsabilidad y buena actitud al realizar el juego de voleibol.</v>
      </c>
      <c r="FG32" s="5" t="str">
        <f t="shared" si="70"/>
        <v>Comprende el concepto de variable como espacio de almacenamiento de datos y reconoce el uso de estructuras condicionales (si, si-no) para la toma de decisiones en un programa.</v>
      </c>
      <c r="FH32" s="5" t="str">
        <f t="shared" si="70"/>
        <v>Diseña y desarrolla programas que utilizan variables y estructuras condicionales para resolver problemas, evaluando condiciones y generando respuestas según diferentes situaciones.</v>
      </c>
      <c r="FI32" s="5" t="str">
        <f t="shared" si="70"/>
        <v>Muestra pensamiento lógico, perseverancia y actitud crítica al analizar errores y proponer soluciones en la construcción de programas con variables y condicionales.</v>
      </c>
      <c r="FJ32" s="5" t="str">
        <f t="shared" si="70"/>
        <v>Identifica y reconoce sus pricipales deberes y derechos dentro y fuera  de la Institución educativa.</v>
      </c>
    </row>
    <row r="33" spans="1:166" ht="15.75" customHeight="1">
      <c r="A33" s="5">
        <v>32</v>
      </c>
      <c r="B33" s="5" t="s">
        <v>104</v>
      </c>
      <c r="C33" s="6">
        <v>1143248227</v>
      </c>
      <c r="D33" s="5" t="s">
        <v>68</v>
      </c>
      <c r="E33" s="5" t="s">
        <v>69</v>
      </c>
      <c r="F33" s="5" t="s">
        <v>70</v>
      </c>
      <c r="G33" s="5" t="s">
        <v>71</v>
      </c>
      <c r="H33" s="5">
        <v>2026</v>
      </c>
      <c r="I33" s="5">
        <v>4</v>
      </c>
      <c r="J33" s="7">
        <v>4</v>
      </c>
      <c r="K33" s="7">
        <v>4.3</v>
      </c>
      <c r="L33" s="7">
        <v>4.5999999999999996</v>
      </c>
      <c r="M33" s="5">
        <f t="shared" si="0"/>
        <v>4.3</v>
      </c>
      <c r="N33" s="5" t="str">
        <f t="shared" si="1"/>
        <v>ALTO</v>
      </c>
      <c r="O33" s="5">
        <v>1</v>
      </c>
      <c r="P33" s="7">
        <v>3.6</v>
      </c>
      <c r="Q33" s="7">
        <v>3.6</v>
      </c>
      <c r="R33" s="7">
        <v>3.6</v>
      </c>
      <c r="S33" s="5">
        <f t="shared" si="2"/>
        <v>3.6000000000000005</v>
      </c>
      <c r="T33" s="5" t="str">
        <f t="shared" si="3"/>
        <v>BASICO</v>
      </c>
      <c r="U33" s="5">
        <v>4</v>
      </c>
      <c r="V33" s="7">
        <v>3.5</v>
      </c>
      <c r="W33" s="7">
        <v>3.8</v>
      </c>
      <c r="X33" s="7">
        <v>4</v>
      </c>
      <c r="Y33" s="5">
        <f t="shared" si="4"/>
        <v>3.7700000000000005</v>
      </c>
      <c r="Z33" s="5" t="str">
        <f t="shared" si="5"/>
        <v>BASICO</v>
      </c>
      <c r="AA33" s="5">
        <v>1</v>
      </c>
      <c r="AB33" s="7">
        <v>3.7</v>
      </c>
      <c r="AC33" s="7">
        <v>3.7</v>
      </c>
      <c r="AD33" s="7">
        <v>3.7</v>
      </c>
      <c r="AE33" s="5">
        <f t="shared" si="6"/>
        <v>3.7</v>
      </c>
      <c r="AF33" s="5" t="str">
        <f t="shared" si="7"/>
        <v>BASICO</v>
      </c>
      <c r="AG33" s="5">
        <v>2</v>
      </c>
      <c r="AH33" s="8">
        <v>3.5</v>
      </c>
      <c r="AI33" s="8">
        <v>3.5</v>
      </c>
      <c r="AJ33" s="8">
        <v>3.5</v>
      </c>
      <c r="AK33" s="5">
        <f t="shared" si="8"/>
        <v>3.5</v>
      </c>
      <c r="AL33" s="5" t="str">
        <f t="shared" si="9"/>
        <v>BASICO</v>
      </c>
      <c r="AM33" s="5">
        <v>1</v>
      </c>
      <c r="AN33" s="8">
        <v>3.5</v>
      </c>
      <c r="AO33" s="8">
        <v>3.5</v>
      </c>
      <c r="AP33" s="8">
        <v>3.5</v>
      </c>
      <c r="AQ33" s="5">
        <f t="shared" si="10"/>
        <v>3.5</v>
      </c>
      <c r="AR33" s="5" t="str">
        <f t="shared" si="11"/>
        <v>BASICO</v>
      </c>
      <c r="AS33" s="5">
        <v>4</v>
      </c>
      <c r="AT33" s="7">
        <v>4.2</v>
      </c>
      <c r="AU33" s="7">
        <v>4.2</v>
      </c>
      <c r="AV33" s="7">
        <v>4.2</v>
      </c>
      <c r="AW33" s="5">
        <f t="shared" si="12"/>
        <v>4.2</v>
      </c>
      <c r="AX33" s="5" t="str">
        <f t="shared" si="53"/>
        <v>ALTO</v>
      </c>
      <c r="AY33" s="5">
        <v>1</v>
      </c>
      <c r="AZ33" s="7">
        <v>4.5</v>
      </c>
      <c r="BA33" s="7">
        <v>4</v>
      </c>
      <c r="BB33" s="7">
        <v>4</v>
      </c>
      <c r="BC33" s="5">
        <f t="shared" si="14"/>
        <v>4.1500000000000004</v>
      </c>
      <c r="BD33" s="5" t="str">
        <f t="shared" si="15"/>
        <v>ALTO</v>
      </c>
      <c r="BE33" s="7">
        <v>2</v>
      </c>
      <c r="BF33" s="7">
        <v>3.4</v>
      </c>
      <c r="BG33" s="7">
        <v>3.6</v>
      </c>
      <c r="BH33" s="7">
        <v>3.8</v>
      </c>
      <c r="BI33" s="7">
        <v>3.3</v>
      </c>
      <c r="BJ33" s="5" t="str">
        <f t="shared" si="48"/>
        <v>BASICO</v>
      </c>
      <c r="BK33" s="5">
        <v>1</v>
      </c>
      <c r="BL33" s="7">
        <v>3.5</v>
      </c>
      <c r="BM33" s="7">
        <v>3.6</v>
      </c>
      <c r="BN33" s="7">
        <v>3.5</v>
      </c>
      <c r="BO33" s="5">
        <f t="shared" si="59"/>
        <v>3.54</v>
      </c>
      <c r="BP33" s="5" t="str">
        <f t="shared" si="19"/>
        <v>BASICO</v>
      </c>
      <c r="BQ33" s="5">
        <v>1</v>
      </c>
      <c r="BR33" s="7">
        <v>3.3</v>
      </c>
      <c r="BS33" s="7">
        <v>3.8</v>
      </c>
      <c r="BT33" s="7">
        <v>3.7</v>
      </c>
      <c r="BU33" s="5">
        <f t="shared" si="20"/>
        <v>3.62</v>
      </c>
      <c r="BV33" s="5" t="str">
        <f t="shared" si="21"/>
        <v>BASICO</v>
      </c>
      <c r="BW33" s="5">
        <v>1</v>
      </c>
      <c r="BX33" s="7">
        <v>2</v>
      </c>
      <c r="BY33" s="7">
        <v>2</v>
      </c>
      <c r="BZ33" s="7">
        <v>2</v>
      </c>
      <c r="CA33" s="5">
        <f t="shared" si="22"/>
        <v>2</v>
      </c>
      <c r="CB33" s="5" t="str">
        <f t="shared" si="23"/>
        <v>BAJO</v>
      </c>
      <c r="CC33" s="5">
        <v>1</v>
      </c>
      <c r="CD33" s="7">
        <v>3.8</v>
      </c>
      <c r="CE33" s="7">
        <v>3.8</v>
      </c>
      <c r="CF33" s="7">
        <v>3.8</v>
      </c>
      <c r="CG33" s="5">
        <f t="shared" si="24"/>
        <v>3.8</v>
      </c>
      <c r="CH33" s="5" t="str">
        <f t="shared" si="25"/>
        <v>BASICO</v>
      </c>
      <c r="CI33" s="5">
        <v>1</v>
      </c>
      <c r="CJ33" s="7">
        <v>4.2</v>
      </c>
      <c r="CK33" s="7">
        <v>4</v>
      </c>
      <c r="CL33" s="7">
        <v>4</v>
      </c>
      <c r="CM33" s="5">
        <f t="shared" si="26"/>
        <v>4.0600000000000005</v>
      </c>
      <c r="CN33" s="5" t="str">
        <f t="shared" si="27"/>
        <v>ALTO</v>
      </c>
      <c r="CO33" s="5">
        <v>1</v>
      </c>
      <c r="CP33" s="7">
        <v>5</v>
      </c>
      <c r="CQ33" s="7">
        <v>5</v>
      </c>
      <c r="CR33" s="7">
        <v>5</v>
      </c>
      <c r="CS33" s="5">
        <f t="shared" si="28"/>
        <v>5</v>
      </c>
      <c r="CT33" s="5" t="str">
        <f t="shared" si="29"/>
        <v>SUPERIOR</v>
      </c>
      <c r="CU33" s="5">
        <v>2</v>
      </c>
      <c r="CV33" s="7">
        <v>3</v>
      </c>
      <c r="CW33" s="7">
        <v>3</v>
      </c>
      <c r="CX33" s="7">
        <v>3</v>
      </c>
      <c r="CY33" s="5">
        <f t="shared" si="30"/>
        <v>3</v>
      </c>
      <c r="CZ33" s="5" t="str">
        <f t="shared" si="31"/>
        <v>BASICO</v>
      </c>
      <c r="DA33" s="5">
        <v>2</v>
      </c>
      <c r="DB33" s="7">
        <v>3</v>
      </c>
      <c r="DC33" s="7">
        <v>3</v>
      </c>
      <c r="DD33" s="7">
        <v>3</v>
      </c>
      <c r="DE33" s="5">
        <f t="shared" si="32"/>
        <v>3</v>
      </c>
      <c r="DF33" s="5" t="str">
        <f t="shared" si="33"/>
        <v>BASICO</v>
      </c>
      <c r="DG33" s="5">
        <v>0</v>
      </c>
      <c r="DH33" s="7"/>
      <c r="DI33" s="5" t="str">
        <f t="shared" si="34"/>
        <v>BAJO</v>
      </c>
      <c r="DJ33" s="5">
        <f t="shared" si="35"/>
        <v>3.6512499999999997</v>
      </c>
      <c r="DK33" s="5" t="str">
        <f t="shared" si="36"/>
        <v>Comprende el concepto de números reales, su relación de orden y las propiedades de sus operaciones, así como las relaciones de semejanza y congruencia de distintas figuras geométricas.</v>
      </c>
      <c r="DL33" s="5" t="str">
        <f t="shared" ref="DL33:FJ33" si="71">DL32</f>
        <v>Aplica correctamente las propiedades de las operaciones de números reales y expresiones algebraicas en la resolución de problemas.</v>
      </c>
      <c r="DM33" s="5" t="str">
        <f t="shared" si="71"/>
        <v>Valora el uso del pensamiento lógico a la hora de plantear y resolver problemas de las matemáticas y de la vida cotidiana.</v>
      </c>
      <c r="DN33" s="5" t="str">
        <f t="shared" si="7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3" s="5" t="str">
        <f t="shared" si="71"/>
        <v>Organiza y analiza datos mediante la construcción de tablas de frecuencias y diagramas estadísticos, identificando variables aleatorias y utilizando estas representaciones para resolver situaciones problema.</v>
      </c>
      <c r="DP33" s="5" t="str">
        <f t="shared" si="71"/>
        <v>Muestra disposición y responsabilidad en el manejo y análisis de datos, participando activamente en actividades individuales y colaborativas, y comunicando información estadística con claridad y sentido crítico.</v>
      </c>
      <c r="DQ33" s="5" t="str">
        <f t="shared" si="71"/>
        <v>Analiza las características de la literatura prehispánica y la literatura del descubrimiento y la conquista en Colombia identificando sus elementos fundamentales y su impacto en la cultura y el lenguaje actual.</v>
      </c>
      <c r="DR33" s="5" t="str">
        <f t="shared" si="71"/>
        <v>Realiza comprensión lectora cuando analiza un texto desde el discurso de la Enunciación e identifica la función de cada uno de sus componentes.
Responde preguntas en los tres niveles de lectura a una leyenda del Caribe.</v>
      </c>
      <c r="DS33" s="5" t="str">
        <f t="shared" si="71"/>
        <v>Muestra disposición para participar activamente en las clases, promoviendo el respeto por las ideas ajenas y reconociendo la importancia de la precisión como una herramienta clave para una comunicación</v>
      </c>
      <c r="DT33" s="5" t="str">
        <f t="shared" si="71"/>
        <v>Comprende el contenido del cuento A la deriva, identificando su tema central, la secuencia de los hechos, los personajes y las ideas explícitas e implícitas del texto.</v>
      </c>
      <c r="DU33" s="5" t="str">
        <f t="shared" si="71"/>
        <v>Analiza críticamente el cuento A la deriva mediante la identificación de información literal, inferencial y crítica, sustentando sus respuestas de forma oral y escrita.</v>
      </c>
      <c r="DV33" s="5" t="str">
        <f t="shared" si="71"/>
        <v>Valora la lectura literaria como una oportunidad para reflexionar sobre la vida, la naturaleza y la condición humana, participando con interés, respeto y sentido crítico en las actividades propuestas.</v>
      </c>
      <c r="DW33" s="5" t="str">
        <f t="shared" si="71"/>
        <v>Comprende y reconoce vocabulario y estructuras basicas del ingles para interpretar textos cortos y conversaciones sobre temas cotidianos de la vida diaria.</v>
      </c>
      <c r="DX33" s="5" t="str">
        <f t="shared" si="71"/>
        <v>Produce de forma oral y escrita frases y parrafos cortos en Ingles, utilizando correctamente las estructuras conocidas para describir rutinas, narrar experiencias y participar en conversaciones.</v>
      </c>
      <c r="DY33" s="5" t="str">
        <f t="shared" si="71"/>
        <v>Muestra disposicion positiva hacia el aprendizaje del Ingles participando activamente en clase.</v>
      </c>
      <c r="DZ33" s="5" t="str">
        <f t="shared" si="71"/>
        <v>Identifica vocabulario en Ingles  de situaciones cotidianas.</v>
      </c>
      <c r="EA33" s="5" t="str">
        <f t="shared" si="71"/>
        <v>Participa en actividades utilizando vocabulario aprendido para expresar gustos,emociones y necesidades.</v>
      </c>
      <c r="EB33" s="5" t="str">
        <f t="shared" si="71"/>
        <v>Respeta la opinion de los demas, muestra disposicion para participar en actividades orales.</v>
      </c>
      <c r="EC33" s="5" t="str">
        <f t="shared" si="71"/>
        <v>Identifica la conformación y funcionamiento del sistema inmunolófico y diferencia las característics de los estados de la materia.</v>
      </c>
      <c r="ED33" s="5" t="str">
        <f t="shared" si="71"/>
        <v>Reconoce experimentalmente las características de materiales en los diferentes estados de la materia.</v>
      </c>
      <c r="EE33" s="5" t="str">
        <f t="shared" si="71"/>
        <v xml:space="preserve">Valora la importancia de tener habitos saludables, para lograr el mantenimiento saludable del sistema inmune. </v>
      </c>
      <c r="EF33" s="5" t="str">
        <f t="shared" si="71"/>
        <v>Describe correctamente la secuencia de eventos biologicos de la fecundacion,incluyendo las recciones acrosomicas,la funcion de gametos y la formacion de gametos.</v>
      </c>
      <c r="EG33" s="5" t="str">
        <f t="shared" si="71"/>
        <v>Mide la capacidad del labolatrio para lograr la fecundacion exitosa de los ovulos con el espermatozoide.</v>
      </c>
      <c r="EH33" s="5" t="str">
        <f t="shared" si="71"/>
        <v>Valora la importancia del cuidado del cuerpo y de la salud reproductiva como la base para una fecundacion saludable.</v>
      </c>
      <c r="EI33" s="5" t="str">
        <f t="shared" si="71"/>
        <v>Explico las principales caracteristicas de algunas revoluciones de los siglos XVIII y XIX (Revolucion francesa, Industrial...)</v>
      </c>
      <c r="EJ33" s="5" t="str">
        <f t="shared" si="71"/>
        <v>Analiza las causas y consecuencias de procesos historicos como la Revolucion Industrial y Francesa.</v>
      </c>
      <c r="EK33" s="5" t="str">
        <f t="shared" si="71"/>
        <v>Muestra interes y curiosidad por comprender los procesos historicos y su impacto en la sociedad.</v>
      </c>
      <c r="EL33" s="5" t="str">
        <f t="shared" si="71"/>
        <v xml:space="preserve">Identifica los procesos historicos de algunas revoluciones de los siglos XVIII y XIX </v>
      </c>
      <c r="EM33" s="5">
        <f t="shared" si="71"/>
        <v>0</v>
      </c>
      <c r="EN33" s="5">
        <f t="shared" si="71"/>
        <v>0</v>
      </c>
      <c r="EO33" s="5" t="str">
        <f t="shared" si="71"/>
        <v xml:space="preserve">Comprende la distribucion espacial de la poblacion antes y despues de las revoluciones </v>
      </c>
      <c r="EP33" s="5" t="str">
        <f t="shared" si="71"/>
        <v xml:space="preserve">Ubica en mapas las regiones donde se desarrollaron las principales revoluciones y explica sus caracteristicas geograficas </v>
      </c>
      <c r="EQ33" s="5" t="str">
        <f t="shared" si="71"/>
        <v>Muestra interes por comprender la relacion entre sociedad, economia y territorio</v>
      </c>
      <c r="ER33" s="5" t="str">
        <f t="shared" si="71"/>
        <v>Comprende el concepto de cultura de paz y su importancia en la sociedad</v>
      </c>
      <c r="ES33" s="5" t="str">
        <f t="shared" si="71"/>
        <v>Practica normas de convivencia en diferentes espacios( aula, hogar, comunidad)</v>
      </c>
      <c r="ET33" s="5" t="str">
        <f t="shared" si="71"/>
        <v>Muestra actitud de respeto hacia la diversidad cuktural, social y de pensamiento</v>
      </c>
      <c r="EU33" s="5">
        <f t="shared" si="71"/>
        <v>0</v>
      </c>
      <c r="EV33" s="5">
        <f t="shared" si="71"/>
        <v>0</v>
      </c>
      <c r="EW33" s="5">
        <f t="shared" si="71"/>
        <v>0</v>
      </c>
      <c r="EX33" s="5">
        <f t="shared" si="71"/>
        <v>0</v>
      </c>
      <c r="EY33" s="5">
        <f t="shared" si="71"/>
        <v>0</v>
      </c>
      <c r="EZ33" s="5">
        <f t="shared" si="71"/>
        <v>0</v>
      </c>
      <c r="FA33" s="5">
        <f t="shared" si="71"/>
        <v>0</v>
      </c>
      <c r="FB33" s="5">
        <f t="shared" si="71"/>
        <v>0</v>
      </c>
      <c r="FC33" s="5">
        <f t="shared" si="71"/>
        <v>0</v>
      </c>
      <c r="FD33" s="5" t="str">
        <f t="shared" si="71"/>
        <v xml:space="preserve"> Identifica las expresiones motrices relacionadas con el juego del voleibol,  como una oportunidad para mejorar la salud, la estética y las relaciones con los demás.</v>
      </c>
      <c r="FE33" s="5" t="str">
        <f t="shared" si="71"/>
        <v>Pone en práctica los fundamentos básicos del voleibol.</v>
      </c>
      <c r="FF33" s="5" t="str">
        <f t="shared" si="71"/>
        <v>Muestra  responsabilidad y buena actitud al realizar el juego de voleibol.</v>
      </c>
      <c r="FG33" s="5" t="str">
        <f t="shared" si="71"/>
        <v>Comprende el concepto de variable como espacio de almacenamiento de datos y reconoce el uso de estructuras condicionales (si, si-no) para la toma de decisiones en un programa.</v>
      </c>
      <c r="FH33" s="5" t="str">
        <f t="shared" si="71"/>
        <v>Diseña y desarrolla programas que utilizan variables y estructuras condicionales para resolver problemas, evaluando condiciones y generando respuestas según diferentes situaciones.</v>
      </c>
      <c r="FI33" s="5" t="str">
        <f t="shared" si="71"/>
        <v>Muestra pensamiento lógico, perseverancia y actitud crítica al analizar errores y proponer soluciones en la construcción de programas con variables y condicionales.</v>
      </c>
      <c r="FJ33" s="5" t="str">
        <f t="shared" si="71"/>
        <v>Identifica y reconoce sus pricipales deberes y derechos dentro y fuera  de la Institución educativa.</v>
      </c>
    </row>
    <row r="34" spans="1:166" ht="15.75" customHeight="1">
      <c r="A34" s="5">
        <v>33</v>
      </c>
      <c r="B34" s="5" t="s">
        <v>105</v>
      </c>
      <c r="C34" s="6">
        <v>1043689160</v>
      </c>
      <c r="D34" s="5" t="s">
        <v>68</v>
      </c>
      <c r="E34" s="5" t="s">
        <v>69</v>
      </c>
      <c r="F34" s="5" t="s">
        <v>70</v>
      </c>
      <c r="G34" s="5" t="s">
        <v>71</v>
      </c>
      <c r="H34" s="5">
        <v>2026</v>
      </c>
      <c r="I34" s="5">
        <v>4</v>
      </c>
      <c r="J34" s="7">
        <v>3</v>
      </c>
      <c r="K34" s="7">
        <v>3</v>
      </c>
      <c r="L34" s="7">
        <v>3</v>
      </c>
      <c r="M34" s="5">
        <f t="shared" si="0"/>
        <v>3</v>
      </c>
      <c r="N34" s="5" t="str">
        <f t="shared" si="1"/>
        <v>BASICO</v>
      </c>
      <c r="O34" s="5">
        <v>1</v>
      </c>
      <c r="P34" s="7">
        <v>3</v>
      </c>
      <c r="Q34" s="7">
        <v>3</v>
      </c>
      <c r="R34" s="7">
        <v>3</v>
      </c>
      <c r="S34" s="5">
        <f t="shared" si="2"/>
        <v>3</v>
      </c>
      <c r="T34" s="5" t="str">
        <f t="shared" si="3"/>
        <v>BASICO</v>
      </c>
      <c r="U34" s="5">
        <v>4</v>
      </c>
      <c r="V34" s="7">
        <v>3.8</v>
      </c>
      <c r="W34" s="7">
        <v>3.5</v>
      </c>
      <c r="X34" s="7">
        <v>3.5</v>
      </c>
      <c r="Y34" s="5">
        <f t="shared" si="4"/>
        <v>3.59</v>
      </c>
      <c r="Z34" s="5" t="str">
        <f t="shared" si="5"/>
        <v>BASICO</v>
      </c>
      <c r="AA34" s="5">
        <v>1</v>
      </c>
      <c r="AB34" s="7">
        <v>3.3</v>
      </c>
      <c r="AC34" s="7">
        <v>3.3</v>
      </c>
      <c r="AD34" s="7">
        <v>3.3</v>
      </c>
      <c r="AE34" s="5">
        <f t="shared" si="6"/>
        <v>3.3</v>
      </c>
      <c r="AF34" s="5" t="str">
        <f t="shared" si="7"/>
        <v>BASICO</v>
      </c>
      <c r="AG34" s="5">
        <v>2</v>
      </c>
      <c r="AH34" s="8">
        <v>3.5</v>
      </c>
      <c r="AI34" s="8">
        <v>3.5</v>
      </c>
      <c r="AJ34" s="8">
        <v>3.5</v>
      </c>
      <c r="AK34" s="5">
        <f t="shared" si="8"/>
        <v>3.5</v>
      </c>
      <c r="AL34" s="5" t="str">
        <f t="shared" si="9"/>
        <v>BASICO</v>
      </c>
      <c r="AM34" s="5">
        <v>1</v>
      </c>
      <c r="AN34" s="8">
        <v>3.5</v>
      </c>
      <c r="AO34" s="8">
        <v>3.5</v>
      </c>
      <c r="AP34" s="8">
        <v>3.5</v>
      </c>
      <c r="AQ34" s="5">
        <f t="shared" si="10"/>
        <v>3.5</v>
      </c>
      <c r="AR34" s="5" t="str">
        <f t="shared" si="11"/>
        <v>BASICO</v>
      </c>
      <c r="AS34" s="5">
        <v>4</v>
      </c>
      <c r="AT34" s="7">
        <v>3.5</v>
      </c>
      <c r="AU34" s="7">
        <v>3.5</v>
      </c>
      <c r="AV34" s="7">
        <v>3.5</v>
      </c>
      <c r="AW34" s="5">
        <f t="shared" si="12"/>
        <v>3.5</v>
      </c>
      <c r="AX34" s="5" t="str">
        <f t="shared" si="53"/>
        <v>BASICO</v>
      </c>
      <c r="AY34" s="5">
        <v>1</v>
      </c>
      <c r="AZ34" s="7">
        <v>4</v>
      </c>
      <c r="BA34" s="7">
        <v>3.8</v>
      </c>
      <c r="BB34" s="7">
        <v>3.8</v>
      </c>
      <c r="BC34" s="5">
        <f t="shared" si="14"/>
        <v>3.8599999999999994</v>
      </c>
      <c r="BD34" s="5" t="str">
        <f t="shared" si="15"/>
        <v>BASICO</v>
      </c>
      <c r="BE34" s="7">
        <v>2</v>
      </c>
      <c r="BF34" s="7">
        <v>3.2</v>
      </c>
      <c r="BG34" s="7">
        <v>3.3</v>
      </c>
      <c r="BH34" s="7">
        <v>3.5</v>
      </c>
      <c r="BI34" s="5">
        <f>((BF34*0.3)+(BG34*0.4)+(BH34*0.3))</f>
        <v>3.33</v>
      </c>
      <c r="BJ34" s="5" t="str">
        <f t="shared" si="48"/>
        <v>BASICO</v>
      </c>
      <c r="BK34" s="5">
        <v>1</v>
      </c>
      <c r="BL34" s="7">
        <v>3.3</v>
      </c>
      <c r="BM34" s="7">
        <v>3.2</v>
      </c>
      <c r="BN34" s="7">
        <v>3.4</v>
      </c>
      <c r="BO34" s="5">
        <f t="shared" si="59"/>
        <v>3.29</v>
      </c>
      <c r="BP34" s="5" t="str">
        <f t="shared" si="19"/>
        <v>BASICO</v>
      </c>
      <c r="BQ34" s="5">
        <v>1</v>
      </c>
      <c r="BR34" s="7">
        <v>3.3</v>
      </c>
      <c r="BS34" s="7">
        <v>3.4</v>
      </c>
      <c r="BT34" s="7">
        <v>3.2</v>
      </c>
      <c r="BU34" s="5">
        <f t="shared" si="20"/>
        <v>3.31</v>
      </c>
      <c r="BV34" s="5" t="str">
        <f t="shared" si="21"/>
        <v>BASICO</v>
      </c>
      <c r="BW34" s="5">
        <v>1</v>
      </c>
      <c r="BX34" s="7">
        <v>2</v>
      </c>
      <c r="BY34" s="7">
        <v>2</v>
      </c>
      <c r="BZ34" s="7">
        <v>2</v>
      </c>
      <c r="CA34" s="5">
        <f t="shared" si="22"/>
        <v>2</v>
      </c>
      <c r="CB34" s="5" t="str">
        <f t="shared" si="23"/>
        <v>BAJO</v>
      </c>
      <c r="CC34" s="5">
        <v>1</v>
      </c>
      <c r="CD34" s="7">
        <v>3.7</v>
      </c>
      <c r="CE34" s="7">
        <v>3.8</v>
      </c>
      <c r="CF34" s="7">
        <v>3.8</v>
      </c>
      <c r="CG34" s="5">
        <f t="shared" si="24"/>
        <v>3.7699999999999996</v>
      </c>
      <c r="CH34" s="5" t="str">
        <f t="shared" si="25"/>
        <v>BASICO</v>
      </c>
      <c r="CI34" s="5">
        <v>1</v>
      </c>
      <c r="CJ34" s="7">
        <v>3.8</v>
      </c>
      <c r="CK34" s="7">
        <v>3.8</v>
      </c>
      <c r="CL34" s="7">
        <v>3.5</v>
      </c>
      <c r="CM34" s="5">
        <f t="shared" si="26"/>
        <v>3.71</v>
      </c>
      <c r="CN34" s="5" t="str">
        <f t="shared" si="27"/>
        <v>BASICO</v>
      </c>
      <c r="CO34" s="5">
        <v>1</v>
      </c>
      <c r="CP34" s="7">
        <v>5</v>
      </c>
      <c r="CQ34" s="7">
        <v>5</v>
      </c>
      <c r="CR34" s="7">
        <v>5</v>
      </c>
      <c r="CS34" s="5">
        <f t="shared" si="28"/>
        <v>5</v>
      </c>
      <c r="CT34" s="5" t="str">
        <f t="shared" si="29"/>
        <v>SUPERIOR</v>
      </c>
      <c r="CU34" s="5">
        <v>2</v>
      </c>
      <c r="CV34" s="7">
        <v>4.5</v>
      </c>
      <c r="CW34" s="7">
        <v>4.5</v>
      </c>
      <c r="CX34" s="7">
        <v>4.5</v>
      </c>
      <c r="CY34" s="5">
        <f t="shared" si="30"/>
        <v>4.5</v>
      </c>
      <c r="CZ34" s="5" t="str">
        <f t="shared" si="31"/>
        <v>SUPERIOR</v>
      </c>
      <c r="DA34" s="5">
        <v>2</v>
      </c>
      <c r="DB34" s="7">
        <v>4</v>
      </c>
      <c r="DC34" s="7">
        <v>4</v>
      </c>
      <c r="DD34" s="7">
        <v>3.5</v>
      </c>
      <c r="DE34" s="5">
        <f t="shared" si="32"/>
        <v>3.8499999999999996</v>
      </c>
      <c r="DF34" s="5" t="str">
        <f t="shared" si="33"/>
        <v>BASICO</v>
      </c>
      <c r="DG34" s="5">
        <v>0</v>
      </c>
      <c r="DH34" s="7"/>
      <c r="DI34" s="5" t="str">
        <f t="shared" si="34"/>
        <v>BAJO</v>
      </c>
      <c r="DJ34" s="5">
        <f t="shared" si="35"/>
        <v>3.5437500000000002</v>
      </c>
      <c r="DK34" s="5" t="str">
        <f t="shared" si="36"/>
        <v>Comprende el concepto de números reales, su relación de orden y las propiedades de sus operaciones, así como las relaciones de semejanza y congruencia de distintas figuras geométricas.</v>
      </c>
      <c r="DL34" s="5" t="str">
        <f t="shared" ref="DL34:FJ34" si="72">DL33</f>
        <v>Aplica correctamente las propiedades de las operaciones de números reales y expresiones algebraicas en la resolución de problemas.</v>
      </c>
      <c r="DM34" s="5" t="str">
        <f t="shared" si="72"/>
        <v>Valora el uso del pensamiento lógico a la hora de plantear y resolver problemas de las matemáticas y de la vida cotidiana.</v>
      </c>
      <c r="DN34" s="5" t="str">
        <f t="shared" si="7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4" s="5" t="str">
        <f t="shared" si="72"/>
        <v>Organiza y analiza datos mediante la construcción de tablas de frecuencias y diagramas estadísticos, identificando variables aleatorias y utilizando estas representaciones para resolver situaciones problema.</v>
      </c>
      <c r="DP34" s="5" t="str">
        <f t="shared" si="72"/>
        <v>Muestra disposición y responsabilidad en el manejo y análisis de datos, participando activamente en actividades individuales y colaborativas, y comunicando información estadística con claridad y sentido crítico.</v>
      </c>
      <c r="DQ34" s="5" t="str">
        <f t="shared" si="72"/>
        <v>Analiza las características de la literatura prehispánica y la literatura del descubrimiento y la conquista en Colombia identificando sus elementos fundamentales y su impacto en la cultura y el lenguaje actual.</v>
      </c>
      <c r="DR34" s="5" t="str">
        <f t="shared" si="72"/>
        <v>Realiza comprensión lectora cuando analiza un texto desde el discurso de la Enunciación e identifica la función de cada uno de sus componentes.
Responde preguntas en los tres niveles de lectura a una leyenda del Caribe.</v>
      </c>
      <c r="DS34" s="5" t="str">
        <f t="shared" si="72"/>
        <v>Muestra disposición para participar activamente en las clases, promoviendo el respeto por las ideas ajenas y reconociendo la importancia de la precisión como una herramienta clave para una comunicación</v>
      </c>
      <c r="DT34" s="5" t="str">
        <f t="shared" si="72"/>
        <v>Comprende el contenido del cuento A la deriva, identificando su tema central, la secuencia de los hechos, los personajes y las ideas explícitas e implícitas del texto.</v>
      </c>
      <c r="DU34" s="5" t="str">
        <f t="shared" si="72"/>
        <v>Analiza críticamente el cuento A la deriva mediante la identificación de información literal, inferencial y crítica, sustentando sus respuestas de forma oral y escrita.</v>
      </c>
      <c r="DV34" s="5" t="str">
        <f t="shared" si="72"/>
        <v>Valora la lectura literaria como una oportunidad para reflexionar sobre la vida, la naturaleza y la condición humana, participando con interés, respeto y sentido crítico en las actividades propuestas.</v>
      </c>
      <c r="DW34" s="5" t="str">
        <f t="shared" si="72"/>
        <v>Comprende y reconoce vocabulario y estructuras basicas del ingles para interpretar textos cortos y conversaciones sobre temas cotidianos de la vida diaria.</v>
      </c>
      <c r="DX34" s="5" t="str">
        <f t="shared" si="72"/>
        <v>Produce de forma oral y escrita frases y parrafos cortos en Ingles, utilizando correctamente las estructuras conocidas para describir rutinas, narrar experiencias y participar en conversaciones.</v>
      </c>
      <c r="DY34" s="5" t="str">
        <f t="shared" si="72"/>
        <v>Muestra disposicion positiva hacia el aprendizaje del Ingles participando activamente en clase.</v>
      </c>
      <c r="DZ34" s="5" t="str">
        <f t="shared" si="72"/>
        <v>Identifica vocabulario en Ingles  de situaciones cotidianas.</v>
      </c>
      <c r="EA34" s="5" t="str">
        <f t="shared" si="72"/>
        <v>Participa en actividades utilizando vocabulario aprendido para expresar gustos,emociones y necesidades.</v>
      </c>
      <c r="EB34" s="5" t="str">
        <f t="shared" si="72"/>
        <v>Respeta la opinion de los demas, muestra disposicion para participar en actividades orales.</v>
      </c>
      <c r="EC34" s="5" t="str">
        <f t="shared" si="72"/>
        <v>Identifica la conformación y funcionamiento del sistema inmunolófico y diferencia las característics de los estados de la materia.</v>
      </c>
      <c r="ED34" s="5" t="str">
        <f t="shared" si="72"/>
        <v>Reconoce experimentalmente las características de materiales en los diferentes estados de la materia.</v>
      </c>
      <c r="EE34" s="5" t="str">
        <f t="shared" si="72"/>
        <v xml:space="preserve">Valora la importancia de tener habitos saludables, para lograr el mantenimiento saludable del sistema inmune. </v>
      </c>
      <c r="EF34" s="5" t="str">
        <f t="shared" si="72"/>
        <v>Describe correctamente la secuencia de eventos biologicos de la fecundacion,incluyendo las recciones acrosomicas,la funcion de gametos y la formacion de gametos.</v>
      </c>
      <c r="EG34" s="5" t="str">
        <f t="shared" si="72"/>
        <v>Mide la capacidad del labolatrio para lograr la fecundacion exitosa de los ovulos con el espermatozoide.</v>
      </c>
      <c r="EH34" s="5" t="str">
        <f t="shared" si="72"/>
        <v>Valora la importancia del cuidado del cuerpo y de la salud reproductiva como la base para una fecundacion saludable.</v>
      </c>
      <c r="EI34" s="5" t="str">
        <f t="shared" si="72"/>
        <v>Explico las principales caracteristicas de algunas revoluciones de los siglos XVIII y XIX (Revolucion francesa, Industrial...)</v>
      </c>
      <c r="EJ34" s="5" t="str">
        <f t="shared" si="72"/>
        <v>Analiza las causas y consecuencias de procesos historicos como la Revolucion Industrial y Francesa.</v>
      </c>
      <c r="EK34" s="5" t="str">
        <f t="shared" si="72"/>
        <v>Muestra interes y curiosidad por comprender los procesos historicos y su impacto en la sociedad.</v>
      </c>
      <c r="EL34" s="5" t="str">
        <f t="shared" si="72"/>
        <v xml:space="preserve">Identifica los procesos historicos de algunas revoluciones de los siglos XVIII y XIX </v>
      </c>
      <c r="EM34" s="5">
        <f t="shared" si="72"/>
        <v>0</v>
      </c>
      <c r="EN34" s="5">
        <f t="shared" si="72"/>
        <v>0</v>
      </c>
      <c r="EO34" s="5" t="str">
        <f t="shared" si="72"/>
        <v xml:space="preserve">Comprende la distribucion espacial de la poblacion antes y despues de las revoluciones </v>
      </c>
      <c r="EP34" s="5" t="str">
        <f t="shared" si="72"/>
        <v xml:space="preserve">Ubica en mapas las regiones donde se desarrollaron las principales revoluciones y explica sus caracteristicas geograficas </v>
      </c>
      <c r="EQ34" s="5" t="str">
        <f t="shared" si="72"/>
        <v>Muestra interes por comprender la relacion entre sociedad, economia y territorio</v>
      </c>
      <c r="ER34" s="5" t="str">
        <f t="shared" si="72"/>
        <v>Comprende el concepto de cultura de paz y su importancia en la sociedad</v>
      </c>
      <c r="ES34" s="5" t="str">
        <f t="shared" si="72"/>
        <v>Practica normas de convivencia en diferentes espacios( aula, hogar, comunidad)</v>
      </c>
      <c r="ET34" s="5" t="str">
        <f t="shared" si="72"/>
        <v>Muestra actitud de respeto hacia la diversidad cuktural, social y de pensamiento</v>
      </c>
      <c r="EU34" s="5">
        <f t="shared" si="72"/>
        <v>0</v>
      </c>
      <c r="EV34" s="5">
        <f t="shared" si="72"/>
        <v>0</v>
      </c>
      <c r="EW34" s="5">
        <f t="shared" si="72"/>
        <v>0</v>
      </c>
      <c r="EX34" s="5">
        <f t="shared" si="72"/>
        <v>0</v>
      </c>
      <c r="EY34" s="5">
        <f t="shared" si="72"/>
        <v>0</v>
      </c>
      <c r="EZ34" s="5">
        <f t="shared" si="72"/>
        <v>0</v>
      </c>
      <c r="FA34" s="5">
        <f t="shared" si="72"/>
        <v>0</v>
      </c>
      <c r="FB34" s="5">
        <f t="shared" si="72"/>
        <v>0</v>
      </c>
      <c r="FC34" s="5">
        <f t="shared" si="72"/>
        <v>0</v>
      </c>
      <c r="FD34" s="5" t="str">
        <f t="shared" si="72"/>
        <v xml:space="preserve"> Identifica las expresiones motrices relacionadas con el juego del voleibol,  como una oportunidad para mejorar la salud, la estética y las relaciones con los demás.</v>
      </c>
      <c r="FE34" s="5" t="str">
        <f t="shared" si="72"/>
        <v>Pone en práctica los fundamentos básicos del voleibol.</v>
      </c>
      <c r="FF34" s="5" t="str">
        <f t="shared" si="72"/>
        <v>Muestra  responsabilidad y buena actitud al realizar el juego de voleibol.</v>
      </c>
      <c r="FG34" s="5" t="str">
        <f t="shared" si="72"/>
        <v>Comprende el concepto de variable como espacio de almacenamiento de datos y reconoce el uso de estructuras condicionales (si, si-no) para la toma de decisiones en un programa.</v>
      </c>
      <c r="FH34" s="5" t="str">
        <f t="shared" si="72"/>
        <v>Diseña y desarrolla programas que utilizan variables y estructuras condicionales para resolver problemas, evaluando condiciones y generando respuestas según diferentes situaciones.</v>
      </c>
      <c r="FI34" s="5" t="str">
        <f t="shared" si="72"/>
        <v>Muestra pensamiento lógico, perseverancia y actitud crítica al analizar errores y proponer soluciones en la construcción de programas con variables y condicionales.</v>
      </c>
      <c r="FJ34" s="5" t="str">
        <f t="shared" si="72"/>
        <v>Identifica y reconoce sus pricipales deberes y derechos dentro y fuera  de la Institución educativa.</v>
      </c>
    </row>
    <row r="35" spans="1:166" ht="15.75" customHeight="1">
      <c r="A35" s="9">
        <v>34</v>
      </c>
      <c r="B35" s="9" t="s">
        <v>106</v>
      </c>
      <c r="C35" s="10">
        <v>1044638140</v>
      </c>
      <c r="D35" s="5" t="s">
        <v>68</v>
      </c>
      <c r="E35" s="5" t="s">
        <v>69</v>
      </c>
      <c r="F35" s="5" t="s">
        <v>70</v>
      </c>
      <c r="G35" s="5" t="s">
        <v>71</v>
      </c>
      <c r="H35" s="5">
        <v>2026</v>
      </c>
      <c r="I35" s="5">
        <v>4</v>
      </c>
      <c r="J35" s="7"/>
      <c r="K35" s="7"/>
      <c r="L35" s="7"/>
      <c r="M35" s="5">
        <f t="shared" si="0"/>
        <v>0</v>
      </c>
      <c r="N35" s="5" t="str">
        <f t="shared" si="1"/>
        <v>BAJO</v>
      </c>
      <c r="O35" s="5">
        <v>1</v>
      </c>
      <c r="P35" s="7"/>
      <c r="Q35" s="7"/>
      <c r="R35" s="7"/>
      <c r="S35" s="5">
        <f t="shared" si="2"/>
        <v>0</v>
      </c>
      <c r="T35" s="5" t="str">
        <f t="shared" si="3"/>
        <v>BAJO</v>
      </c>
      <c r="U35" s="5">
        <v>4</v>
      </c>
      <c r="V35" s="7"/>
      <c r="W35" s="7"/>
      <c r="X35" s="7"/>
      <c r="Y35" s="5">
        <f t="shared" si="4"/>
        <v>0</v>
      </c>
      <c r="Z35" s="5" t="str">
        <f t="shared" si="5"/>
        <v>BAJO</v>
      </c>
      <c r="AA35" s="5">
        <v>1</v>
      </c>
      <c r="AB35" s="7"/>
      <c r="AC35" s="7"/>
      <c r="AD35" s="7"/>
      <c r="AE35" s="5">
        <f t="shared" si="6"/>
        <v>0</v>
      </c>
      <c r="AF35" s="5" t="str">
        <f t="shared" si="7"/>
        <v>BAJO</v>
      </c>
      <c r="AG35" s="5">
        <v>2</v>
      </c>
      <c r="AH35" s="11"/>
      <c r="AI35" s="11"/>
      <c r="AJ35" s="11"/>
      <c r="AK35" s="5">
        <f t="shared" si="8"/>
        <v>0</v>
      </c>
      <c r="AL35" s="5" t="str">
        <f t="shared" si="9"/>
        <v>BAJO</v>
      </c>
      <c r="AM35" s="5">
        <v>1</v>
      </c>
      <c r="AN35" s="11"/>
      <c r="AO35" s="11"/>
      <c r="AP35" s="11"/>
      <c r="AQ35" s="5">
        <f t="shared" si="10"/>
        <v>0</v>
      </c>
      <c r="AR35" s="5" t="str">
        <f t="shared" si="11"/>
        <v>BAJO</v>
      </c>
      <c r="AS35" s="5">
        <v>4</v>
      </c>
      <c r="AT35" s="7"/>
      <c r="AU35" s="7"/>
      <c r="AV35" s="7"/>
      <c r="AW35" s="5">
        <f t="shared" si="12"/>
        <v>0</v>
      </c>
      <c r="AX35" s="5" t="str">
        <f t="shared" si="53"/>
        <v>BAJO</v>
      </c>
      <c r="AY35" s="5">
        <v>1</v>
      </c>
      <c r="AZ35" s="7"/>
      <c r="BA35" s="7"/>
      <c r="BB35" s="7"/>
      <c r="BC35" s="5">
        <f t="shared" si="14"/>
        <v>0</v>
      </c>
      <c r="BD35" s="5" t="str">
        <f t="shared" si="15"/>
        <v>BAJO</v>
      </c>
      <c r="BE35" s="7">
        <v>2</v>
      </c>
      <c r="BF35" s="7"/>
      <c r="BG35" s="7"/>
      <c r="BH35" s="7"/>
      <c r="BI35" s="5"/>
      <c r="BJ35" s="5" t="str">
        <f t="shared" si="48"/>
        <v>BAJO</v>
      </c>
      <c r="BK35" s="5">
        <v>1</v>
      </c>
      <c r="BL35" s="7"/>
      <c r="BM35" s="7"/>
      <c r="BN35" s="7"/>
      <c r="BO35" s="5"/>
      <c r="BP35" s="5" t="str">
        <f t="shared" si="19"/>
        <v>BAJO</v>
      </c>
      <c r="BQ35" s="5">
        <v>1</v>
      </c>
      <c r="BR35" s="7"/>
      <c r="BS35" s="7"/>
      <c r="BT35" s="7"/>
      <c r="BU35" s="5"/>
      <c r="BV35" s="5" t="str">
        <f t="shared" si="21"/>
        <v>BAJO</v>
      </c>
      <c r="BW35" s="7">
        <v>1</v>
      </c>
      <c r="BX35" s="7"/>
      <c r="BY35" s="7"/>
      <c r="BZ35" s="7"/>
      <c r="CA35" s="5"/>
      <c r="CB35" s="5"/>
      <c r="CC35" s="5">
        <v>1</v>
      </c>
      <c r="CD35" s="7"/>
      <c r="CE35" s="7"/>
      <c r="CF35" s="7"/>
      <c r="CG35" s="5">
        <f t="shared" si="24"/>
        <v>0</v>
      </c>
      <c r="CH35" s="5" t="str">
        <f t="shared" si="25"/>
        <v>BAJO</v>
      </c>
      <c r="CI35" s="5">
        <v>1</v>
      </c>
      <c r="CJ35" s="7"/>
      <c r="CK35" s="7"/>
      <c r="CL35" s="7"/>
      <c r="CM35" s="5">
        <f t="shared" si="26"/>
        <v>0</v>
      </c>
      <c r="CN35" s="5" t="str">
        <f t="shared" si="27"/>
        <v>BAJO</v>
      </c>
      <c r="CO35" s="5">
        <v>1</v>
      </c>
      <c r="CP35" s="7"/>
      <c r="CQ35" s="7"/>
      <c r="CR35" s="7"/>
      <c r="CS35" s="5">
        <f t="shared" si="28"/>
        <v>0</v>
      </c>
      <c r="CT35" s="5" t="str">
        <f t="shared" si="29"/>
        <v>BAJO</v>
      </c>
      <c r="CU35" s="5">
        <v>2</v>
      </c>
      <c r="CV35" s="7"/>
      <c r="CW35" s="7"/>
      <c r="CX35" s="7"/>
      <c r="CY35" s="5">
        <f t="shared" si="30"/>
        <v>0</v>
      </c>
      <c r="CZ35" s="5" t="str">
        <f t="shared" si="31"/>
        <v>BAJO</v>
      </c>
      <c r="DA35" s="5">
        <v>2</v>
      </c>
      <c r="DB35" s="5"/>
      <c r="DC35" s="5"/>
      <c r="DD35" s="5"/>
      <c r="DE35" s="5">
        <f t="shared" si="32"/>
        <v>0</v>
      </c>
      <c r="DF35" s="5" t="str">
        <f t="shared" si="33"/>
        <v>BAJO</v>
      </c>
      <c r="DG35" s="5">
        <v>0</v>
      </c>
      <c r="DH35" s="7"/>
      <c r="DI35" s="5" t="str">
        <f t="shared" si="34"/>
        <v>BAJO</v>
      </c>
      <c r="DJ35" s="5">
        <f t="shared" si="35"/>
        <v>0</v>
      </c>
      <c r="DK35" s="5" t="str">
        <f t="shared" si="36"/>
        <v>Comprende el concepto de números reales, su relación de orden y las propiedades de sus operaciones, así como las relaciones de semejanza y congruencia de distintas figuras geométricas.</v>
      </c>
      <c r="DL35" s="5" t="str">
        <f t="shared" ref="DL35:FJ35" si="73">DL34</f>
        <v>Aplica correctamente las propiedades de las operaciones de números reales y expresiones algebraicas en la resolución de problemas.</v>
      </c>
      <c r="DM35" s="5" t="str">
        <f t="shared" si="73"/>
        <v>Valora el uso del pensamiento lógico a la hora de plantear y resolver problemas de las matemáticas y de la vida cotidiana.</v>
      </c>
      <c r="DN35" s="5" t="str">
        <f t="shared" si="7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5" s="5" t="str">
        <f t="shared" si="73"/>
        <v>Organiza y analiza datos mediante la construcción de tablas de frecuencias y diagramas estadísticos, identificando variables aleatorias y utilizando estas representaciones para resolver situaciones problema.</v>
      </c>
      <c r="DP35" s="5" t="str">
        <f t="shared" si="73"/>
        <v>Muestra disposición y responsabilidad en el manejo y análisis de datos, participando activamente en actividades individuales y colaborativas, y comunicando información estadística con claridad y sentido crítico.</v>
      </c>
      <c r="DQ35" s="5" t="str">
        <f t="shared" si="73"/>
        <v>Analiza las características de la literatura prehispánica y la literatura del descubrimiento y la conquista en Colombia identificando sus elementos fundamentales y su impacto en la cultura y el lenguaje actual.</v>
      </c>
      <c r="DR35" s="5" t="str">
        <f t="shared" si="73"/>
        <v>Realiza comprensión lectora cuando analiza un texto desde el discurso de la Enunciación e identifica la función de cada uno de sus componentes.
Responde preguntas en los tres niveles de lectura a una leyenda del Caribe.</v>
      </c>
      <c r="DS35" s="5" t="str">
        <f t="shared" si="73"/>
        <v>Muestra disposición para participar activamente en las clases, promoviendo el respeto por las ideas ajenas y reconociendo la importancia de la precisión como una herramienta clave para una comunicación</v>
      </c>
      <c r="DT35" s="5" t="str">
        <f t="shared" si="73"/>
        <v>Comprende el contenido del cuento A la deriva, identificando su tema central, la secuencia de los hechos, los personajes y las ideas explícitas e implícitas del texto.</v>
      </c>
      <c r="DU35" s="5" t="str">
        <f t="shared" si="73"/>
        <v>Analiza críticamente el cuento A la deriva mediante la identificación de información literal, inferencial y crítica, sustentando sus respuestas de forma oral y escrita.</v>
      </c>
      <c r="DV35" s="5" t="str">
        <f t="shared" si="73"/>
        <v>Valora la lectura literaria como una oportunidad para reflexionar sobre la vida, la naturaleza y la condición humana, participando con interés, respeto y sentido crítico en las actividades propuestas.</v>
      </c>
      <c r="DW35" s="5" t="str">
        <f t="shared" si="73"/>
        <v>Comprende y reconoce vocabulario y estructuras basicas del ingles para interpretar textos cortos y conversaciones sobre temas cotidianos de la vida diaria.</v>
      </c>
      <c r="DX35" s="5" t="str">
        <f t="shared" si="73"/>
        <v>Produce de forma oral y escrita frases y parrafos cortos en Ingles, utilizando correctamente las estructuras conocidas para describir rutinas, narrar experiencias y participar en conversaciones.</v>
      </c>
      <c r="DY35" s="5" t="str">
        <f t="shared" si="73"/>
        <v>Muestra disposicion positiva hacia el aprendizaje del Ingles participando activamente en clase.</v>
      </c>
      <c r="DZ35" s="5" t="str">
        <f t="shared" si="73"/>
        <v>Identifica vocabulario en Ingles  de situaciones cotidianas.</v>
      </c>
      <c r="EA35" s="5" t="str">
        <f t="shared" si="73"/>
        <v>Participa en actividades utilizando vocabulario aprendido para expresar gustos,emociones y necesidades.</v>
      </c>
      <c r="EB35" s="5" t="str">
        <f t="shared" si="73"/>
        <v>Respeta la opinion de los demas, muestra disposicion para participar en actividades orales.</v>
      </c>
      <c r="EC35" s="5" t="str">
        <f t="shared" si="73"/>
        <v>Identifica la conformación y funcionamiento del sistema inmunolófico y diferencia las característics de los estados de la materia.</v>
      </c>
      <c r="ED35" s="5" t="str">
        <f t="shared" si="73"/>
        <v>Reconoce experimentalmente las características de materiales en los diferentes estados de la materia.</v>
      </c>
      <c r="EE35" s="5" t="str">
        <f t="shared" si="73"/>
        <v xml:space="preserve">Valora la importancia de tener habitos saludables, para lograr el mantenimiento saludable del sistema inmune. </v>
      </c>
      <c r="EF35" s="5" t="str">
        <f t="shared" si="73"/>
        <v>Describe correctamente la secuencia de eventos biologicos de la fecundacion,incluyendo las recciones acrosomicas,la funcion de gametos y la formacion de gametos.</v>
      </c>
      <c r="EG35" s="5" t="str">
        <f t="shared" si="73"/>
        <v>Mide la capacidad del labolatrio para lograr la fecundacion exitosa de los ovulos con el espermatozoide.</v>
      </c>
      <c r="EH35" s="5" t="str">
        <f t="shared" si="73"/>
        <v>Valora la importancia del cuidado del cuerpo y de la salud reproductiva como la base para una fecundacion saludable.</v>
      </c>
      <c r="EI35" s="5" t="str">
        <f t="shared" si="73"/>
        <v>Explico las principales caracteristicas de algunas revoluciones de los siglos XVIII y XIX (Revolucion francesa, Industrial...)</v>
      </c>
      <c r="EJ35" s="5" t="str">
        <f t="shared" si="73"/>
        <v>Analiza las causas y consecuencias de procesos historicos como la Revolucion Industrial y Francesa.</v>
      </c>
      <c r="EK35" s="5" t="str">
        <f t="shared" si="73"/>
        <v>Muestra interes y curiosidad por comprender los procesos historicos y su impacto en la sociedad.</v>
      </c>
      <c r="EL35" s="5" t="str">
        <f t="shared" si="73"/>
        <v xml:space="preserve">Identifica los procesos historicos de algunas revoluciones de los siglos XVIII y XIX </v>
      </c>
      <c r="EM35" s="5">
        <f t="shared" si="73"/>
        <v>0</v>
      </c>
      <c r="EN35" s="5">
        <f t="shared" si="73"/>
        <v>0</v>
      </c>
      <c r="EO35" s="5" t="str">
        <f t="shared" si="73"/>
        <v xml:space="preserve">Comprende la distribucion espacial de la poblacion antes y despues de las revoluciones </v>
      </c>
      <c r="EP35" s="5" t="str">
        <f t="shared" si="73"/>
        <v xml:space="preserve">Ubica en mapas las regiones donde se desarrollaron las principales revoluciones y explica sus caracteristicas geograficas </v>
      </c>
      <c r="EQ35" s="5" t="str">
        <f t="shared" si="73"/>
        <v>Muestra interes por comprender la relacion entre sociedad, economia y territorio</v>
      </c>
      <c r="ER35" s="5" t="str">
        <f t="shared" si="73"/>
        <v>Comprende el concepto de cultura de paz y su importancia en la sociedad</v>
      </c>
      <c r="ES35" s="5" t="str">
        <f t="shared" si="73"/>
        <v>Practica normas de convivencia en diferentes espacios( aula, hogar, comunidad)</v>
      </c>
      <c r="ET35" s="5" t="str">
        <f t="shared" si="73"/>
        <v>Muestra actitud de respeto hacia la diversidad cuktural, social y de pensamiento</v>
      </c>
      <c r="EU35" s="5">
        <f t="shared" si="73"/>
        <v>0</v>
      </c>
      <c r="EV35" s="5">
        <f t="shared" si="73"/>
        <v>0</v>
      </c>
      <c r="EW35" s="5">
        <f t="shared" si="73"/>
        <v>0</v>
      </c>
      <c r="EX35" s="5">
        <f t="shared" si="73"/>
        <v>0</v>
      </c>
      <c r="EY35" s="5">
        <f t="shared" si="73"/>
        <v>0</v>
      </c>
      <c r="EZ35" s="5">
        <f t="shared" si="73"/>
        <v>0</v>
      </c>
      <c r="FA35" s="5">
        <f t="shared" si="73"/>
        <v>0</v>
      </c>
      <c r="FB35" s="5">
        <f t="shared" si="73"/>
        <v>0</v>
      </c>
      <c r="FC35" s="5">
        <f t="shared" si="73"/>
        <v>0</v>
      </c>
      <c r="FD35" s="5" t="str">
        <f t="shared" si="73"/>
        <v xml:space="preserve"> Identifica las expresiones motrices relacionadas con el juego del voleibol,  como una oportunidad para mejorar la salud, la estética y las relaciones con los demás.</v>
      </c>
      <c r="FE35" s="5" t="str">
        <f t="shared" si="73"/>
        <v>Pone en práctica los fundamentos básicos del voleibol.</v>
      </c>
      <c r="FF35" s="5" t="str">
        <f t="shared" si="73"/>
        <v>Muestra  responsabilidad y buena actitud al realizar el juego de voleibol.</v>
      </c>
      <c r="FG35" s="5" t="str">
        <f t="shared" si="73"/>
        <v>Comprende el concepto de variable como espacio de almacenamiento de datos y reconoce el uso de estructuras condicionales (si, si-no) para la toma de decisiones en un programa.</v>
      </c>
      <c r="FH35" s="5" t="str">
        <f t="shared" si="73"/>
        <v>Diseña y desarrolla programas que utilizan variables y estructuras condicionales para resolver problemas, evaluando condiciones y generando respuestas según diferentes situaciones.</v>
      </c>
      <c r="FI35" s="5" t="str">
        <f t="shared" si="73"/>
        <v>Muestra pensamiento lógico, perseverancia y actitud crítica al analizar errores y proponer soluciones en la construcción de programas con variables y condicionales.</v>
      </c>
      <c r="FJ35" s="5" t="str">
        <f t="shared" si="73"/>
        <v>Identifica y reconoce sus pricipales deberes y derechos dentro y fuera  de la Institución educativa.</v>
      </c>
    </row>
    <row r="36" spans="1:166" ht="15.75" customHeight="1">
      <c r="A36" s="5">
        <v>35</v>
      </c>
      <c r="B36" s="5" t="s">
        <v>107</v>
      </c>
      <c r="C36" s="6">
        <v>1043165270</v>
      </c>
      <c r="D36" s="5" t="s">
        <v>68</v>
      </c>
      <c r="E36" s="5" t="s">
        <v>69</v>
      </c>
      <c r="F36" s="5" t="s">
        <v>70</v>
      </c>
      <c r="G36" s="5" t="s">
        <v>71</v>
      </c>
      <c r="H36" s="5">
        <v>2026</v>
      </c>
      <c r="I36" s="5">
        <v>4</v>
      </c>
      <c r="J36" s="7">
        <v>4</v>
      </c>
      <c r="K36" s="7">
        <v>4.2</v>
      </c>
      <c r="L36" s="7">
        <v>4.4000000000000004</v>
      </c>
      <c r="M36" s="5">
        <f t="shared" si="0"/>
        <v>4.2</v>
      </c>
      <c r="N36" s="5" t="str">
        <f t="shared" si="1"/>
        <v>ALTO</v>
      </c>
      <c r="O36" s="5">
        <v>1</v>
      </c>
      <c r="P36" s="7">
        <v>2.8</v>
      </c>
      <c r="Q36" s="7">
        <v>2.8</v>
      </c>
      <c r="R36" s="7">
        <v>2.8</v>
      </c>
      <c r="S36" s="5">
        <f t="shared" si="2"/>
        <v>2.8</v>
      </c>
      <c r="T36" s="5" t="str">
        <f t="shared" si="3"/>
        <v>BAJO</v>
      </c>
      <c r="U36" s="5">
        <v>4</v>
      </c>
      <c r="V36" s="7">
        <v>2.8</v>
      </c>
      <c r="W36" s="7">
        <v>2.8</v>
      </c>
      <c r="X36" s="7">
        <v>2.8</v>
      </c>
      <c r="Y36" s="5">
        <f t="shared" si="4"/>
        <v>2.8</v>
      </c>
      <c r="Z36" s="5" t="str">
        <f t="shared" si="5"/>
        <v>BAJO</v>
      </c>
      <c r="AA36" s="5">
        <v>1</v>
      </c>
      <c r="AB36" s="7">
        <v>2.8</v>
      </c>
      <c r="AC36" s="7">
        <v>2.8</v>
      </c>
      <c r="AD36" s="7">
        <v>2.8</v>
      </c>
      <c r="AE36" s="5">
        <f t="shared" si="6"/>
        <v>2.8</v>
      </c>
      <c r="AF36" s="5" t="str">
        <f t="shared" si="7"/>
        <v>BAJO</v>
      </c>
      <c r="AG36" s="5">
        <v>2</v>
      </c>
      <c r="AH36" s="8">
        <v>2.5</v>
      </c>
      <c r="AI36" s="8">
        <v>3</v>
      </c>
      <c r="AJ36" s="8">
        <v>3</v>
      </c>
      <c r="AK36" s="5">
        <f t="shared" si="8"/>
        <v>2.85</v>
      </c>
      <c r="AL36" s="5" t="str">
        <f t="shared" si="9"/>
        <v>BAJO</v>
      </c>
      <c r="AM36" s="5">
        <v>1</v>
      </c>
      <c r="AN36" s="8">
        <v>2.5</v>
      </c>
      <c r="AO36" s="8">
        <v>3</v>
      </c>
      <c r="AP36" s="8">
        <v>3</v>
      </c>
      <c r="AQ36" s="5">
        <f t="shared" si="10"/>
        <v>2.85</v>
      </c>
      <c r="AR36" s="5" t="str">
        <f t="shared" si="11"/>
        <v>BAJO</v>
      </c>
      <c r="AS36" s="5">
        <v>4</v>
      </c>
      <c r="AT36" s="7">
        <v>2</v>
      </c>
      <c r="AU36" s="7">
        <v>2</v>
      </c>
      <c r="AV36" s="7">
        <v>2</v>
      </c>
      <c r="AW36" s="5">
        <f t="shared" si="12"/>
        <v>2</v>
      </c>
      <c r="AX36" s="5" t="str">
        <f t="shared" si="53"/>
        <v>BAJO</v>
      </c>
      <c r="AY36" s="5">
        <v>1</v>
      </c>
      <c r="AZ36" s="7">
        <v>5</v>
      </c>
      <c r="BA36" s="7">
        <v>4</v>
      </c>
      <c r="BB36" s="7">
        <v>4</v>
      </c>
      <c r="BC36" s="5">
        <f t="shared" si="14"/>
        <v>4.3</v>
      </c>
      <c r="BD36" s="5" t="str">
        <f t="shared" si="15"/>
        <v>ALTO</v>
      </c>
      <c r="BE36" s="7">
        <v>2</v>
      </c>
      <c r="BF36" s="7">
        <v>3.3</v>
      </c>
      <c r="BG36" s="7">
        <v>3.2</v>
      </c>
      <c r="BH36" s="7">
        <v>3.4</v>
      </c>
      <c r="BI36" s="5">
        <f t="shared" ref="BI36:BI42" si="74">((BF36*0.3)+(BG36*0.4)+(BH36*0.3))</f>
        <v>3.29</v>
      </c>
      <c r="BJ36" s="5" t="str">
        <f t="shared" si="48"/>
        <v>BASICO</v>
      </c>
      <c r="BK36" s="5">
        <v>1</v>
      </c>
      <c r="BL36" s="7">
        <v>3.3</v>
      </c>
      <c r="BM36" s="7">
        <v>3.2</v>
      </c>
      <c r="BN36" s="7">
        <v>3.4</v>
      </c>
      <c r="BO36" s="5">
        <f t="shared" ref="BO36:BO42" si="75">((BL36*0.3)+(BM36*0.4)+(BN36*0.3))</f>
        <v>3.29</v>
      </c>
      <c r="BP36" s="5" t="str">
        <f t="shared" si="19"/>
        <v>BASICO</v>
      </c>
      <c r="BQ36" s="5">
        <v>1</v>
      </c>
      <c r="BR36" s="7">
        <v>3.2</v>
      </c>
      <c r="BS36" s="7">
        <v>3.3</v>
      </c>
      <c r="BT36" s="7">
        <v>3.4</v>
      </c>
      <c r="BU36" s="5">
        <f t="shared" ref="BU36:BU42" si="76">((BR36*0.3)+(BS36*0.4)+(BT36*0.3))</f>
        <v>3.3000000000000003</v>
      </c>
      <c r="BV36" s="5" t="str">
        <f t="shared" si="21"/>
        <v>BASICO</v>
      </c>
      <c r="BW36" s="5">
        <v>1</v>
      </c>
      <c r="BX36" s="7">
        <v>3.3</v>
      </c>
      <c r="BY36" s="7">
        <v>3.2</v>
      </c>
      <c r="BZ36" s="7">
        <v>3.3</v>
      </c>
      <c r="CA36" s="5">
        <f t="shared" ref="CA36:CA42" si="77">((BX36*0.3)+(BY36*0.4)+(BZ36*0.3))</f>
        <v>3.26</v>
      </c>
      <c r="CB36" s="5" t="str">
        <f t="shared" ref="CB36:CB42" si="78">IF(CA36&lt;3,"BAJO",IF(CA36&lt;4,"BASICO",IF(CA36&lt;4.5,"ALTO",IF(CA36&lt;=5,"SUPERIOR"))))</f>
        <v>BASICO</v>
      </c>
      <c r="CC36" s="5">
        <v>1</v>
      </c>
      <c r="CD36" s="7">
        <v>3.6</v>
      </c>
      <c r="CE36" s="7">
        <v>3.5</v>
      </c>
      <c r="CF36" s="7">
        <v>3.5</v>
      </c>
      <c r="CG36" s="5">
        <f t="shared" si="24"/>
        <v>3.5300000000000002</v>
      </c>
      <c r="CH36" s="5" t="str">
        <f t="shared" si="25"/>
        <v>BASICO</v>
      </c>
      <c r="CI36" s="5">
        <v>1</v>
      </c>
      <c r="CJ36" s="7">
        <v>3.5</v>
      </c>
      <c r="CK36" s="7">
        <v>3.5</v>
      </c>
      <c r="CL36" s="7">
        <v>3.5</v>
      </c>
      <c r="CM36" s="5">
        <f t="shared" si="26"/>
        <v>3.5</v>
      </c>
      <c r="CN36" s="5" t="str">
        <f t="shared" si="27"/>
        <v>BASICO</v>
      </c>
      <c r="CO36" s="5">
        <v>1</v>
      </c>
      <c r="CP36" s="7">
        <v>5</v>
      </c>
      <c r="CQ36" s="7">
        <v>5</v>
      </c>
      <c r="CR36" s="7">
        <v>5</v>
      </c>
      <c r="CS36" s="5">
        <f t="shared" si="28"/>
        <v>5</v>
      </c>
      <c r="CT36" s="5" t="str">
        <f t="shared" si="29"/>
        <v>SUPERIOR</v>
      </c>
      <c r="CU36" s="5">
        <v>2</v>
      </c>
      <c r="CV36" s="7">
        <v>3.5</v>
      </c>
      <c r="CW36" s="7">
        <v>3.5</v>
      </c>
      <c r="CX36" s="7">
        <v>3.5</v>
      </c>
      <c r="CY36" s="5">
        <f t="shared" si="30"/>
        <v>3.5</v>
      </c>
      <c r="CZ36" s="5" t="str">
        <f t="shared" si="31"/>
        <v>BASICO</v>
      </c>
      <c r="DA36" s="5">
        <v>2</v>
      </c>
      <c r="DB36" s="7">
        <v>3.5</v>
      </c>
      <c r="DC36" s="7">
        <v>3.5</v>
      </c>
      <c r="DD36" s="7">
        <v>3.5</v>
      </c>
      <c r="DE36" s="5">
        <f t="shared" si="32"/>
        <v>3.5</v>
      </c>
      <c r="DF36" s="5" t="str">
        <f t="shared" si="33"/>
        <v>BASICO</v>
      </c>
      <c r="DG36" s="5">
        <v>0</v>
      </c>
      <c r="DH36" s="7"/>
      <c r="DI36" s="5" t="str">
        <f t="shared" si="34"/>
        <v>BAJO</v>
      </c>
      <c r="DJ36" s="5">
        <f t="shared" si="35"/>
        <v>3.3418749999999999</v>
      </c>
      <c r="DK36" s="5" t="str">
        <f t="shared" si="36"/>
        <v>Comprende el concepto de números reales, su relación de orden y las propiedades de sus operaciones, así como las relaciones de semejanza y congruencia de distintas figuras geométricas.</v>
      </c>
      <c r="DL36" s="5" t="str">
        <f t="shared" ref="DL36:FJ36" si="79">DL35</f>
        <v>Aplica correctamente las propiedades de las operaciones de números reales y expresiones algebraicas en la resolución de problemas.</v>
      </c>
      <c r="DM36" s="5" t="str">
        <f t="shared" si="79"/>
        <v>Valora el uso del pensamiento lógico a la hora de plantear y resolver problemas de las matemáticas y de la vida cotidiana.</v>
      </c>
      <c r="DN36" s="5" t="str">
        <f t="shared" si="7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6" s="5" t="str">
        <f t="shared" si="79"/>
        <v>Organiza y analiza datos mediante la construcción de tablas de frecuencias y diagramas estadísticos, identificando variables aleatorias y utilizando estas representaciones para resolver situaciones problema.</v>
      </c>
      <c r="DP36" s="5" t="str">
        <f t="shared" si="79"/>
        <v>Muestra disposición y responsabilidad en el manejo y análisis de datos, participando activamente en actividades individuales y colaborativas, y comunicando información estadística con claridad y sentido crítico.</v>
      </c>
      <c r="DQ36" s="5" t="str">
        <f t="shared" si="79"/>
        <v>Analiza las características de la literatura prehispánica y la literatura del descubrimiento y la conquista en Colombia identificando sus elementos fundamentales y su impacto en la cultura y el lenguaje actual.</v>
      </c>
      <c r="DR36" s="5" t="str">
        <f t="shared" si="79"/>
        <v>Realiza comprensión lectora cuando analiza un texto desde el discurso de la Enunciación e identifica la función de cada uno de sus componentes.
Responde preguntas en los tres niveles de lectura a una leyenda del Caribe.</v>
      </c>
      <c r="DS36" s="5" t="str">
        <f t="shared" si="79"/>
        <v>Muestra disposición para participar activamente en las clases, promoviendo el respeto por las ideas ajenas y reconociendo la importancia de la precisión como una herramienta clave para una comunicación</v>
      </c>
      <c r="DT36" s="5" t="str">
        <f t="shared" si="79"/>
        <v>Comprende el contenido del cuento A la deriva, identificando su tema central, la secuencia de los hechos, los personajes y las ideas explícitas e implícitas del texto.</v>
      </c>
      <c r="DU36" s="5" t="str">
        <f t="shared" si="79"/>
        <v>Analiza críticamente el cuento A la deriva mediante la identificación de información literal, inferencial y crítica, sustentando sus respuestas de forma oral y escrita.</v>
      </c>
      <c r="DV36" s="5" t="str">
        <f t="shared" si="79"/>
        <v>Valora la lectura literaria como una oportunidad para reflexionar sobre la vida, la naturaleza y la condición humana, participando con interés, respeto y sentido crítico en las actividades propuestas.</v>
      </c>
      <c r="DW36" s="5" t="str">
        <f t="shared" si="79"/>
        <v>Comprende y reconoce vocabulario y estructuras basicas del ingles para interpretar textos cortos y conversaciones sobre temas cotidianos de la vida diaria.</v>
      </c>
      <c r="DX36" s="5" t="str">
        <f t="shared" si="79"/>
        <v>Produce de forma oral y escrita frases y parrafos cortos en Ingles, utilizando correctamente las estructuras conocidas para describir rutinas, narrar experiencias y participar en conversaciones.</v>
      </c>
      <c r="DY36" s="5" t="str">
        <f t="shared" si="79"/>
        <v>Muestra disposicion positiva hacia el aprendizaje del Ingles participando activamente en clase.</v>
      </c>
      <c r="DZ36" s="5" t="str">
        <f t="shared" si="79"/>
        <v>Identifica vocabulario en Ingles  de situaciones cotidianas.</v>
      </c>
      <c r="EA36" s="5" t="str">
        <f t="shared" si="79"/>
        <v>Participa en actividades utilizando vocabulario aprendido para expresar gustos,emociones y necesidades.</v>
      </c>
      <c r="EB36" s="5" t="str">
        <f t="shared" si="79"/>
        <v>Respeta la opinion de los demas, muestra disposicion para participar en actividades orales.</v>
      </c>
      <c r="EC36" s="5" t="str">
        <f t="shared" si="79"/>
        <v>Identifica la conformación y funcionamiento del sistema inmunolófico y diferencia las característics de los estados de la materia.</v>
      </c>
      <c r="ED36" s="5" t="str">
        <f t="shared" si="79"/>
        <v>Reconoce experimentalmente las características de materiales en los diferentes estados de la materia.</v>
      </c>
      <c r="EE36" s="5" t="str">
        <f t="shared" si="79"/>
        <v xml:space="preserve">Valora la importancia de tener habitos saludables, para lograr el mantenimiento saludable del sistema inmune. </v>
      </c>
      <c r="EF36" s="5" t="str">
        <f t="shared" si="79"/>
        <v>Describe correctamente la secuencia de eventos biologicos de la fecundacion,incluyendo las recciones acrosomicas,la funcion de gametos y la formacion de gametos.</v>
      </c>
      <c r="EG36" s="5" t="str">
        <f t="shared" si="79"/>
        <v>Mide la capacidad del labolatrio para lograr la fecundacion exitosa de los ovulos con el espermatozoide.</v>
      </c>
      <c r="EH36" s="5" t="str">
        <f t="shared" si="79"/>
        <v>Valora la importancia del cuidado del cuerpo y de la salud reproductiva como la base para una fecundacion saludable.</v>
      </c>
      <c r="EI36" s="5" t="str">
        <f t="shared" si="79"/>
        <v>Explico las principales caracteristicas de algunas revoluciones de los siglos XVIII y XIX (Revolucion francesa, Industrial...)</v>
      </c>
      <c r="EJ36" s="5" t="str">
        <f t="shared" si="79"/>
        <v>Analiza las causas y consecuencias de procesos historicos como la Revolucion Industrial y Francesa.</v>
      </c>
      <c r="EK36" s="5" t="str">
        <f t="shared" si="79"/>
        <v>Muestra interes y curiosidad por comprender los procesos historicos y su impacto en la sociedad.</v>
      </c>
      <c r="EL36" s="5" t="str">
        <f t="shared" si="79"/>
        <v xml:space="preserve">Identifica los procesos historicos de algunas revoluciones de los siglos XVIII y XIX </v>
      </c>
      <c r="EM36" s="5">
        <f t="shared" si="79"/>
        <v>0</v>
      </c>
      <c r="EN36" s="5">
        <f t="shared" si="79"/>
        <v>0</v>
      </c>
      <c r="EO36" s="5" t="str">
        <f t="shared" si="79"/>
        <v xml:space="preserve">Comprende la distribucion espacial de la poblacion antes y despues de las revoluciones </v>
      </c>
      <c r="EP36" s="5" t="str">
        <f t="shared" si="79"/>
        <v xml:space="preserve">Ubica en mapas las regiones donde se desarrollaron las principales revoluciones y explica sus caracteristicas geograficas </v>
      </c>
      <c r="EQ36" s="5" t="str">
        <f t="shared" si="79"/>
        <v>Muestra interes por comprender la relacion entre sociedad, economia y territorio</v>
      </c>
      <c r="ER36" s="5" t="str">
        <f t="shared" si="79"/>
        <v>Comprende el concepto de cultura de paz y su importancia en la sociedad</v>
      </c>
      <c r="ES36" s="5" t="str">
        <f t="shared" si="79"/>
        <v>Practica normas de convivencia en diferentes espacios( aula, hogar, comunidad)</v>
      </c>
      <c r="ET36" s="5" t="str">
        <f t="shared" si="79"/>
        <v>Muestra actitud de respeto hacia la diversidad cuktural, social y de pensamiento</v>
      </c>
      <c r="EU36" s="5">
        <f t="shared" si="79"/>
        <v>0</v>
      </c>
      <c r="EV36" s="5">
        <f t="shared" si="79"/>
        <v>0</v>
      </c>
      <c r="EW36" s="5">
        <f t="shared" si="79"/>
        <v>0</v>
      </c>
      <c r="EX36" s="5">
        <f t="shared" si="79"/>
        <v>0</v>
      </c>
      <c r="EY36" s="5">
        <f t="shared" si="79"/>
        <v>0</v>
      </c>
      <c r="EZ36" s="5">
        <f t="shared" si="79"/>
        <v>0</v>
      </c>
      <c r="FA36" s="5">
        <f t="shared" si="79"/>
        <v>0</v>
      </c>
      <c r="FB36" s="5">
        <f t="shared" si="79"/>
        <v>0</v>
      </c>
      <c r="FC36" s="5">
        <f t="shared" si="79"/>
        <v>0</v>
      </c>
      <c r="FD36" s="5" t="str">
        <f t="shared" si="79"/>
        <v xml:space="preserve"> Identifica las expresiones motrices relacionadas con el juego del voleibol,  como una oportunidad para mejorar la salud, la estética y las relaciones con los demás.</v>
      </c>
      <c r="FE36" s="5" t="str">
        <f t="shared" si="79"/>
        <v>Pone en práctica los fundamentos básicos del voleibol.</v>
      </c>
      <c r="FF36" s="5" t="str">
        <f t="shared" si="79"/>
        <v>Muestra  responsabilidad y buena actitud al realizar el juego de voleibol.</v>
      </c>
      <c r="FG36" s="5" t="str">
        <f t="shared" si="79"/>
        <v>Comprende el concepto de variable como espacio de almacenamiento de datos y reconoce el uso de estructuras condicionales (si, si-no) para la toma de decisiones en un programa.</v>
      </c>
      <c r="FH36" s="5" t="str">
        <f t="shared" si="79"/>
        <v>Diseña y desarrolla programas que utilizan variables y estructuras condicionales para resolver problemas, evaluando condiciones y generando respuestas según diferentes situaciones.</v>
      </c>
      <c r="FI36" s="5" t="str">
        <f t="shared" si="79"/>
        <v>Muestra pensamiento lógico, perseverancia y actitud crítica al analizar errores y proponer soluciones en la construcción de programas con variables y condicionales.</v>
      </c>
      <c r="FJ36" s="5" t="str">
        <f t="shared" si="79"/>
        <v>Identifica y reconoce sus pricipales deberes y derechos dentro y fuera  de la Institución educativa.</v>
      </c>
    </row>
    <row r="37" spans="1:166" ht="15.75" customHeight="1">
      <c r="A37" s="5">
        <v>36</v>
      </c>
      <c r="B37" s="5" t="s">
        <v>108</v>
      </c>
      <c r="C37" s="6">
        <v>1045518205</v>
      </c>
      <c r="D37" s="5" t="s">
        <v>68</v>
      </c>
      <c r="E37" s="5" t="s">
        <v>69</v>
      </c>
      <c r="F37" s="5" t="s">
        <v>70</v>
      </c>
      <c r="G37" s="5" t="s">
        <v>71</v>
      </c>
      <c r="H37" s="5">
        <v>2026</v>
      </c>
      <c r="I37" s="5">
        <v>4</v>
      </c>
      <c r="J37" s="7">
        <v>3</v>
      </c>
      <c r="K37" s="7">
        <v>3</v>
      </c>
      <c r="L37" s="7">
        <v>3</v>
      </c>
      <c r="M37" s="5">
        <f t="shared" si="0"/>
        <v>3</v>
      </c>
      <c r="N37" s="5" t="str">
        <f t="shared" si="1"/>
        <v>BASICO</v>
      </c>
      <c r="O37" s="5">
        <v>1</v>
      </c>
      <c r="P37" s="7">
        <v>2.8</v>
      </c>
      <c r="Q37" s="7">
        <v>2.8</v>
      </c>
      <c r="R37" s="7">
        <v>2.8</v>
      </c>
      <c r="S37" s="5">
        <f t="shared" si="2"/>
        <v>2.8</v>
      </c>
      <c r="T37" s="5" t="str">
        <f t="shared" si="3"/>
        <v>BAJO</v>
      </c>
      <c r="U37" s="5">
        <v>4</v>
      </c>
      <c r="V37" s="7">
        <v>3</v>
      </c>
      <c r="W37" s="7">
        <v>3</v>
      </c>
      <c r="X37" s="7">
        <v>3</v>
      </c>
      <c r="Y37" s="5">
        <f t="shared" si="4"/>
        <v>3</v>
      </c>
      <c r="Z37" s="5" t="str">
        <f t="shared" si="5"/>
        <v>BASICO</v>
      </c>
      <c r="AA37" s="5">
        <v>1</v>
      </c>
      <c r="AB37" s="7">
        <v>4</v>
      </c>
      <c r="AC37" s="7">
        <v>4</v>
      </c>
      <c r="AD37" s="7">
        <v>4</v>
      </c>
      <c r="AE37" s="5">
        <f t="shared" si="6"/>
        <v>4</v>
      </c>
      <c r="AF37" s="5" t="str">
        <f t="shared" si="7"/>
        <v>ALTO</v>
      </c>
      <c r="AG37" s="5">
        <v>2</v>
      </c>
      <c r="AH37" s="8">
        <v>3.5</v>
      </c>
      <c r="AI37" s="8">
        <v>3.5</v>
      </c>
      <c r="AJ37" s="8">
        <v>3.5</v>
      </c>
      <c r="AK37" s="5">
        <f t="shared" si="8"/>
        <v>3.5</v>
      </c>
      <c r="AL37" s="5" t="str">
        <f t="shared" si="9"/>
        <v>BASICO</v>
      </c>
      <c r="AM37" s="5">
        <v>1</v>
      </c>
      <c r="AN37" s="8">
        <v>3.5</v>
      </c>
      <c r="AO37" s="8">
        <v>3.5</v>
      </c>
      <c r="AP37" s="8">
        <v>3.5</v>
      </c>
      <c r="AQ37" s="5">
        <f t="shared" si="10"/>
        <v>3.5</v>
      </c>
      <c r="AR37" s="5" t="str">
        <f t="shared" si="11"/>
        <v>BASICO</v>
      </c>
      <c r="AS37" s="5">
        <v>4</v>
      </c>
      <c r="AT37" s="7">
        <v>3</v>
      </c>
      <c r="AU37" s="7">
        <v>3</v>
      </c>
      <c r="AV37" s="7">
        <v>3</v>
      </c>
      <c r="AW37" s="5">
        <f t="shared" si="12"/>
        <v>3</v>
      </c>
      <c r="AX37" s="5" t="str">
        <f t="shared" si="53"/>
        <v>BASICO</v>
      </c>
      <c r="AY37" s="5">
        <v>1</v>
      </c>
      <c r="AZ37" s="7">
        <v>3.8</v>
      </c>
      <c r="BA37" s="7">
        <v>3.5</v>
      </c>
      <c r="BB37" s="7">
        <v>3.5</v>
      </c>
      <c r="BC37" s="5">
        <f t="shared" si="14"/>
        <v>3.59</v>
      </c>
      <c r="BD37" s="5" t="str">
        <f t="shared" si="15"/>
        <v>BASICO</v>
      </c>
      <c r="BE37" s="7">
        <v>2</v>
      </c>
      <c r="BF37" s="7">
        <v>3.2</v>
      </c>
      <c r="BG37" s="7">
        <v>3.3</v>
      </c>
      <c r="BH37" s="7">
        <v>3</v>
      </c>
      <c r="BI37" s="5">
        <f t="shared" si="74"/>
        <v>3.18</v>
      </c>
      <c r="BJ37" s="5" t="str">
        <f t="shared" si="48"/>
        <v>BASICO</v>
      </c>
      <c r="BK37" s="5">
        <v>1</v>
      </c>
      <c r="BL37" s="7">
        <v>3</v>
      </c>
      <c r="BM37" s="7">
        <v>3.3</v>
      </c>
      <c r="BN37" s="7">
        <v>3.2</v>
      </c>
      <c r="BO37" s="5">
        <f t="shared" si="75"/>
        <v>3.1799999999999997</v>
      </c>
      <c r="BP37" s="5" t="str">
        <f t="shared" si="19"/>
        <v>BASICO</v>
      </c>
      <c r="BQ37" s="5">
        <v>1</v>
      </c>
      <c r="BR37" s="7">
        <v>3</v>
      </c>
      <c r="BS37" s="7">
        <v>3</v>
      </c>
      <c r="BT37" s="7">
        <v>3.3</v>
      </c>
      <c r="BU37" s="5">
        <f t="shared" si="76"/>
        <v>3.09</v>
      </c>
      <c r="BV37" s="5" t="str">
        <f t="shared" si="21"/>
        <v>BASICO</v>
      </c>
      <c r="BW37" s="5">
        <v>1</v>
      </c>
      <c r="BX37" s="7">
        <v>3</v>
      </c>
      <c r="BY37" s="7">
        <v>3</v>
      </c>
      <c r="BZ37" s="7">
        <v>3</v>
      </c>
      <c r="CA37" s="5">
        <f t="shared" si="77"/>
        <v>3</v>
      </c>
      <c r="CB37" s="5" t="str">
        <f t="shared" si="78"/>
        <v>BASICO</v>
      </c>
      <c r="CC37" s="5">
        <v>1</v>
      </c>
      <c r="CD37" s="7">
        <v>3.3</v>
      </c>
      <c r="CE37" s="7">
        <v>3.2</v>
      </c>
      <c r="CF37" s="7">
        <v>3.2</v>
      </c>
      <c r="CG37" s="5">
        <f t="shared" si="24"/>
        <v>3.23</v>
      </c>
      <c r="CH37" s="5" t="str">
        <f t="shared" si="25"/>
        <v>BASICO</v>
      </c>
      <c r="CI37" s="5">
        <v>1</v>
      </c>
      <c r="CJ37" s="7">
        <v>4</v>
      </c>
      <c r="CK37" s="7">
        <v>4</v>
      </c>
      <c r="CL37" s="7">
        <v>4</v>
      </c>
      <c r="CM37" s="5">
        <f t="shared" si="26"/>
        <v>4</v>
      </c>
      <c r="CN37" s="5" t="str">
        <f t="shared" si="27"/>
        <v>ALTO</v>
      </c>
      <c r="CO37" s="5">
        <v>1</v>
      </c>
      <c r="CP37" s="7">
        <v>5</v>
      </c>
      <c r="CQ37" s="7">
        <v>5</v>
      </c>
      <c r="CR37" s="7">
        <v>5</v>
      </c>
      <c r="CS37" s="5">
        <f t="shared" si="28"/>
        <v>5</v>
      </c>
      <c r="CT37" s="5" t="str">
        <f t="shared" si="29"/>
        <v>SUPERIOR</v>
      </c>
      <c r="CU37" s="5">
        <v>2</v>
      </c>
      <c r="CV37" s="7">
        <v>4</v>
      </c>
      <c r="CW37" s="7">
        <v>4</v>
      </c>
      <c r="CX37" s="7">
        <v>4</v>
      </c>
      <c r="CY37" s="5">
        <f t="shared" si="30"/>
        <v>4</v>
      </c>
      <c r="CZ37" s="5" t="str">
        <f t="shared" si="31"/>
        <v>ALTO</v>
      </c>
      <c r="DA37" s="5">
        <v>2</v>
      </c>
      <c r="DB37" s="7">
        <v>3.8</v>
      </c>
      <c r="DC37" s="7">
        <v>3.5</v>
      </c>
      <c r="DD37" s="7">
        <v>3.5</v>
      </c>
      <c r="DE37" s="5">
        <f t="shared" si="32"/>
        <v>3.59</v>
      </c>
      <c r="DF37" s="5" t="str">
        <f t="shared" si="33"/>
        <v>BASICO</v>
      </c>
      <c r="DG37" s="5">
        <v>0</v>
      </c>
      <c r="DH37" s="7"/>
      <c r="DI37" s="5" t="str">
        <f t="shared" si="34"/>
        <v>BAJO</v>
      </c>
      <c r="DJ37" s="5">
        <f t="shared" si="35"/>
        <v>3.4731249999999996</v>
      </c>
      <c r="DK37" s="5" t="str">
        <f t="shared" si="36"/>
        <v>Comprende el concepto de números reales, su relación de orden y las propiedades de sus operaciones, así como las relaciones de semejanza y congruencia de distintas figuras geométricas.</v>
      </c>
      <c r="DL37" s="5" t="str">
        <f t="shared" ref="DL37:FJ37" si="80">DL36</f>
        <v>Aplica correctamente las propiedades de las operaciones de números reales y expresiones algebraicas en la resolución de problemas.</v>
      </c>
      <c r="DM37" s="5" t="str">
        <f t="shared" si="80"/>
        <v>Valora el uso del pensamiento lógico a la hora de plantear y resolver problemas de las matemáticas y de la vida cotidiana.</v>
      </c>
      <c r="DN37" s="5" t="str">
        <f t="shared" si="8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7" s="5" t="str">
        <f t="shared" si="80"/>
        <v>Organiza y analiza datos mediante la construcción de tablas de frecuencias y diagramas estadísticos, identificando variables aleatorias y utilizando estas representaciones para resolver situaciones problema.</v>
      </c>
      <c r="DP37" s="5" t="str">
        <f t="shared" si="80"/>
        <v>Muestra disposición y responsabilidad en el manejo y análisis de datos, participando activamente en actividades individuales y colaborativas, y comunicando información estadística con claridad y sentido crítico.</v>
      </c>
      <c r="DQ37" s="5" t="str">
        <f t="shared" si="80"/>
        <v>Analiza las características de la literatura prehispánica y la literatura del descubrimiento y la conquista en Colombia identificando sus elementos fundamentales y su impacto en la cultura y el lenguaje actual.</v>
      </c>
      <c r="DR37" s="5" t="str">
        <f t="shared" si="80"/>
        <v>Realiza comprensión lectora cuando analiza un texto desde el discurso de la Enunciación e identifica la función de cada uno de sus componentes.
Responde preguntas en los tres niveles de lectura a una leyenda del Caribe.</v>
      </c>
      <c r="DS37" s="5" t="str">
        <f t="shared" si="80"/>
        <v>Muestra disposición para participar activamente en las clases, promoviendo el respeto por las ideas ajenas y reconociendo la importancia de la precisión como una herramienta clave para una comunicación</v>
      </c>
      <c r="DT37" s="5" t="str">
        <f t="shared" si="80"/>
        <v>Comprende el contenido del cuento A la deriva, identificando su tema central, la secuencia de los hechos, los personajes y las ideas explícitas e implícitas del texto.</v>
      </c>
      <c r="DU37" s="5" t="str">
        <f t="shared" si="80"/>
        <v>Analiza críticamente el cuento A la deriva mediante la identificación de información literal, inferencial y crítica, sustentando sus respuestas de forma oral y escrita.</v>
      </c>
      <c r="DV37" s="5" t="str">
        <f t="shared" si="80"/>
        <v>Valora la lectura literaria como una oportunidad para reflexionar sobre la vida, la naturaleza y la condición humana, participando con interés, respeto y sentido crítico en las actividades propuestas.</v>
      </c>
      <c r="DW37" s="5" t="str">
        <f t="shared" si="80"/>
        <v>Comprende y reconoce vocabulario y estructuras basicas del ingles para interpretar textos cortos y conversaciones sobre temas cotidianos de la vida diaria.</v>
      </c>
      <c r="DX37" s="5" t="str">
        <f t="shared" si="80"/>
        <v>Produce de forma oral y escrita frases y parrafos cortos en Ingles, utilizando correctamente las estructuras conocidas para describir rutinas, narrar experiencias y participar en conversaciones.</v>
      </c>
      <c r="DY37" s="5" t="str">
        <f t="shared" si="80"/>
        <v>Muestra disposicion positiva hacia el aprendizaje del Ingles participando activamente en clase.</v>
      </c>
      <c r="DZ37" s="5" t="str">
        <f t="shared" si="80"/>
        <v>Identifica vocabulario en Ingles  de situaciones cotidianas.</v>
      </c>
      <c r="EA37" s="5" t="str">
        <f t="shared" si="80"/>
        <v>Participa en actividades utilizando vocabulario aprendido para expresar gustos,emociones y necesidades.</v>
      </c>
      <c r="EB37" s="5" t="str">
        <f t="shared" si="80"/>
        <v>Respeta la opinion de los demas, muestra disposicion para participar en actividades orales.</v>
      </c>
      <c r="EC37" s="5" t="str">
        <f t="shared" si="80"/>
        <v>Identifica la conformación y funcionamiento del sistema inmunolófico y diferencia las característics de los estados de la materia.</v>
      </c>
      <c r="ED37" s="5" t="str">
        <f t="shared" si="80"/>
        <v>Reconoce experimentalmente las características de materiales en los diferentes estados de la materia.</v>
      </c>
      <c r="EE37" s="5" t="str">
        <f t="shared" si="80"/>
        <v xml:space="preserve">Valora la importancia de tener habitos saludables, para lograr el mantenimiento saludable del sistema inmune. </v>
      </c>
      <c r="EF37" s="5" t="str">
        <f t="shared" si="80"/>
        <v>Describe correctamente la secuencia de eventos biologicos de la fecundacion,incluyendo las recciones acrosomicas,la funcion de gametos y la formacion de gametos.</v>
      </c>
      <c r="EG37" s="5" t="str">
        <f t="shared" si="80"/>
        <v>Mide la capacidad del labolatrio para lograr la fecundacion exitosa de los ovulos con el espermatozoide.</v>
      </c>
      <c r="EH37" s="5" t="str">
        <f t="shared" si="80"/>
        <v>Valora la importancia del cuidado del cuerpo y de la salud reproductiva como la base para una fecundacion saludable.</v>
      </c>
      <c r="EI37" s="5" t="str">
        <f t="shared" si="80"/>
        <v>Explico las principales caracteristicas de algunas revoluciones de los siglos XVIII y XIX (Revolucion francesa, Industrial...)</v>
      </c>
      <c r="EJ37" s="5" t="str">
        <f t="shared" si="80"/>
        <v>Analiza las causas y consecuencias de procesos historicos como la Revolucion Industrial y Francesa.</v>
      </c>
      <c r="EK37" s="5" t="str">
        <f t="shared" si="80"/>
        <v>Muestra interes y curiosidad por comprender los procesos historicos y su impacto en la sociedad.</v>
      </c>
      <c r="EL37" s="5" t="str">
        <f t="shared" si="80"/>
        <v xml:space="preserve">Identifica los procesos historicos de algunas revoluciones de los siglos XVIII y XIX </v>
      </c>
      <c r="EM37" s="5">
        <f t="shared" si="80"/>
        <v>0</v>
      </c>
      <c r="EN37" s="5">
        <f t="shared" si="80"/>
        <v>0</v>
      </c>
      <c r="EO37" s="5" t="str">
        <f t="shared" si="80"/>
        <v xml:space="preserve">Comprende la distribucion espacial de la poblacion antes y despues de las revoluciones </v>
      </c>
      <c r="EP37" s="5" t="str">
        <f t="shared" si="80"/>
        <v xml:space="preserve">Ubica en mapas las regiones donde se desarrollaron las principales revoluciones y explica sus caracteristicas geograficas </v>
      </c>
      <c r="EQ37" s="5" t="str">
        <f t="shared" si="80"/>
        <v>Muestra interes por comprender la relacion entre sociedad, economia y territorio</v>
      </c>
      <c r="ER37" s="5" t="str">
        <f t="shared" si="80"/>
        <v>Comprende el concepto de cultura de paz y su importancia en la sociedad</v>
      </c>
      <c r="ES37" s="5" t="str">
        <f t="shared" si="80"/>
        <v>Practica normas de convivencia en diferentes espacios( aula, hogar, comunidad)</v>
      </c>
      <c r="ET37" s="5" t="str">
        <f t="shared" si="80"/>
        <v>Muestra actitud de respeto hacia la diversidad cuktural, social y de pensamiento</v>
      </c>
      <c r="EU37" s="5">
        <f t="shared" si="80"/>
        <v>0</v>
      </c>
      <c r="EV37" s="5">
        <f t="shared" si="80"/>
        <v>0</v>
      </c>
      <c r="EW37" s="5">
        <f t="shared" si="80"/>
        <v>0</v>
      </c>
      <c r="EX37" s="5">
        <f t="shared" si="80"/>
        <v>0</v>
      </c>
      <c r="EY37" s="5">
        <f t="shared" si="80"/>
        <v>0</v>
      </c>
      <c r="EZ37" s="5">
        <f t="shared" si="80"/>
        <v>0</v>
      </c>
      <c r="FA37" s="5">
        <f t="shared" si="80"/>
        <v>0</v>
      </c>
      <c r="FB37" s="5">
        <f t="shared" si="80"/>
        <v>0</v>
      </c>
      <c r="FC37" s="5">
        <f t="shared" si="80"/>
        <v>0</v>
      </c>
      <c r="FD37" s="5" t="str">
        <f t="shared" si="80"/>
        <v xml:space="preserve"> Identifica las expresiones motrices relacionadas con el juego del voleibol,  como una oportunidad para mejorar la salud, la estética y las relaciones con los demás.</v>
      </c>
      <c r="FE37" s="5" t="str">
        <f t="shared" si="80"/>
        <v>Pone en práctica los fundamentos básicos del voleibol.</v>
      </c>
      <c r="FF37" s="5" t="str">
        <f t="shared" si="80"/>
        <v>Muestra  responsabilidad y buena actitud al realizar el juego de voleibol.</v>
      </c>
      <c r="FG37" s="5" t="str">
        <f t="shared" si="80"/>
        <v>Comprende el concepto de variable como espacio de almacenamiento de datos y reconoce el uso de estructuras condicionales (si, si-no) para la toma de decisiones en un programa.</v>
      </c>
      <c r="FH37" s="5" t="str">
        <f t="shared" si="80"/>
        <v>Diseña y desarrolla programas que utilizan variables y estructuras condicionales para resolver problemas, evaluando condiciones y generando respuestas según diferentes situaciones.</v>
      </c>
      <c r="FI37" s="5" t="str">
        <f t="shared" si="80"/>
        <v>Muestra pensamiento lógico, perseverancia y actitud crítica al analizar errores y proponer soluciones en la construcción de programas con variables y condicionales.</v>
      </c>
      <c r="FJ37" s="5" t="str">
        <f t="shared" si="80"/>
        <v>Identifica y reconoce sus pricipales deberes y derechos dentro y fuera  de la Institución educativa.</v>
      </c>
    </row>
    <row r="38" spans="1:166" ht="15.75" customHeight="1">
      <c r="A38" s="9">
        <v>37</v>
      </c>
      <c r="B38" s="12" t="s">
        <v>109</v>
      </c>
      <c r="C38" s="13">
        <v>1044641273</v>
      </c>
      <c r="D38" s="5" t="s">
        <v>68</v>
      </c>
      <c r="E38" s="5" t="s">
        <v>69</v>
      </c>
      <c r="F38" s="14" t="s">
        <v>70</v>
      </c>
      <c r="G38" s="5" t="s">
        <v>71</v>
      </c>
      <c r="H38" s="5">
        <v>2026</v>
      </c>
      <c r="I38" s="14">
        <v>4</v>
      </c>
      <c r="J38" s="15"/>
      <c r="K38" s="15"/>
      <c r="L38" s="15"/>
      <c r="M38" s="14">
        <f t="shared" si="0"/>
        <v>0</v>
      </c>
      <c r="N38" s="14" t="str">
        <f t="shared" si="1"/>
        <v>BAJO</v>
      </c>
      <c r="O38" s="14">
        <v>1</v>
      </c>
      <c r="P38" s="15"/>
      <c r="Q38" s="15"/>
      <c r="R38" s="15"/>
      <c r="S38" s="14">
        <f t="shared" si="2"/>
        <v>0</v>
      </c>
      <c r="T38" s="14" t="str">
        <f t="shared" si="3"/>
        <v>BAJO</v>
      </c>
      <c r="U38" s="14">
        <v>4</v>
      </c>
      <c r="V38" s="15"/>
      <c r="W38" s="15"/>
      <c r="X38" s="15"/>
      <c r="Y38" s="14">
        <f t="shared" si="4"/>
        <v>0</v>
      </c>
      <c r="Z38" s="14" t="str">
        <f t="shared" si="5"/>
        <v>BAJO</v>
      </c>
      <c r="AA38" s="14">
        <v>1</v>
      </c>
      <c r="AB38" s="15"/>
      <c r="AC38" s="15"/>
      <c r="AD38" s="15"/>
      <c r="AE38" s="14">
        <f t="shared" si="6"/>
        <v>0</v>
      </c>
      <c r="AF38" s="14" t="str">
        <f t="shared" si="7"/>
        <v>BAJO</v>
      </c>
      <c r="AG38" s="14">
        <v>2</v>
      </c>
      <c r="AH38" s="16"/>
      <c r="AI38" s="16"/>
      <c r="AJ38" s="16"/>
      <c r="AK38" s="14">
        <f t="shared" si="8"/>
        <v>0</v>
      </c>
      <c r="AL38" s="14" t="str">
        <f t="shared" si="9"/>
        <v>BAJO</v>
      </c>
      <c r="AM38" s="14">
        <v>1</v>
      </c>
      <c r="AN38" s="16"/>
      <c r="AO38" s="16"/>
      <c r="AP38" s="16"/>
      <c r="AQ38" s="14">
        <f t="shared" si="10"/>
        <v>0</v>
      </c>
      <c r="AR38" s="14" t="str">
        <f t="shared" si="11"/>
        <v>BAJO</v>
      </c>
      <c r="AS38" s="5">
        <v>4</v>
      </c>
      <c r="AT38" s="15"/>
      <c r="AU38" s="15"/>
      <c r="AV38" s="15"/>
      <c r="AW38" s="14">
        <f t="shared" si="12"/>
        <v>0</v>
      </c>
      <c r="AX38" s="14" t="str">
        <f t="shared" si="53"/>
        <v>BAJO</v>
      </c>
      <c r="AY38" s="14">
        <v>1</v>
      </c>
      <c r="AZ38" s="15"/>
      <c r="BA38" s="15"/>
      <c r="BB38" s="15"/>
      <c r="BC38" s="14">
        <f t="shared" si="14"/>
        <v>0</v>
      </c>
      <c r="BD38" s="14" t="str">
        <f t="shared" si="15"/>
        <v>BAJO</v>
      </c>
      <c r="BE38" s="15">
        <v>2</v>
      </c>
      <c r="BF38" s="15"/>
      <c r="BG38" s="15"/>
      <c r="BH38" s="15"/>
      <c r="BI38" s="14">
        <f t="shared" si="74"/>
        <v>0</v>
      </c>
      <c r="BJ38" s="14" t="str">
        <f t="shared" si="48"/>
        <v>BAJO</v>
      </c>
      <c r="BK38" s="14">
        <v>1</v>
      </c>
      <c r="BL38" s="17"/>
      <c r="BM38" s="17"/>
      <c r="BN38" s="17"/>
      <c r="BO38" s="14">
        <f t="shared" si="75"/>
        <v>0</v>
      </c>
      <c r="BP38" s="14" t="str">
        <f t="shared" si="19"/>
        <v>BAJO</v>
      </c>
      <c r="BQ38" s="14">
        <v>1</v>
      </c>
      <c r="BR38" s="17"/>
      <c r="BS38" s="17"/>
      <c r="BT38" s="17"/>
      <c r="BU38" s="14">
        <f t="shared" si="76"/>
        <v>0</v>
      </c>
      <c r="BV38" s="14" t="str">
        <f t="shared" si="21"/>
        <v>BAJO</v>
      </c>
      <c r="BW38" s="14">
        <v>1</v>
      </c>
      <c r="BX38" s="17"/>
      <c r="BY38" s="17"/>
      <c r="BZ38" s="17"/>
      <c r="CA38" s="14">
        <f t="shared" si="77"/>
        <v>0</v>
      </c>
      <c r="CB38" s="14" t="str">
        <f t="shared" si="78"/>
        <v>BAJO</v>
      </c>
      <c r="CC38" s="14">
        <v>1</v>
      </c>
      <c r="CD38" s="15"/>
      <c r="CE38" s="15"/>
      <c r="CF38" s="15"/>
      <c r="CG38" s="14">
        <f t="shared" si="24"/>
        <v>0</v>
      </c>
      <c r="CH38" s="14" t="str">
        <f t="shared" si="25"/>
        <v>BAJO</v>
      </c>
      <c r="CI38" s="14">
        <v>1</v>
      </c>
      <c r="CJ38" s="15"/>
      <c r="CK38" s="15"/>
      <c r="CL38" s="15"/>
      <c r="CM38" s="14">
        <f t="shared" si="26"/>
        <v>0</v>
      </c>
      <c r="CN38" s="14" t="str">
        <f t="shared" si="27"/>
        <v>BAJO</v>
      </c>
      <c r="CO38" s="5">
        <v>1</v>
      </c>
      <c r="CP38" s="7"/>
      <c r="CQ38" s="7"/>
      <c r="CR38" s="7"/>
      <c r="CS38" s="14">
        <f t="shared" si="28"/>
        <v>0</v>
      </c>
      <c r="CT38" s="14" t="str">
        <f t="shared" si="29"/>
        <v>BAJO</v>
      </c>
      <c r="CU38" s="14">
        <v>2</v>
      </c>
      <c r="CV38" s="15"/>
      <c r="CW38" s="15"/>
      <c r="CX38" s="15"/>
      <c r="CY38" s="14">
        <f t="shared" si="30"/>
        <v>0</v>
      </c>
      <c r="CZ38" s="14" t="str">
        <f t="shared" si="31"/>
        <v>BAJO</v>
      </c>
      <c r="DA38" s="14">
        <v>2</v>
      </c>
      <c r="DB38" s="14"/>
      <c r="DC38" s="14"/>
      <c r="DD38" s="14"/>
      <c r="DE38" s="14">
        <f t="shared" si="32"/>
        <v>0</v>
      </c>
      <c r="DF38" s="14" t="str">
        <f t="shared" si="33"/>
        <v>BAJO</v>
      </c>
      <c r="DG38" s="14">
        <v>0</v>
      </c>
      <c r="DH38" s="18"/>
      <c r="DI38" s="14" t="str">
        <f t="shared" si="34"/>
        <v>BAJO</v>
      </c>
      <c r="DJ38" s="5">
        <f t="shared" si="35"/>
        <v>0</v>
      </c>
      <c r="DK38" s="5" t="str">
        <f t="shared" si="36"/>
        <v>Comprende el concepto de números reales, su relación de orden y las propiedades de sus operaciones, así como las relaciones de semejanza y congruencia de distintas figuras geométricas.</v>
      </c>
      <c r="DL38" s="5" t="str">
        <f t="shared" ref="DL38:FJ38" si="81">DL37</f>
        <v>Aplica correctamente las propiedades de las operaciones de números reales y expresiones algebraicas en la resolución de problemas.</v>
      </c>
      <c r="DM38" s="5" t="str">
        <f t="shared" si="81"/>
        <v>Valora el uso del pensamiento lógico a la hora de plantear y resolver problemas de las matemáticas y de la vida cotidiana.</v>
      </c>
      <c r="DN38" s="5" t="str">
        <f t="shared" si="8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8" s="5" t="str">
        <f t="shared" si="81"/>
        <v>Organiza y analiza datos mediante la construcción de tablas de frecuencias y diagramas estadísticos, identificando variables aleatorias y utilizando estas representaciones para resolver situaciones problema.</v>
      </c>
      <c r="DP38" s="5" t="str">
        <f t="shared" si="81"/>
        <v>Muestra disposición y responsabilidad en el manejo y análisis de datos, participando activamente en actividades individuales y colaborativas, y comunicando información estadística con claridad y sentido crítico.</v>
      </c>
      <c r="DQ38" s="5" t="str">
        <f t="shared" si="81"/>
        <v>Analiza las características de la literatura prehispánica y la literatura del descubrimiento y la conquista en Colombia identificando sus elementos fundamentales y su impacto en la cultura y el lenguaje actual.</v>
      </c>
      <c r="DR38" s="5" t="str">
        <f t="shared" si="81"/>
        <v>Realiza comprensión lectora cuando analiza un texto desde el discurso de la Enunciación e identifica la función de cada uno de sus componentes.
Responde preguntas en los tres niveles de lectura a una leyenda del Caribe.</v>
      </c>
      <c r="DS38" s="5" t="str">
        <f t="shared" si="81"/>
        <v>Muestra disposición para participar activamente en las clases, promoviendo el respeto por las ideas ajenas y reconociendo la importancia de la precisión como una herramienta clave para una comunicación</v>
      </c>
      <c r="DT38" s="5" t="str">
        <f t="shared" si="81"/>
        <v>Comprende el contenido del cuento A la deriva, identificando su tema central, la secuencia de los hechos, los personajes y las ideas explícitas e implícitas del texto.</v>
      </c>
      <c r="DU38" s="5" t="str">
        <f t="shared" si="81"/>
        <v>Analiza críticamente el cuento A la deriva mediante la identificación de información literal, inferencial y crítica, sustentando sus respuestas de forma oral y escrita.</v>
      </c>
      <c r="DV38" s="5" t="str">
        <f t="shared" si="81"/>
        <v>Valora la lectura literaria como una oportunidad para reflexionar sobre la vida, la naturaleza y la condición humana, participando con interés, respeto y sentido crítico en las actividades propuestas.</v>
      </c>
      <c r="DW38" s="5" t="str">
        <f t="shared" si="81"/>
        <v>Comprende y reconoce vocabulario y estructuras basicas del ingles para interpretar textos cortos y conversaciones sobre temas cotidianos de la vida diaria.</v>
      </c>
      <c r="DX38" s="5" t="str">
        <f t="shared" si="81"/>
        <v>Produce de forma oral y escrita frases y parrafos cortos en Ingles, utilizando correctamente las estructuras conocidas para describir rutinas, narrar experiencias y participar en conversaciones.</v>
      </c>
      <c r="DY38" s="5" t="str">
        <f t="shared" si="81"/>
        <v>Muestra disposicion positiva hacia el aprendizaje del Ingles participando activamente en clase.</v>
      </c>
      <c r="DZ38" s="5" t="str">
        <f t="shared" si="81"/>
        <v>Identifica vocabulario en Ingles  de situaciones cotidianas.</v>
      </c>
      <c r="EA38" s="5" t="str">
        <f t="shared" si="81"/>
        <v>Participa en actividades utilizando vocabulario aprendido para expresar gustos,emociones y necesidades.</v>
      </c>
      <c r="EB38" s="5" t="str">
        <f t="shared" si="81"/>
        <v>Respeta la opinion de los demas, muestra disposicion para participar en actividades orales.</v>
      </c>
      <c r="EC38" s="5" t="str">
        <f t="shared" si="81"/>
        <v>Identifica la conformación y funcionamiento del sistema inmunolófico y diferencia las característics de los estados de la materia.</v>
      </c>
      <c r="ED38" s="5" t="str">
        <f t="shared" si="81"/>
        <v>Reconoce experimentalmente las características de materiales en los diferentes estados de la materia.</v>
      </c>
      <c r="EE38" s="5" t="str">
        <f t="shared" si="81"/>
        <v xml:space="preserve">Valora la importancia de tener habitos saludables, para lograr el mantenimiento saludable del sistema inmune. </v>
      </c>
      <c r="EF38" s="5" t="str">
        <f t="shared" si="81"/>
        <v>Describe correctamente la secuencia de eventos biologicos de la fecundacion,incluyendo las recciones acrosomicas,la funcion de gametos y la formacion de gametos.</v>
      </c>
      <c r="EG38" s="5" t="str">
        <f t="shared" si="81"/>
        <v>Mide la capacidad del labolatrio para lograr la fecundacion exitosa de los ovulos con el espermatozoide.</v>
      </c>
      <c r="EH38" s="5" t="str">
        <f t="shared" si="81"/>
        <v>Valora la importancia del cuidado del cuerpo y de la salud reproductiva como la base para una fecundacion saludable.</v>
      </c>
      <c r="EI38" s="5" t="str">
        <f t="shared" si="81"/>
        <v>Explico las principales caracteristicas de algunas revoluciones de los siglos XVIII y XIX (Revolucion francesa, Industrial...)</v>
      </c>
      <c r="EJ38" s="5" t="str">
        <f t="shared" si="81"/>
        <v>Analiza las causas y consecuencias de procesos historicos como la Revolucion Industrial y Francesa.</v>
      </c>
      <c r="EK38" s="5" t="str">
        <f t="shared" si="81"/>
        <v>Muestra interes y curiosidad por comprender los procesos historicos y su impacto en la sociedad.</v>
      </c>
      <c r="EL38" s="5" t="str">
        <f t="shared" si="81"/>
        <v xml:space="preserve">Identifica los procesos historicos de algunas revoluciones de los siglos XVIII y XIX </v>
      </c>
      <c r="EM38" s="5">
        <f t="shared" si="81"/>
        <v>0</v>
      </c>
      <c r="EN38" s="5">
        <f t="shared" si="81"/>
        <v>0</v>
      </c>
      <c r="EO38" s="5" t="str">
        <f t="shared" si="81"/>
        <v xml:space="preserve">Comprende la distribucion espacial de la poblacion antes y despues de las revoluciones </v>
      </c>
      <c r="EP38" s="5" t="str">
        <f t="shared" si="81"/>
        <v xml:space="preserve">Ubica en mapas las regiones donde se desarrollaron las principales revoluciones y explica sus caracteristicas geograficas </v>
      </c>
      <c r="EQ38" s="5" t="str">
        <f t="shared" si="81"/>
        <v>Muestra interes por comprender la relacion entre sociedad, economia y territorio</v>
      </c>
      <c r="ER38" s="5" t="str">
        <f t="shared" si="81"/>
        <v>Comprende el concepto de cultura de paz y su importancia en la sociedad</v>
      </c>
      <c r="ES38" s="5" t="str">
        <f t="shared" si="81"/>
        <v>Practica normas de convivencia en diferentes espacios( aula, hogar, comunidad)</v>
      </c>
      <c r="ET38" s="5" t="str">
        <f t="shared" si="81"/>
        <v>Muestra actitud de respeto hacia la diversidad cuktural, social y de pensamiento</v>
      </c>
      <c r="EU38" s="5">
        <f t="shared" si="81"/>
        <v>0</v>
      </c>
      <c r="EV38" s="5">
        <f t="shared" si="81"/>
        <v>0</v>
      </c>
      <c r="EW38" s="5">
        <f t="shared" si="81"/>
        <v>0</v>
      </c>
      <c r="EX38" s="5">
        <f t="shared" si="81"/>
        <v>0</v>
      </c>
      <c r="EY38" s="5">
        <f t="shared" si="81"/>
        <v>0</v>
      </c>
      <c r="EZ38" s="5">
        <f t="shared" si="81"/>
        <v>0</v>
      </c>
      <c r="FA38" s="5">
        <f t="shared" si="81"/>
        <v>0</v>
      </c>
      <c r="FB38" s="5">
        <f t="shared" si="81"/>
        <v>0</v>
      </c>
      <c r="FC38" s="5">
        <f t="shared" si="81"/>
        <v>0</v>
      </c>
      <c r="FD38" s="5" t="str">
        <f t="shared" si="81"/>
        <v xml:space="preserve"> Identifica las expresiones motrices relacionadas con el juego del voleibol,  como una oportunidad para mejorar la salud, la estética y las relaciones con los demás.</v>
      </c>
      <c r="FE38" s="5" t="str">
        <f t="shared" si="81"/>
        <v>Pone en práctica los fundamentos básicos del voleibol.</v>
      </c>
      <c r="FF38" s="5" t="str">
        <f t="shared" si="81"/>
        <v>Muestra  responsabilidad y buena actitud al realizar el juego de voleibol.</v>
      </c>
      <c r="FG38" s="5" t="str">
        <f t="shared" si="81"/>
        <v>Comprende el concepto de variable como espacio de almacenamiento de datos y reconoce el uso de estructuras condicionales (si, si-no) para la toma de decisiones en un programa.</v>
      </c>
      <c r="FH38" s="5" t="str">
        <f t="shared" si="81"/>
        <v>Diseña y desarrolla programas que utilizan variables y estructuras condicionales para resolver problemas, evaluando condiciones y generando respuestas según diferentes situaciones.</v>
      </c>
      <c r="FI38" s="5" t="str">
        <f t="shared" si="81"/>
        <v>Muestra pensamiento lógico, perseverancia y actitud crítica al analizar errores y proponer soluciones en la construcción de programas con variables y condicionales.</v>
      </c>
      <c r="FJ38" s="5" t="str">
        <f t="shared" si="81"/>
        <v>Identifica y reconoce sus pricipales deberes y derechos dentro y fuera  de la Institución educativa.</v>
      </c>
    </row>
    <row r="39" spans="1:166" ht="15.75" customHeight="1">
      <c r="A39" s="19">
        <v>38</v>
      </c>
      <c r="B39" s="5" t="s">
        <v>110</v>
      </c>
      <c r="C39" s="6">
        <v>1143141002</v>
      </c>
      <c r="D39" s="5" t="s">
        <v>68</v>
      </c>
      <c r="E39" s="5" t="s">
        <v>69</v>
      </c>
      <c r="F39" s="5" t="s">
        <v>70</v>
      </c>
      <c r="G39" s="5" t="s">
        <v>71</v>
      </c>
      <c r="H39" s="5">
        <v>2026</v>
      </c>
      <c r="I39" s="5">
        <v>4</v>
      </c>
      <c r="J39" s="7">
        <v>3</v>
      </c>
      <c r="K39" s="7">
        <v>3.1</v>
      </c>
      <c r="L39" s="7">
        <v>3.2</v>
      </c>
      <c r="M39" s="5">
        <f t="shared" si="0"/>
        <v>3.1</v>
      </c>
      <c r="N39" s="5" t="str">
        <f t="shared" si="1"/>
        <v>BASICO</v>
      </c>
      <c r="O39" s="5">
        <v>1</v>
      </c>
      <c r="P39" s="7">
        <v>3.1</v>
      </c>
      <c r="Q39" s="7">
        <v>3.1</v>
      </c>
      <c r="R39" s="7">
        <v>3.1</v>
      </c>
      <c r="S39" s="5">
        <f t="shared" si="2"/>
        <v>3.0999999999999996</v>
      </c>
      <c r="T39" s="5" t="str">
        <f t="shared" si="3"/>
        <v>BASICO</v>
      </c>
      <c r="U39" s="5">
        <v>4</v>
      </c>
      <c r="V39" s="7">
        <v>2.5</v>
      </c>
      <c r="W39" s="7">
        <v>2.5</v>
      </c>
      <c r="X39" s="7">
        <v>3</v>
      </c>
      <c r="Y39" s="5">
        <f t="shared" si="4"/>
        <v>2.65</v>
      </c>
      <c r="Z39" s="5" t="str">
        <f t="shared" si="5"/>
        <v>BAJO</v>
      </c>
      <c r="AA39" s="5">
        <v>1</v>
      </c>
      <c r="AB39" s="7">
        <v>3.5</v>
      </c>
      <c r="AC39" s="7">
        <v>3.5</v>
      </c>
      <c r="AD39" s="7">
        <v>3.5</v>
      </c>
      <c r="AE39" s="5">
        <f t="shared" si="6"/>
        <v>3.5</v>
      </c>
      <c r="AF39" s="5" t="str">
        <f t="shared" si="7"/>
        <v>BASICO</v>
      </c>
      <c r="AG39" s="5">
        <v>2</v>
      </c>
      <c r="AH39" s="8">
        <v>4</v>
      </c>
      <c r="AI39" s="8">
        <v>4</v>
      </c>
      <c r="AJ39" s="8">
        <v>4</v>
      </c>
      <c r="AK39" s="5">
        <f t="shared" si="8"/>
        <v>4</v>
      </c>
      <c r="AL39" s="5" t="str">
        <f t="shared" si="9"/>
        <v>ALTO</v>
      </c>
      <c r="AM39" s="5">
        <v>1</v>
      </c>
      <c r="AN39" s="8">
        <v>4</v>
      </c>
      <c r="AO39" s="8">
        <v>4</v>
      </c>
      <c r="AP39" s="8">
        <v>4</v>
      </c>
      <c r="AQ39" s="5">
        <f t="shared" si="10"/>
        <v>4</v>
      </c>
      <c r="AR39" s="5" t="str">
        <f t="shared" si="11"/>
        <v>ALTO</v>
      </c>
      <c r="AS39" s="5">
        <v>4</v>
      </c>
      <c r="AT39" s="7">
        <v>3.5</v>
      </c>
      <c r="AU39" s="7">
        <v>3.5</v>
      </c>
      <c r="AV39" s="7">
        <v>3.5</v>
      </c>
      <c r="AW39" s="5">
        <f t="shared" si="12"/>
        <v>3.5</v>
      </c>
      <c r="AX39" s="5" t="str">
        <f t="shared" si="53"/>
        <v>BASICO</v>
      </c>
      <c r="AY39" s="5">
        <v>1</v>
      </c>
      <c r="AZ39" s="7">
        <v>3</v>
      </c>
      <c r="BA39" s="7">
        <v>3.4</v>
      </c>
      <c r="BB39" s="7">
        <v>3.2</v>
      </c>
      <c r="BC39" s="5">
        <f t="shared" si="14"/>
        <v>3.2199999999999998</v>
      </c>
      <c r="BD39" s="5" t="str">
        <f t="shared" si="15"/>
        <v>BASICO</v>
      </c>
      <c r="BE39" s="7">
        <v>2</v>
      </c>
      <c r="BF39" s="7">
        <v>3.4</v>
      </c>
      <c r="BG39" s="7">
        <v>3.3</v>
      </c>
      <c r="BH39" s="7">
        <v>3.5</v>
      </c>
      <c r="BI39" s="5">
        <f t="shared" si="74"/>
        <v>3.3899999999999997</v>
      </c>
      <c r="BJ39" s="5" t="str">
        <f t="shared" si="48"/>
        <v>BASICO</v>
      </c>
      <c r="BK39" s="5">
        <v>1</v>
      </c>
      <c r="BL39" s="7">
        <v>3.3</v>
      </c>
      <c r="BM39" s="7">
        <v>3.5</v>
      </c>
      <c r="BN39" s="7">
        <v>3.3</v>
      </c>
      <c r="BO39" s="5">
        <f t="shared" si="75"/>
        <v>3.38</v>
      </c>
      <c r="BP39" s="5" t="str">
        <f t="shared" si="19"/>
        <v>BASICO</v>
      </c>
      <c r="BQ39" s="5">
        <v>1</v>
      </c>
      <c r="BR39" s="7">
        <v>3.3</v>
      </c>
      <c r="BS39" s="7">
        <v>3.4</v>
      </c>
      <c r="BT39" s="7">
        <v>3.5</v>
      </c>
      <c r="BU39" s="5">
        <f t="shared" si="76"/>
        <v>3.4000000000000004</v>
      </c>
      <c r="BV39" s="5" t="str">
        <f t="shared" si="21"/>
        <v>BASICO</v>
      </c>
      <c r="BW39" s="5">
        <v>1</v>
      </c>
      <c r="BX39" s="7">
        <v>3</v>
      </c>
      <c r="BY39" s="7">
        <v>3</v>
      </c>
      <c r="BZ39" s="7">
        <v>3</v>
      </c>
      <c r="CA39" s="5">
        <f t="shared" si="77"/>
        <v>3</v>
      </c>
      <c r="CB39" s="5" t="str">
        <f t="shared" si="78"/>
        <v>BASICO</v>
      </c>
      <c r="CC39" s="5">
        <v>1</v>
      </c>
      <c r="CD39" s="7">
        <v>4.5999999999999996</v>
      </c>
      <c r="CE39" s="7">
        <v>4.4000000000000004</v>
      </c>
      <c r="CF39" s="7">
        <v>4.4000000000000004</v>
      </c>
      <c r="CG39" s="5">
        <f t="shared" si="24"/>
        <v>4.46</v>
      </c>
      <c r="CH39" s="5" t="str">
        <f t="shared" si="25"/>
        <v>ALTO</v>
      </c>
      <c r="CI39" s="5">
        <v>1</v>
      </c>
      <c r="CJ39" s="7">
        <v>4</v>
      </c>
      <c r="CK39" s="7">
        <v>4</v>
      </c>
      <c r="CL39" s="7">
        <v>4</v>
      </c>
      <c r="CM39" s="5">
        <f t="shared" si="26"/>
        <v>4</v>
      </c>
      <c r="CN39" s="5" t="str">
        <f t="shared" si="27"/>
        <v>ALTO</v>
      </c>
      <c r="CO39" s="5">
        <v>1</v>
      </c>
      <c r="CP39" s="7">
        <v>5</v>
      </c>
      <c r="CQ39" s="7">
        <v>5</v>
      </c>
      <c r="CR39" s="7">
        <v>5</v>
      </c>
      <c r="CS39" s="5">
        <f t="shared" si="28"/>
        <v>5</v>
      </c>
      <c r="CT39" s="5" t="str">
        <f t="shared" si="29"/>
        <v>SUPERIOR</v>
      </c>
      <c r="CU39" s="5">
        <v>2</v>
      </c>
      <c r="CV39" s="7">
        <v>3.5</v>
      </c>
      <c r="CW39" s="7">
        <v>3.5</v>
      </c>
      <c r="CX39" s="7">
        <v>3.5</v>
      </c>
      <c r="CY39" s="5">
        <f t="shared" si="30"/>
        <v>3.5</v>
      </c>
      <c r="CZ39" s="5" t="str">
        <f t="shared" si="31"/>
        <v>BASICO</v>
      </c>
      <c r="DA39" s="5">
        <v>2</v>
      </c>
      <c r="DB39" s="7">
        <v>2.5</v>
      </c>
      <c r="DC39" s="7">
        <v>2.5</v>
      </c>
      <c r="DD39" s="7">
        <v>3.5</v>
      </c>
      <c r="DE39" s="5">
        <f t="shared" si="32"/>
        <v>2.8</v>
      </c>
      <c r="DF39" s="5" t="str">
        <f t="shared" si="33"/>
        <v>BAJO</v>
      </c>
      <c r="DG39" s="5">
        <v>0</v>
      </c>
      <c r="DH39" s="7"/>
      <c r="DI39" s="5" t="str">
        <f t="shared" si="34"/>
        <v>BAJO</v>
      </c>
      <c r="DJ39" s="5">
        <f t="shared" si="35"/>
        <v>3.5375000000000001</v>
      </c>
      <c r="DK39" s="5" t="str">
        <f t="shared" si="36"/>
        <v>Comprende el concepto de números reales, su relación de orden y las propiedades de sus operaciones, así como las relaciones de semejanza y congruencia de distintas figuras geométricas.</v>
      </c>
      <c r="DL39" s="5" t="str">
        <f t="shared" ref="DL39:FJ39" si="82">DL38</f>
        <v>Aplica correctamente las propiedades de las operaciones de números reales y expresiones algebraicas en la resolución de problemas.</v>
      </c>
      <c r="DM39" s="5" t="str">
        <f t="shared" si="82"/>
        <v>Valora el uso del pensamiento lógico a la hora de plantear y resolver problemas de las matemáticas y de la vida cotidiana.</v>
      </c>
      <c r="DN39" s="5" t="str">
        <f t="shared" si="8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9" s="5" t="str">
        <f t="shared" si="82"/>
        <v>Organiza y analiza datos mediante la construcción de tablas de frecuencias y diagramas estadísticos, identificando variables aleatorias y utilizando estas representaciones para resolver situaciones problema.</v>
      </c>
      <c r="DP39" s="5" t="str">
        <f t="shared" si="82"/>
        <v>Muestra disposición y responsabilidad en el manejo y análisis de datos, participando activamente en actividades individuales y colaborativas, y comunicando información estadística con claridad y sentido crítico.</v>
      </c>
      <c r="DQ39" s="5" t="str">
        <f t="shared" si="82"/>
        <v>Analiza las características de la literatura prehispánica y la literatura del descubrimiento y la conquista en Colombia identificando sus elementos fundamentales y su impacto en la cultura y el lenguaje actual.</v>
      </c>
      <c r="DR39" s="5" t="str">
        <f t="shared" si="82"/>
        <v>Realiza comprensión lectora cuando analiza un texto desde el discurso de la Enunciación e identifica la función de cada uno de sus componentes.
Responde preguntas en los tres niveles de lectura a una leyenda del Caribe.</v>
      </c>
      <c r="DS39" s="5" t="str">
        <f t="shared" si="82"/>
        <v>Muestra disposición para participar activamente en las clases, promoviendo el respeto por las ideas ajenas y reconociendo la importancia de la precisión como una herramienta clave para una comunicación</v>
      </c>
      <c r="DT39" s="5" t="str">
        <f t="shared" si="82"/>
        <v>Comprende el contenido del cuento A la deriva, identificando su tema central, la secuencia de los hechos, los personajes y las ideas explícitas e implícitas del texto.</v>
      </c>
      <c r="DU39" s="5" t="str">
        <f t="shared" si="82"/>
        <v>Analiza críticamente el cuento A la deriva mediante la identificación de información literal, inferencial y crítica, sustentando sus respuestas de forma oral y escrita.</v>
      </c>
      <c r="DV39" s="5" t="str">
        <f t="shared" si="82"/>
        <v>Valora la lectura literaria como una oportunidad para reflexionar sobre la vida, la naturaleza y la condición humana, participando con interés, respeto y sentido crítico en las actividades propuestas.</v>
      </c>
      <c r="DW39" s="5" t="str">
        <f t="shared" si="82"/>
        <v>Comprende y reconoce vocabulario y estructuras basicas del ingles para interpretar textos cortos y conversaciones sobre temas cotidianos de la vida diaria.</v>
      </c>
      <c r="DX39" s="5" t="str">
        <f t="shared" si="82"/>
        <v>Produce de forma oral y escrita frases y parrafos cortos en Ingles, utilizando correctamente las estructuras conocidas para describir rutinas, narrar experiencias y participar en conversaciones.</v>
      </c>
      <c r="DY39" s="5" t="str">
        <f t="shared" si="82"/>
        <v>Muestra disposicion positiva hacia el aprendizaje del Ingles participando activamente en clase.</v>
      </c>
      <c r="DZ39" s="5" t="str">
        <f t="shared" si="82"/>
        <v>Identifica vocabulario en Ingles  de situaciones cotidianas.</v>
      </c>
      <c r="EA39" s="5" t="str">
        <f t="shared" si="82"/>
        <v>Participa en actividades utilizando vocabulario aprendido para expresar gustos,emociones y necesidades.</v>
      </c>
      <c r="EB39" s="5" t="str">
        <f t="shared" si="82"/>
        <v>Respeta la opinion de los demas, muestra disposicion para participar en actividades orales.</v>
      </c>
      <c r="EC39" s="5" t="str">
        <f t="shared" si="82"/>
        <v>Identifica la conformación y funcionamiento del sistema inmunolófico y diferencia las característics de los estados de la materia.</v>
      </c>
      <c r="ED39" s="5" t="str">
        <f t="shared" si="82"/>
        <v>Reconoce experimentalmente las características de materiales en los diferentes estados de la materia.</v>
      </c>
      <c r="EE39" s="5" t="str">
        <f t="shared" si="82"/>
        <v xml:space="preserve">Valora la importancia de tener habitos saludables, para lograr el mantenimiento saludable del sistema inmune. </v>
      </c>
      <c r="EF39" s="5" t="str">
        <f t="shared" si="82"/>
        <v>Describe correctamente la secuencia de eventos biologicos de la fecundacion,incluyendo las recciones acrosomicas,la funcion de gametos y la formacion de gametos.</v>
      </c>
      <c r="EG39" s="5" t="str">
        <f t="shared" si="82"/>
        <v>Mide la capacidad del labolatrio para lograr la fecundacion exitosa de los ovulos con el espermatozoide.</v>
      </c>
      <c r="EH39" s="5" t="str">
        <f t="shared" si="82"/>
        <v>Valora la importancia del cuidado del cuerpo y de la salud reproductiva como la base para una fecundacion saludable.</v>
      </c>
      <c r="EI39" s="5" t="str">
        <f t="shared" si="82"/>
        <v>Explico las principales caracteristicas de algunas revoluciones de los siglos XVIII y XIX (Revolucion francesa, Industrial...)</v>
      </c>
      <c r="EJ39" s="5" t="str">
        <f t="shared" si="82"/>
        <v>Analiza las causas y consecuencias de procesos historicos como la Revolucion Industrial y Francesa.</v>
      </c>
      <c r="EK39" s="5" t="str">
        <f t="shared" si="82"/>
        <v>Muestra interes y curiosidad por comprender los procesos historicos y su impacto en la sociedad.</v>
      </c>
      <c r="EL39" s="5" t="str">
        <f t="shared" si="82"/>
        <v xml:space="preserve">Identifica los procesos historicos de algunas revoluciones de los siglos XVIII y XIX </v>
      </c>
      <c r="EM39" s="5">
        <f t="shared" si="82"/>
        <v>0</v>
      </c>
      <c r="EN39" s="5">
        <f t="shared" si="82"/>
        <v>0</v>
      </c>
      <c r="EO39" s="5" t="str">
        <f t="shared" si="82"/>
        <v xml:space="preserve">Comprende la distribucion espacial de la poblacion antes y despues de las revoluciones </v>
      </c>
      <c r="EP39" s="5" t="str">
        <f t="shared" si="82"/>
        <v xml:space="preserve">Ubica en mapas las regiones donde se desarrollaron las principales revoluciones y explica sus caracteristicas geograficas </v>
      </c>
      <c r="EQ39" s="5" t="str">
        <f t="shared" si="82"/>
        <v>Muestra interes por comprender la relacion entre sociedad, economia y territorio</v>
      </c>
      <c r="ER39" s="5" t="str">
        <f t="shared" si="82"/>
        <v>Comprende el concepto de cultura de paz y su importancia en la sociedad</v>
      </c>
      <c r="ES39" s="5" t="str">
        <f t="shared" si="82"/>
        <v>Practica normas de convivencia en diferentes espacios( aula, hogar, comunidad)</v>
      </c>
      <c r="ET39" s="5" t="str">
        <f t="shared" si="82"/>
        <v>Muestra actitud de respeto hacia la diversidad cuktural, social y de pensamiento</v>
      </c>
      <c r="EU39" s="5">
        <f t="shared" si="82"/>
        <v>0</v>
      </c>
      <c r="EV39" s="5">
        <f t="shared" si="82"/>
        <v>0</v>
      </c>
      <c r="EW39" s="5">
        <f t="shared" si="82"/>
        <v>0</v>
      </c>
      <c r="EX39" s="5">
        <f t="shared" si="82"/>
        <v>0</v>
      </c>
      <c r="EY39" s="5">
        <f t="shared" si="82"/>
        <v>0</v>
      </c>
      <c r="EZ39" s="5">
        <f t="shared" si="82"/>
        <v>0</v>
      </c>
      <c r="FA39" s="5">
        <f t="shared" si="82"/>
        <v>0</v>
      </c>
      <c r="FB39" s="5">
        <f t="shared" si="82"/>
        <v>0</v>
      </c>
      <c r="FC39" s="5">
        <f t="shared" si="82"/>
        <v>0</v>
      </c>
      <c r="FD39" s="5" t="str">
        <f t="shared" si="82"/>
        <v xml:space="preserve"> Identifica las expresiones motrices relacionadas con el juego del voleibol,  como una oportunidad para mejorar la salud, la estética y las relaciones con los demás.</v>
      </c>
      <c r="FE39" s="5" t="str">
        <f t="shared" si="82"/>
        <v>Pone en práctica los fundamentos básicos del voleibol.</v>
      </c>
      <c r="FF39" s="5" t="str">
        <f t="shared" si="82"/>
        <v>Muestra  responsabilidad y buena actitud al realizar el juego de voleibol.</v>
      </c>
      <c r="FG39" s="5" t="str">
        <f t="shared" si="82"/>
        <v>Comprende el concepto de variable como espacio de almacenamiento de datos y reconoce el uso de estructuras condicionales (si, si-no) para la toma de decisiones en un programa.</v>
      </c>
      <c r="FH39" s="5" t="str">
        <f t="shared" si="82"/>
        <v>Diseña y desarrolla programas que utilizan variables y estructuras condicionales para resolver problemas, evaluando condiciones y generando respuestas según diferentes situaciones.</v>
      </c>
      <c r="FI39" s="5" t="str">
        <f t="shared" si="82"/>
        <v>Muestra pensamiento lógico, perseverancia y actitud crítica al analizar errores y proponer soluciones en la construcción de programas con variables y condicionales.</v>
      </c>
      <c r="FJ39" s="5" t="str">
        <f t="shared" si="82"/>
        <v>Identifica y reconoce sus pricipales deberes y derechos dentro y fuera  de la Institución educativa.</v>
      </c>
    </row>
    <row r="40" spans="1:166" ht="15.75" customHeight="1">
      <c r="A40" s="19">
        <v>39</v>
      </c>
      <c r="B40" s="5" t="s">
        <v>111</v>
      </c>
      <c r="C40" s="6">
        <v>1043461932</v>
      </c>
      <c r="D40" s="5" t="s">
        <v>68</v>
      </c>
      <c r="E40" s="5" t="s">
        <v>69</v>
      </c>
      <c r="F40" s="14" t="s">
        <v>70</v>
      </c>
      <c r="G40" s="5" t="s">
        <v>71</v>
      </c>
      <c r="H40" s="5">
        <v>2026</v>
      </c>
      <c r="I40" s="14">
        <v>4</v>
      </c>
      <c r="J40" s="15">
        <v>3.5</v>
      </c>
      <c r="K40" s="15">
        <v>3.6</v>
      </c>
      <c r="L40" s="15">
        <v>3.7</v>
      </c>
      <c r="M40" s="14">
        <f t="shared" si="0"/>
        <v>3.6000000000000005</v>
      </c>
      <c r="N40" s="14" t="str">
        <f t="shared" si="1"/>
        <v>BASICO</v>
      </c>
      <c r="O40" s="14">
        <v>1</v>
      </c>
      <c r="P40" s="15">
        <v>4.7</v>
      </c>
      <c r="Q40" s="15">
        <v>4.7</v>
      </c>
      <c r="R40" s="15">
        <v>4.7</v>
      </c>
      <c r="S40" s="14">
        <f t="shared" si="2"/>
        <v>4.7</v>
      </c>
      <c r="T40" s="14" t="str">
        <f t="shared" si="3"/>
        <v>SUPERIOR</v>
      </c>
      <c r="U40" s="14">
        <v>4</v>
      </c>
      <c r="V40" s="15">
        <v>4.5</v>
      </c>
      <c r="W40" s="15">
        <v>4.5</v>
      </c>
      <c r="X40" s="15">
        <v>4.5</v>
      </c>
      <c r="Y40" s="14">
        <f t="shared" si="4"/>
        <v>4.5</v>
      </c>
      <c r="Z40" s="14" t="str">
        <f t="shared" si="5"/>
        <v>SUPERIOR</v>
      </c>
      <c r="AA40" s="14">
        <v>1</v>
      </c>
      <c r="AB40" s="15">
        <v>4.0999999999999996</v>
      </c>
      <c r="AC40" s="15">
        <v>4.0999999999999996</v>
      </c>
      <c r="AD40" s="15">
        <v>4.0999999999999996</v>
      </c>
      <c r="AE40" s="14">
        <f t="shared" si="6"/>
        <v>4.0999999999999996</v>
      </c>
      <c r="AF40" s="14" t="str">
        <f t="shared" si="7"/>
        <v>ALTO</v>
      </c>
      <c r="AG40" s="14">
        <v>2</v>
      </c>
      <c r="AH40" s="17">
        <v>4.8</v>
      </c>
      <c r="AI40" s="17">
        <v>4.8</v>
      </c>
      <c r="AJ40" s="17">
        <v>4.8</v>
      </c>
      <c r="AK40" s="14">
        <f t="shared" si="8"/>
        <v>4.8</v>
      </c>
      <c r="AL40" s="14" t="str">
        <f t="shared" si="9"/>
        <v>SUPERIOR</v>
      </c>
      <c r="AM40" s="14">
        <v>1</v>
      </c>
      <c r="AN40" s="17">
        <v>4.8</v>
      </c>
      <c r="AO40" s="17">
        <v>4.8</v>
      </c>
      <c r="AP40" s="17">
        <v>4.8</v>
      </c>
      <c r="AQ40" s="14">
        <f t="shared" si="10"/>
        <v>4.8</v>
      </c>
      <c r="AR40" s="14" t="str">
        <f t="shared" si="11"/>
        <v>SUPERIOR</v>
      </c>
      <c r="AS40" s="5">
        <v>4</v>
      </c>
      <c r="AT40" s="15">
        <v>4.2</v>
      </c>
      <c r="AU40" s="15">
        <v>4.2</v>
      </c>
      <c r="AV40" s="15">
        <v>4.2</v>
      </c>
      <c r="AW40" s="14">
        <f t="shared" si="12"/>
        <v>4.2</v>
      </c>
      <c r="AX40" s="14" t="str">
        <f t="shared" si="53"/>
        <v>ALTO</v>
      </c>
      <c r="AY40" s="14">
        <v>1</v>
      </c>
      <c r="AZ40" s="15">
        <v>5</v>
      </c>
      <c r="BA40" s="15">
        <v>4.5</v>
      </c>
      <c r="BB40" s="15">
        <v>5</v>
      </c>
      <c r="BC40" s="14">
        <f t="shared" si="14"/>
        <v>4.8</v>
      </c>
      <c r="BD40" s="14" t="str">
        <f t="shared" si="15"/>
        <v>SUPERIOR</v>
      </c>
      <c r="BE40" s="15">
        <v>2</v>
      </c>
      <c r="BF40" s="15">
        <v>4.5</v>
      </c>
      <c r="BG40" s="15">
        <v>4.4000000000000004</v>
      </c>
      <c r="BH40" s="15">
        <v>4.5</v>
      </c>
      <c r="BI40" s="14">
        <f t="shared" si="74"/>
        <v>4.46</v>
      </c>
      <c r="BJ40" s="14" t="str">
        <f t="shared" si="48"/>
        <v>ALTO</v>
      </c>
      <c r="BK40" s="14">
        <v>1</v>
      </c>
      <c r="BL40" s="17">
        <v>4.4000000000000004</v>
      </c>
      <c r="BM40" s="17">
        <v>4.4000000000000004</v>
      </c>
      <c r="BN40" s="17">
        <v>4</v>
      </c>
      <c r="BO40" s="14">
        <f t="shared" si="75"/>
        <v>4.28</v>
      </c>
      <c r="BP40" s="14" t="str">
        <f t="shared" si="19"/>
        <v>ALTO</v>
      </c>
      <c r="BQ40" s="14">
        <v>1</v>
      </c>
      <c r="BR40" s="17">
        <v>4</v>
      </c>
      <c r="BS40" s="17">
        <v>4.4000000000000004</v>
      </c>
      <c r="BT40" s="17">
        <v>4.5</v>
      </c>
      <c r="BU40" s="14">
        <f t="shared" si="76"/>
        <v>4.3099999999999996</v>
      </c>
      <c r="BV40" s="14" t="str">
        <f t="shared" si="21"/>
        <v>ALTO</v>
      </c>
      <c r="BW40" s="14">
        <v>1</v>
      </c>
      <c r="BX40" s="17">
        <v>4.5</v>
      </c>
      <c r="BY40" s="17">
        <v>4.5</v>
      </c>
      <c r="BZ40" s="17">
        <v>4.4000000000000004</v>
      </c>
      <c r="CA40" s="14">
        <f t="shared" si="77"/>
        <v>4.47</v>
      </c>
      <c r="CB40" s="14" t="str">
        <f t="shared" si="78"/>
        <v>ALTO</v>
      </c>
      <c r="CC40" s="14">
        <v>1</v>
      </c>
      <c r="CD40" s="15">
        <v>4.8</v>
      </c>
      <c r="CE40" s="15">
        <v>4.8</v>
      </c>
      <c r="CF40" s="15">
        <v>4.8</v>
      </c>
      <c r="CG40" s="14">
        <f t="shared" si="24"/>
        <v>4.8</v>
      </c>
      <c r="CH40" s="14" t="str">
        <f t="shared" si="25"/>
        <v>SUPERIOR</v>
      </c>
      <c r="CI40" s="14">
        <v>1</v>
      </c>
      <c r="CJ40" s="15">
        <v>4.5</v>
      </c>
      <c r="CK40" s="15">
        <v>4.5</v>
      </c>
      <c r="CL40" s="15">
        <v>4.5</v>
      </c>
      <c r="CM40" s="14">
        <f t="shared" si="26"/>
        <v>4.5</v>
      </c>
      <c r="CN40" s="14" t="str">
        <f t="shared" si="27"/>
        <v>SUPERIOR</v>
      </c>
      <c r="CO40" s="5">
        <v>1</v>
      </c>
      <c r="CP40" s="7">
        <v>3.8</v>
      </c>
      <c r="CQ40" s="7">
        <v>3.8</v>
      </c>
      <c r="CR40" s="7">
        <v>4</v>
      </c>
      <c r="CS40" s="14">
        <f t="shared" si="28"/>
        <v>3.8600000000000003</v>
      </c>
      <c r="CT40" s="14" t="str">
        <f t="shared" si="29"/>
        <v>BASICO</v>
      </c>
      <c r="CU40" s="14">
        <v>2</v>
      </c>
      <c r="CV40" s="15">
        <v>4.5</v>
      </c>
      <c r="CW40" s="15">
        <v>4.5</v>
      </c>
      <c r="CX40" s="15">
        <v>4.5</v>
      </c>
      <c r="CY40" s="14">
        <f t="shared" si="30"/>
        <v>4.5</v>
      </c>
      <c r="CZ40" s="14" t="str">
        <f t="shared" si="31"/>
        <v>SUPERIOR</v>
      </c>
      <c r="DA40" s="14">
        <v>2</v>
      </c>
      <c r="DB40" s="15">
        <v>5</v>
      </c>
      <c r="DC40" s="15">
        <v>5</v>
      </c>
      <c r="DD40" s="15">
        <v>5</v>
      </c>
      <c r="DE40" s="14">
        <f t="shared" si="32"/>
        <v>5</v>
      </c>
      <c r="DF40" s="14" t="str">
        <f t="shared" si="33"/>
        <v>SUPERIOR</v>
      </c>
      <c r="DG40" s="14">
        <v>0</v>
      </c>
      <c r="DH40" s="18"/>
      <c r="DI40" s="14" t="str">
        <f t="shared" si="34"/>
        <v>BAJO</v>
      </c>
      <c r="DJ40" s="5">
        <f t="shared" si="35"/>
        <v>4.4606250000000003</v>
      </c>
      <c r="DK40" s="5" t="str">
        <f t="shared" si="36"/>
        <v>Comprende el concepto de números reales, su relación de orden y las propiedades de sus operaciones, así como las relaciones de semejanza y congruencia de distintas figuras geométricas.</v>
      </c>
      <c r="DL40" s="5" t="str">
        <f t="shared" ref="DL40:FJ40" si="83">DL39</f>
        <v>Aplica correctamente las propiedades de las operaciones de números reales y expresiones algebraicas en la resolución de problemas.</v>
      </c>
      <c r="DM40" s="5" t="str">
        <f t="shared" si="83"/>
        <v>Valora el uso del pensamiento lógico a la hora de plantear y resolver problemas de las matemáticas y de la vida cotidiana.</v>
      </c>
      <c r="DN40" s="5" t="str">
        <f t="shared" si="8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0" s="5" t="str">
        <f t="shared" si="83"/>
        <v>Organiza y analiza datos mediante la construcción de tablas de frecuencias y diagramas estadísticos, identificando variables aleatorias y utilizando estas representaciones para resolver situaciones problema.</v>
      </c>
      <c r="DP40" s="5" t="str">
        <f t="shared" si="83"/>
        <v>Muestra disposición y responsabilidad en el manejo y análisis de datos, participando activamente en actividades individuales y colaborativas, y comunicando información estadística con claridad y sentido crítico.</v>
      </c>
      <c r="DQ40" s="5" t="str">
        <f t="shared" si="83"/>
        <v>Analiza las características de la literatura prehispánica y la literatura del descubrimiento y la conquista en Colombia identificando sus elementos fundamentales y su impacto en la cultura y el lenguaje actual.</v>
      </c>
      <c r="DR40" s="5" t="str">
        <f t="shared" si="83"/>
        <v>Realiza comprensión lectora cuando analiza un texto desde el discurso de la Enunciación e identifica la función de cada uno de sus componentes.
Responde preguntas en los tres niveles de lectura a una leyenda del Caribe.</v>
      </c>
      <c r="DS40" s="5" t="str">
        <f t="shared" si="83"/>
        <v>Muestra disposición para participar activamente en las clases, promoviendo el respeto por las ideas ajenas y reconociendo la importancia de la precisión como una herramienta clave para una comunicación</v>
      </c>
      <c r="DT40" s="5" t="str">
        <f t="shared" si="83"/>
        <v>Comprende el contenido del cuento A la deriva, identificando su tema central, la secuencia de los hechos, los personajes y las ideas explícitas e implícitas del texto.</v>
      </c>
      <c r="DU40" s="5" t="str">
        <f t="shared" si="83"/>
        <v>Analiza críticamente el cuento A la deriva mediante la identificación de información literal, inferencial y crítica, sustentando sus respuestas de forma oral y escrita.</v>
      </c>
      <c r="DV40" s="5" t="str">
        <f t="shared" si="83"/>
        <v>Valora la lectura literaria como una oportunidad para reflexionar sobre la vida, la naturaleza y la condición humana, participando con interés, respeto y sentido crítico en las actividades propuestas.</v>
      </c>
      <c r="DW40" s="5" t="str">
        <f t="shared" si="83"/>
        <v>Comprende y reconoce vocabulario y estructuras basicas del ingles para interpretar textos cortos y conversaciones sobre temas cotidianos de la vida diaria.</v>
      </c>
      <c r="DX40" s="5" t="str">
        <f t="shared" si="83"/>
        <v>Produce de forma oral y escrita frases y parrafos cortos en Ingles, utilizando correctamente las estructuras conocidas para describir rutinas, narrar experiencias y participar en conversaciones.</v>
      </c>
      <c r="DY40" s="5" t="str">
        <f t="shared" si="83"/>
        <v>Muestra disposicion positiva hacia el aprendizaje del Ingles participando activamente en clase.</v>
      </c>
      <c r="DZ40" s="5" t="str">
        <f t="shared" si="83"/>
        <v>Identifica vocabulario en Ingles  de situaciones cotidianas.</v>
      </c>
      <c r="EA40" s="5" t="str">
        <f t="shared" si="83"/>
        <v>Participa en actividades utilizando vocabulario aprendido para expresar gustos,emociones y necesidades.</v>
      </c>
      <c r="EB40" s="5" t="str">
        <f t="shared" si="83"/>
        <v>Respeta la opinion de los demas, muestra disposicion para participar en actividades orales.</v>
      </c>
      <c r="EC40" s="5" t="str">
        <f t="shared" si="83"/>
        <v>Identifica la conformación y funcionamiento del sistema inmunolófico y diferencia las característics de los estados de la materia.</v>
      </c>
      <c r="ED40" s="5" t="str">
        <f t="shared" si="83"/>
        <v>Reconoce experimentalmente las características de materiales en los diferentes estados de la materia.</v>
      </c>
      <c r="EE40" s="5" t="str">
        <f t="shared" si="83"/>
        <v xml:space="preserve">Valora la importancia de tener habitos saludables, para lograr el mantenimiento saludable del sistema inmune. </v>
      </c>
      <c r="EF40" s="5" t="str">
        <f t="shared" si="83"/>
        <v>Describe correctamente la secuencia de eventos biologicos de la fecundacion,incluyendo las recciones acrosomicas,la funcion de gametos y la formacion de gametos.</v>
      </c>
      <c r="EG40" s="5" t="str">
        <f t="shared" si="83"/>
        <v>Mide la capacidad del labolatrio para lograr la fecundacion exitosa de los ovulos con el espermatozoide.</v>
      </c>
      <c r="EH40" s="5" t="str">
        <f t="shared" si="83"/>
        <v>Valora la importancia del cuidado del cuerpo y de la salud reproductiva como la base para una fecundacion saludable.</v>
      </c>
      <c r="EI40" s="5" t="str">
        <f t="shared" si="83"/>
        <v>Explico las principales caracteristicas de algunas revoluciones de los siglos XVIII y XIX (Revolucion francesa, Industrial...)</v>
      </c>
      <c r="EJ40" s="5" t="str">
        <f t="shared" si="83"/>
        <v>Analiza las causas y consecuencias de procesos historicos como la Revolucion Industrial y Francesa.</v>
      </c>
      <c r="EK40" s="5" t="str">
        <f t="shared" si="83"/>
        <v>Muestra interes y curiosidad por comprender los procesos historicos y su impacto en la sociedad.</v>
      </c>
      <c r="EL40" s="5" t="str">
        <f t="shared" si="83"/>
        <v xml:space="preserve">Identifica los procesos historicos de algunas revoluciones de los siglos XVIII y XIX </v>
      </c>
      <c r="EM40" s="5">
        <f t="shared" si="83"/>
        <v>0</v>
      </c>
      <c r="EN40" s="5">
        <f t="shared" si="83"/>
        <v>0</v>
      </c>
      <c r="EO40" s="5" t="str">
        <f t="shared" si="83"/>
        <v xml:space="preserve">Comprende la distribucion espacial de la poblacion antes y despues de las revoluciones </v>
      </c>
      <c r="EP40" s="5" t="str">
        <f t="shared" si="83"/>
        <v xml:space="preserve">Ubica en mapas las regiones donde se desarrollaron las principales revoluciones y explica sus caracteristicas geograficas </v>
      </c>
      <c r="EQ40" s="5" t="str">
        <f t="shared" si="83"/>
        <v>Muestra interes por comprender la relacion entre sociedad, economia y territorio</v>
      </c>
      <c r="ER40" s="5" t="str">
        <f t="shared" si="83"/>
        <v>Comprende el concepto de cultura de paz y su importancia en la sociedad</v>
      </c>
      <c r="ES40" s="5" t="str">
        <f t="shared" si="83"/>
        <v>Practica normas de convivencia en diferentes espacios( aula, hogar, comunidad)</v>
      </c>
      <c r="ET40" s="5" t="str">
        <f t="shared" si="83"/>
        <v>Muestra actitud de respeto hacia la diversidad cuktural, social y de pensamiento</v>
      </c>
      <c r="EU40" s="5">
        <f t="shared" si="83"/>
        <v>0</v>
      </c>
      <c r="EV40" s="5">
        <f t="shared" si="83"/>
        <v>0</v>
      </c>
      <c r="EW40" s="5">
        <f t="shared" si="83"/>
        <v>0</v>
      </c>
      <c r="EX40" s="5">
        <f t="shared" si="83"/>
        <v>0</v>
      </c>
      <c r="EY40" s="5">
        <f t="shared" si="83"/>
        <v>0</v>
      </c>
      <c r="EZ40" s="5">
        <f t="shared" si="83"/>
        <v>0</v>
      </c>
      <c r="FA40" s="5">
        <f t="shared" si="83"/>
        <v>0</v>
      </c>
      <c r="FB40" s="5">
        <f t="shared" si="83"/>
        <v>0</v>
      </c>
      <c r="FC40" s="5">
        <f t="shared" si="83"/>
        <v>0</v>
      </c>
      <c r="FD40" s="5" t="str">
        <f t="shared" si="83"/>
        <v xml:space="preserve"> Identifica las expresiones motrices relacionadas con el juego del voleibol,  como una oportunidad para mejorar la salud, la estética y las relaciones con los demás.</v>
      </c>
      <c r="FE40" s="5" t="str">
        <f t="shared" si="83"/>
        <v>Pone en práctica los fundamentos básicos del voleibol.</v>
      </c>
      <c r="FF40" s="5" t="str">
        <f t="shared" si="83"/>
        <v>Muestra  responsabilidad y buena actitud al realizar el juego de voleibol.</v>
      </c>
      <c r="FG40" s="5" t="str">
        <f t="shared" si="83"/>
        <v>Comprende el concepto de variable como espacio de almacenamiento de datos y reconoce el uso de estructuras condicionales (si, si-no) para la toma de decisiones en un programa.</v>
      </c>
      <c r="FH40" s="5" t="str">
        <f t="shared" si="83"/>
        <v>Diseña y desarrolla programas que utilizan variables y estructuras condicionales para resolver problemas, evaluando condiciones y generando respuestas según diferentes situaciones.</v>
      </c>
      <c r="FI40" s="5" t="str">
        <f t="shared" si="83"/>
        <v>Muestra pensamiento lógico, perseverancia y actitud crítica al analizar errores y proponer soluciones en la construcción de programas con variables y condicionales.</v>
      </c>
      <c r="FJ40" s="5" t="str">
        <f t="shared" si="83"/>
        <v>Identifica y reconoce sus pricipales deberes y derechos dentro y fuera  de la Institución educativa.</v>
      </c>
    </row>
    <row r="41" spans="1:166" ht="15.75" customHeight="1">
      <c r="A41" s="19">
        <v>40</v>
      </c>
      <c r="B41" s="5" t="s">
        <v>112</v>
      </c>
      <c r="C41" s="6">
        <v>1043460991</v>
      </c>
      <c r="D41" s="5" t="s">
        <v>68</v>
      </c>
      <c r="E41" s="5" t="s">
        <v>69</v>
      </c>
      <c r="F41" s="14" t="s">
        <v>70</v>
      </c>
      <c r="G41" s="14" t="s">
        <v>71</v>
      </c>
      <c r="H41" s="14">
        <v>2026</v>
      </c>
      <c r="I41" s="14">
        <v>4</v>
      </c>
      <c r="J41" s="15">
        <v>3.1</v>
      </c>
      <c r="K41" s="15">
        <v>3.1</v>
      </c>
      <c r="L41" s="15">
        <v>3.1</v>
      </c>
      <c r="M41" s="14">
        <f t="shared" si="0"/>
        <v>3.0999999999999996</v>
      </c>
      <c r="N41" s="14" t="str">
        <f t="shared" si="1"/>
        <v>BASICO</v>
      </c>
      <c r="O41" s="5">
        <v>1</v>
      </c>
      <c r="P41" s="7">
        <v>3.9</v>
      </c>
      <c r="Q41" s="7">
        <v>3.9</v>
      </c>
      <c r="R41" s="7">
        <v>3.9</v>
      </c>
      <c r="S41" s="5">
        <f t="shared" si="2"/>
        <v>3.9</v>
      </c>
      <c r="T41" s="5" t="str">
        <f t="shared" si="3"/>
        <v>BASICO</v>
      </c>
      <c r="U41" s="5">
        <v>4</v>
      </c>
      <c r="V41" s="7">
        <v>4.5</v>
      </c>
      <c r="W41" s="7">
        <v>4</v>
      </c>
      <c r="X41" s="7">
        <v>4</v>
      </c>
      <c r="Y41" s="5">
        <f t="shared" si="4"/>
        <v>4.1500000000000004</v>
      </c>
      <c r="Z41" s="5" t="str">
        <f t="shared" si="5"/>
        <v>ALTO</v>
      </c>
      <c r="AA41" s="5">
        <v>1</v>
      </c>
      <c r="AB41" s="7">
        <v>3.1</v>
      </c>
      <c r="AC41" s="7">
        <v>3.1</v>
      </c>
      <c r="AD41" s="7">
        <v>3.1</v>
      </c>
      <c r="AE41" s="5">
        <f t="shared" si="6"/>
        <v>3.0999999999999996</v>
      </c>
      <c r="AF41" s="5" t="str">
        <f t="shared" si="7"/>
        <v>BASICO</v>
      </c>
      <c r="AG41" s="5">
        <v>2</v>
      </c>
      <c r="AH41" s="8">
        <v>4</v>
      </c>
      <c r="AI41" s="8">
        <v>4</v>
      </c>
      <c r="AJ41" s="8">
        <v>4</v>
      </c>
      <c r="AK41" s="5">
        <f t="shared" si="8"/>
        <v>4</v>
      </c>
      <c r="AL41" s="5" t="str">
        <f t="shared" si="9"/>
        <v>ALTO</v>
      </c>
      <c r="AM41" s="5">
        <v>1</v>
      </c>
      <c r="AN41" s="8">
        <v>4</v>
      </c>
      <c r="AO41" s="8">
        <v>4</v>
      </c>
      <c r="AP41" s="8">
        <v>4</v>
      </c>
      <c r="AQ41" s="5">
        <f t="shared" si="10"/>
        <v>4</v>
      </c>
      <c r="AR41" s="5" t="str">
        <f t="shared" si="11"/>
        <v>ALTO</v>
      </c>
      <c r="AS41" s="5">
        <v>4</v>
      </c>
      <c r="AT41" s="7">
        <v>4</v>
      </c>
      <c r="AU41" s="7">
        <v>4</v>
      </c>
      <c r="AV41" s="7">
        <v>4</v>
      </c>
      <c r="AW41" s="5">
        <f t="shared" si="12"/>
        <v>4</v>
      </c>
      <c r="AX41" s="5" t="str">
        <f t="shared" si="53"/>
        <v>ALTO</v>
      </c>
      <c r="AY41" s="5">
        <v>1</v>
      </c>
      <c r="AZ41" s="7">
        <v>5</v>
      </c>
      <c r="BA41" s="7">
        <v>4</v>
      </c>
      <c r="BB41" s="7">
        <v>4</v>
      </c>
      <c r="BC41" s="5">
        <f t="shared" si="14"/>
        <v>4.3</v>
      </c>
      <c r="BD41" s="5" t="str">
        <f t="shared" si="15"/>
        <v>ALTO</v>
      </c>
      <c r="BE41" s="7">
        <v>2</v>
      </c>
      <c r="BF41" s="7">
        <v>4</v>
      </c>
      <c r="BG41" s="7">
        <v>4.4000000000000004</v>
      </c>
      <c r="BH41" s="7">
        <v>4.3</v>
      </c>
      <c r="BI41" s="5">
        <f t="shared" si="74"/>
        <v>4.25</v>
      </c>
      <c r="BJ41" s="5" t="str">
        <f t="shared" si="48"/>
        <v>ALTO</v>
      </c>
      <c r="BK41" s="5">
        <v>1</v>
      </c>
      <c r="BL41" s="7">
        <v>4</v>
      </c>
      <c r="BM41" s="7">
        <v>3.8</v>
      </c>
      <c r="BN41" s="7">
        <v>3.7</v>
      </c>
      <c r="BO41" s="5">
        <f t="shared" si="75"/>
        <v>3.83</v>
      </c>
      <c r="BP41" s="5" t="str">
        <f t="shared" si="19"/>
        <v>BASICO</v>
      </c>
      <c r="BQ41" s="5">
        <v>1</v>
      </c>
      <c r="BR41" s="7">
        <v>3.3</v>
      </c>
      <c r="BS41" s="7">
        <v>3.8</v>
      </c>
      <c r="BT41" s="7">
        <v>4</v>
      </c>
      <c r="BU41" s="5">
        <f t="shared" si="76"/>
        <v>3.71</v>
      </c>
      <c r="BV41" s="5" t="str">
        <f t="shared" si="21"/>
        <v>BASICO</v>
      </c>
      <c r="BW41" s="5">
        <v>1</v>
      </c>
      <c r="BX41" s="7"/>
      <c r="BY41" s="7"/>
      <c r="BZ41" s="7"/>
      <c r="CA41" s="5">
        <f t="shared" si="77"/>
        <v>0</v>
      </c>
      <c r="CB41" s="5" t="str">
        <f t="shared" si="78"/>
        <v>BAJO</v>
      </c>
      <c r="CC41" s="5">
        <v>1</v>
      </c>
      <c r="CD41" s="7">
        <v>3.7</v>
      </c>
      <c r="CE41" s="7">
        <v>3.6</v>
      </c>
      <c r="CF41" s="7">
        <v>3.6</v>
      </c>
      <c r="CG41" s="5">
        <f t="shared" si="24"/>
        <v>3.6300000000000003</v>
      </c>
      <c r="CH41" s="5" t="str">
        <f t="shared" si="25"/>
        <v>BASICO</v>
      </c>
      <c r="CI41" s="5">
        <v>1</v>
      </c>
      <c r="CJ41" s="7">
        <v>4.5</v>
      </c>
      <c r="CK41" s="7">
        <v>4.4000000000000004</v>
      </c>
      <c r="CL41" s="7">
        <v>4.4000000000000004</v>
      </c>
      <c r="CM41" s="5">
        <f t="shared" si="26"/>
        <v>4.4300000000000006</v>
      </c>
      <c r="CN41" s="5" t="str">
        <f t="shared" si="27"/>
        <v>ALTO</v>
      </c>
      <c r="CO41" s="5">
        <v>1</v>
      </c>
      <c r="CP41" s="7">
        <v>5</v>
      </c>
      <c r="CQ41" s="7">
        <v>5</v>
      </c>
      <c r="CR41" s="7">
        <v>5</v>
      </c>
      <c r="CS41" s="5">
        <f t="shared" si="28"/>
        <v>5</v>
      </c>
      <c r="CT41" s="5" t="str">
        <f t="shared" si="29"/>
        <v>SUPERIOR</v>
      </c>
      <c r="CU41" s="5">
        <v>2</v>
      </c>
      <c r="CV41" s="7">
        <v>4</v>
      </c>
      <c r="CW41" s="7">
        <v>4</v>
      </c>
      <c r="CX41" s="7">
        <v>4</v>
      </c>
      <c r="CY41" s="5">
        <f t="shared" si="30"/>
        <v>4</v>
      </c>
      <c r="CZ41" s="5" t="str">
        <f t="shared" si="31"/>
        <v>ALTO</v>
      </c>
      <c r="DA41" s="5">
        <v>2</v>
      </c>
      <c r="DB41" s="7">
        <v>4</v>
      </c>
      <c r="DC41" s="7">
        <v>4</v>
      </c>
      <c r="DD41" s="7">
        <v>4</v>
      </c>
      <c r="DE41" s="5">
        <f t="shared" si="32"/>
        <v>4</v>
      </c>
      <c r="DF41" s="5" t="str">
        <f t="shared" si="33"/>
        <v>ALTO</v>
      </c>
      <c r="DG41" s="5">
        <v>0</v>
      </c>
      <c r="DH41" s="7"/>
      <c r="DI41" s="5" t="str">
        <f t="shared" si="34"/>
        <v>BAJO</v>
      </c>
      <c r="DJ41" s="5">
        <f t="shared" si="35"/>
        <v>3.7306250000000003</v>
      </c>
      <c r="DK41" s="5" t="str">
        <f t="shared" si="36"/>
        <v>Comprende el concepto de números reales, su relación de orden y las propiedades de sus operaciones, así como las relaciones de semejanza y congruencia de distintas figuras geométricas.</v>
      </c>
      <c r="DL41" s="5" t="str">
        <f t="shared" ref="DL41:FJ41" si="84">DL40</f>
        <v>Aplica correctamente las propiedades de las operaciones de números reales y expresiones algebraicas en la resolución de problemas.</v>
      </c>
      <c r="DM41" s="5" t="str">
        <f t="shared" si="84"/>
        <v>Valora el uso del pensamiento lógico a la hora de plantear y resolver problemas de las matemáticas y de la vida cotidiana.</v>
      </c>
      <c r="DN41" s="5" t="str">
        <f t="shared" si="8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1" s="5" t="str">
        <f t="shared" si="84"/>
        <v>Organiza y analiza datos mediante la construcción de tablas de frecuencias y diagramas estadísticos, identificando variables aleatorias y utilizando estas representaciones para resolver situaciones problema.</v>
      </c>
      <c r="DP41" s="5" t="str">
        <f t="shared" si="84"/>
        <v>Muestra disposición y responsabilidad en el manejo y análisis de datos, participando activamente en actividades individuales y colaborativas, y comunicando información estadística con claridad y sentido crítico.</v>
      </c>
      <c r="DQ41" s="5" t="str">
        <f t="shared" si="84"/>
        <v>Analiza las características de la literatura prehispánica y la literatura del descubrimiento y la conquista en Colombia identificando sus elementos fundamentales y su impacto en la cultura y el lenguaje actual.</v>
      </c>
      <c r="DR41" s="5" t="str">
        <f t="shared" si="84"/>
        <v>Realiza comprensión lectora cuando analiza un texto desde el discurso de la Enunciación e identifica la función de cada uno de sus componentes.
Responde preguntas en los tres niveles de lectura a una leyenda del Caribe.</v>
      </c>
      <c r="DS41" s="5" t="str">
        <f t="shared" si="84"/>
        <v>Muestra disposición para participar activamente en las clases, promoviendo el respeto por las ideas ajenas y reconociendo la importancia de la precisión como una herramienta clave para una comunicación</v>
      </c>
      <c r="DT41" s="5" t="str">
        <f t="shared" si="84"/>
        <v>Comprende el contenido del cuento A la deriva, identificando su tema central, la secuencia de los hechos, los personajes y las ideas explícitas e implícitas del texto.</v>
      </c>
      <c r="DU41" s="5" t="str">
        <f t="shared" si="84"/>
        <v>Analiza críticamente el cuento A la deriva mediante la identificación de información literal, inferencial y crítica, sustentando sus respuestas de forma oral y escrita.</v>
      </c>
      <c r="DV41" s="5" t="str">
        <f t="shared" si="84"/>
        <v>Valora la lectura literaria como una oportunidad para reflexionar sobre la vida, la naturaleza y la condición humana, participando con interés, respeto y sentido crítico en las actividades propuestas.</v>
      </c>
      <c r="DW41" s="5" t="str">
        <f t="shared" si="84"/>
        <v>Comprende y reconoce vocabulario y estructuras basicas del ingles para interpretar textos cortos y conversaciones sobre temas cotidianos de la vida diaria.</v>
      </c>
      <c r="DX41" s="5" t="str">
        <f t="shared" si="84"/>
        <v>Produce de forma oral y escrita frases y parrafos cortos en Ingles, utilizando correctamente las estructuras conocidas para describir rutinas, narrar experiencias y participar en conversaciones.</v>
      </c>
      <c r="DY41" s="5" t="str">
        <f t="shared" si="84"/>
        <v>Muestra disposicion positiva hacia el aprendizaje del Ingles participando activamente en clase.</v>
      </c>
      <c r="DZ41" s="5" t="str">
        <f t="shared" si="84"/>
        <v>Identifica vocabulario en Ingles  de situaciones cotidianas.</v>
      </c>
      <c r="EA41" s="5" t="str">
        <f t="shared" si="84"/>
        <v>Participa en actividades utilizando vocabulario aprendido para expresar gustos,emociones y necesidades.</v>
      </c>
      <c r="EB41" s="5" t="str">
        <f t="shared" si="84"/>
        <v>Respeta la opinion de los demas, muestra disposicion para participar en actividades orales.</v>
      </c>
      <c r="EC41" s="5" t="str">
        <f t="shared" si="84"/>
        <v>Identifica la conformación y funcionamiento del sistema inmunolófico y diferencia las característics de los estados de la materia.</v>
      </c>
      <c r="ED41" s="5" t="str">
        <f t="shared" si="84"/>
        <v>Reconoce experimentalmente las características de materiales en los diferentes estados de la materia.</v>
      </c>
      <c r="EE41" s="5" t="str">
        <f t="shared" si="84"/>
        <v xml:space="preserve">Valora la importancia de tener habitos saludables, para lograr el mantenimiento saludable del sistema inmune. </v>
      </c>
      <c r="EF41" s="5" t="str">
        <f t="shared" si="84"/>
        <v>Describe correctamente la secuencia de eventos biologicos de la fecundacion,incluyendo las recciones acrosomicas,la funcion de gametos y la formacion de gametos.</v>
      </c>
      <c r="EG41" s="5" t="str">
        <f t="shared" si="84"/>
        <v>Mide la capacidad del labolatrio para lograr la fecundacion exitosa de los ovulos con el espermatozoide.</v>
      </c>
      <c r="EH41" s="5" t="str">
        <f t="shared" si="84"/>
        <v>Valora la importancia del cuidado del cuerpo y de la salud reproductiva como la base para una fecundacion saludable.</v>
      </c>
      <c r="EI41" s="5" t="str">
        <f t="shared" si="84"/>
        <v>Explico las principales caracteristicas de algunas revoluciones de los siglos XVIII y XIX (Revolucion francesa, Industrial...)</v>
      </c>
      <c r="EJ41" s="5" t="str">
        <f t="shared" si="84"/>
        <v>Analiza las causas y consecuencias de procesos historicos como la Revolucion Industrial y Francesa.</v>
      </c>
      <c r="EK41" s="5" t="str">
        <f t="shared" si="84"/>
        <v>Muestra interes y curiosidad por comprender los procesos historicos y su impacto en la sociedad.</v>
      </c>
      <c r="EL41" s="5" t="str">
        <f t="shared" si="84"/>
        <v xml:space="preserve">Identifica los procesos historicos de algunas revoluciones de los siglos XVIII y XIX </v>
      </c>
      <c r="EM41" s="5">
        <f t="shared" si="84"/>
        <v>0</v>
      </c>
      <c r="EN41" s="5">
        <f t="shared" si="84"/>
        <v>0</v>
      </c>
      <c r="EO41" s="5" t="str">
        <f t="shared" si="84"/>
        <v xml:space="preserve">Comprende la distribucion espacial de la poblacion antes y despues de las revoluciones </v>
      </c>
      <c r="EP41" s="5" t="str">
        <f t="shared" si="84"/>
        <v xml:space="preserve">Ubica en mapas las regiones donde se desarrollaron las principales revoluciones y explica sus caracteristicas geograficas </v>
      </c>
      <c r="EQ41" s="5" t="str">
        <f t="shared" si="84"/>
        <v>Muestra interes por comprender la relacion entre sociedad, economia y territorio</v>
      </c>
      <c r="ER41" s="5" t="str">
        <f t="shared" si="84"/>
        <v>Comprende el concepto de cultura de paz y su importancia en la sociedad</v>
      </c>
      <c r="ES41" s="5" t="str">
        <f t="shared" si="84"/>
        <v>Practica normas de convivencia en diferentes espacios( aula, hogar, comunidad)</v>
      </c>
      <c r="ET41" s="5" t="str">
        <f t="shared" si="84"/>
        <v>Muestra actitud de respeto hacia la diversidad cuktural, social y de pensamiento</v>
      </c>
      <c r="EU41" s="5">
        <f t="shared" si="84"/>
        <v>0</v>
      </c>
      <c r="EV41" s="5">
        <f t="shared" si="84"/>
        <v>0</v>
      </c>
      <c r="EW41" s="5">
        <f t="shared" si="84"/>
        <v>0</v>
      </c>
      <c r="EX41" s="5">
        <f t="shared" si="84"/>
        <v>0</v>
      </c>
      <c r="EY41" s="5">
        <f t="shared" si="84"/>
        <v>0</v>
      </c>
      <c r="EZ41" s="5">
        <f t="shared" si="84"/>
        <v>0</v>
      </c>
      <c r="FA41" s="5">
        <f t="shared" si="84"/>
        <v>0</v>
      </c>
      <c r="FB41" s="5">
        <f t="shared" si="84"/>
        <v>0</v>
      </c>
      <c r="FC41" s="5">
        <f t="shared" si="84"/>
        <v>0</v>
      </c>
      <c r="FD41" s="5" t="str">
        <f t="shared" si="84"/>
        <v xml:space="preserve"> Identifica las expresiones motrices relacionadas con el juego del voleibol,  como una oportunidad para mejorar la salud, la estética y las relaciones con los demás.</v>
      </c>
      <c r="FE41" s="5" t="str">
        <f t="shared" si="84"/>
        <v>Pone en práctica los fundamentos básicos del voleibol.</v>
      </c>
      <c r="FF41" s="5" t="str">
        <f t="shared" si="84"/>
        <v>Muestra  responsabilidad y buena actitud al realizar el juego de voleibol.</v>
      </c>
      <c r="FG41" s="5" t="str">
        <f t="shared" si="84"/>
        <v>Comprende el concepto de variable como espacio de almacenamiento de datos y reconoce el uso de estructuras condicionales (si, si-no) para la toma de decisiones en un programa.</v>
      </c>
      <c r="FH41" s="5" t="str">
        <f t="shared" si="84"/>
        <v>Diseña y desarrolla programas que utilizan variables y estructuras condicionales para resolver problemas, evaluando condiciones y generando respuestas según diferentes situaciones.</v>
      </c>
      <c r="FI41" s="5" t="str">
        <f t="shared" si="84"/>
        <v>Muestra pensamiento lógico, perseverancia y actitud crítica al analizar errores y proponer soluciones en la construcción de programas con variables y condicionales.</v>
      </c>
      <c r="FJ41" s="5" t="str">
        <f t="shared" si="84"/>
        <v>Identifica y reconoce sus pricipales deberes y derechos dentro y fuera  de la Institución educativa.</v>
      </c>
    </row>
    <row r="42" spans="1:166" ht="15.75" customHeight="1">
      <c r="A42" s="19">
        <v>41</v>
      </c>
      <c r="B42" s="5" t="s">
        <v>113</v>
      </c>
      <c r="C42" s="6">
        <v>1042980708</v>
      </c>
      <c r="D42" s="5" t="s">
        <v>68</v>
      </c>
      <c r="E42" s="5" t="s">
        <v>69</v>
      </c>
      <c r="F42" s="5" t="s">
        <v>70</v>
      </c>
      <c r="G42" s="5" t="s">
        <v>71</v>
      </c>
      <c r="H42" s="5">
        <v>2026</v>
      </c>
      <c r="I42" s="14">
        <v>4</v>
      </c>
      <c r="J42" s="15">
        <v>4</v>
      </c>
      <c r="K42" s="15">
        <v>4.3</v>
      </c>
      <c r="L42" s="15">
        <v>4.5999999999999996</v>
      </c>
      <c r="M42" s="14">
        <f t="shared" si="0"/>
        <v>4.3</v>
      </c>
      <c r="N42" s="14" t="str">
        <f t="shared" si="1"/>
        <v>ALTO</v>
      </c>
      <c r="O42" s="14">
        <v>1</v>
      </c>
      <c r="P42" s="15">
        <v>4.5</v>
      </c>
      <c r="Q42" s="15">
        <v>4.5</v>
      </c>
      <c r="R42" s="15">
        <v>4.5</v>
      </c>
      <c r="S42" s="14">
        <f t="shared" si="2"/>
        <v>4.5</v>
      </c>
      <c r="T42" s="14" t="str">
        <f t="shared" si="3"/>
        <v>SUPERIOR</v>
      </c>
      <c r="U42" s="14">
        <v>4</v>
      </c>
      <c r="V42" s="15">
        <v>4.8</v>
      </c>
      <c r="W42" s="15">
        <v>4.8</v>
      </c>
      <c r="X42" s="15">
        <v>4.5</v>
      </c>
      <c r="Y42" s="14">
        <f t="shared" si="4"/>
        <v>4.71</v>
      </c>
      <c r="Z42" s="14" t="str">
        <f t="shared" si="5"/>
        <v>SUPERIOR</v>
      </c>
      <c r="AA42" s="14">
        <v>1</v>
      </c>
      <c r="AB42" s="15">
        <v>3</v>
      </c>
      <c r="AC42" s="15">
        <v>3</v>
      </c>
      <c r="AD42" s="15">
        <v>3</v>
      </c>
      <c r="AE42" s="14">
        <f t="shared" si="6"/>
        <v>3</v>
      </c>
      <c r="AF42" s="14" t="str">
        <f t="shared" si="7"/>
        <v>BASICO</v>
      </c>
      <c r="AG42" s="14">
        <v>2</v>
      </c>
      <c r="AH42" s="17">
        <v>4.8</v>
      </c>
      <c r="AI42" s="17">
        <v>4.8</v>
      </c>
      <c r="AJ42" s="17">
        <v>4.8</v>
      </c>
      <c r="AK42" s="14">
        <f t="shared" si="8"/>
        <v>4.8</v>
      </c>
      <c r="AL42" s="14" t="str">
        <f t="shared" si="9"/>
        <v>SUPERIOR</v>
      </c>
      <c r="AM42" s="14">
        <v>1</v>
      </c>
      <c r="AN42" s="17">
        <v>4.8</v>
      </c>
      <c r="AO42" s="17">
        <v>4.8</v>
      </c>
      <c r="AP42" s="17">
        <v>4.8</v>
      </c>
      <c r="AQ42" s="14">
        <f t="shared" si="10"/>
        <v>4.8</v>
      </c>
      <c r="AR42" s="14" t="str">
        <f t="shared" si="11"/>
        <v>SUPERIOR</v>
      </c>
      <c r="AS42" s="5">
        <v>4</v>
      </c>
      <c r="AT42" s="15">
        <v>3.7</v>
      </c>
      <c r="AU42" s="15">
        <v>3.7</v>
      </c>
      <c r="AV42" s="15">
        <v>3.7</v>
      </c>
      <c r="AW42" s="14">
        <f t="shared" si="12"/>
        <v>3.7</v>
      </c>
      <c r="AX42" s="14" t="str">
        <f t="shared" si="53"/>
        <v>BASICO</v>
      </c>
      <c r="AY42" s="14">
        <v>1</v>
      </c>
      <c r="AZ42" s="15">
        <v>4.5</v>
      </c>
      <c r="BA42" s="15">
        <v>4</v>
      </c>
      <c r="BB42" s="15">
        <v>4</v>
      </c>
      <c r="BC42" s="14">
        <f t="shared" si="14"/>
        <v>4.1500000000000004</v>
      </c>
      <c r="BD42" s="14" t="str">
        <f t="shared" si="15"/>
        <v>ALTO</v>
      </c>
      <c r="BE42" s="15">
        <v>2</v>
      </c>
      <c r="BF42" s="15">
        <v>4.4000000000000004</v>
      </c>
      <c r="BG42" s="15">
        <v>4.8</v>
      </c>
      <c r="BH42" s="15">
        <v>4.5</v>
      </c>
      <c r="BI42" s="14">
        <f t="shared" si="74"/>
        <v>4.59</v>
      </c>
      <c r="BJ42" s="14" t="str">
        <f t="shared" si="48"/>
        <v>SUPERIOR</v>
      </c>
      <c r="BK42" s="14">
        <v>1</v>
      </c>
      <c r="BL42" s="17">
        <v>4.4000000000000004</v>
      </c>
      <c r="BM42" s="17">
        <v>4</v>
      </c>
      <c r="BN42" s="17">
        <v>3.8</v>
      </c>
      <c r="BO42" s="14">
        <f t="shared" si="75"/>
        <v>4.0599999999999996</v>
      </c>
      <c r="BP42" s="14" t="str">
        <f t="shared" si="19"/>
        <v>ALTO</v>
      </c>
      <c r="BQ42" s="14">
        <v>1</v>
      </c>
      <c r="BR42" s="17">
        <v>4.4000000000000004</v>
      </c>
      <c r="BS42" s="17">
        <v>4.3</v>
      </c>
      <c r="BT42" s="17">
        <v>4.5</v>
      </c>
      <c r="BU42" s="14">
        <f t="shared" si="76"/>
        <v>4.3899999999999997</v>
      </c>
      <c r="BV42" s="14" t="str">
        <f t="shared" si="21"/>
        <v>ALTO</v>
      </c>
      <c r="BW42" s="14">
        <v>1</v>
      </c>
      <c r="BX42" s="17"/>
      <c r="BY42" s="17"/>
      <c r="BZ42" s="17"/>
      <c r="CA42" s="14">
        <f t="shared" si="77"/>
        <v>0</v>
      </c>
      <c r="CB42" s="14" t="str">
        <f t="shared" si="78"/>
        <v>BAJO</v>
      </c>
      <c r="CC42" s="14">
        <v>1</v>
      </c>
      <c r="CD42" s="15">
        <v>4.5</v>
      </c>
      <c r="CE42" s="15">
        <v>4.5</v>
      </c>
      <c r="CF42" s="15">
        <v>4.5</v>
      </c>
      <c r="CG42" s="14">
        <f t="shared" si="24"/>
        <v>4.5</v>
      </c>
      <c r="CH42" s="14" t="str">
        <f t="shared" si="25"/>
        <v>SUPERIOR</v>
      </c>
      <c r="CI42" s="14">
        <v>1</v>
      </c>
      <c r="CJ42" s="15">
        <v>4.5</v>
      </c>
      <c r="CK42" s="15">
        <v>4.5</v>
      </c>
      <c r="CL42" s="15">
        <v>4.5</v>
      </c>
      <c r="CM42" s="14">
        <f t="shared" si="26"/>
        <v>4.5</v>
      </c>
      <c r="CN42" s="14" t="str">
        <f t="shared" si="27"/>
        <v>SUPERIOR</v>
      </c>
      <c r="CO42" s="5">
        <v>1</v>
      </c>
      <c r="CP42" s="7">
        <v>5</v>
      </c>
      <c r="CQ42" s="7">
        <v>5</v>
      </c>
      <c r="CR42" s="7">
        <v>5</v>
      </c>
      <c r="CS42" s="14">
        <f t="shared" si="28"/>
        <v>5</v>
      </c>
      <c r="CT42" s="14" t="str">
        <f t="shared" si="29"/>
        <v>SUPERIOR</v>
      </c>
      <c r="CU42" s="14">
        <v>2</v>
      </c>
      <c r="CV42" s="15">
        <v>3.5</v>
      </c>
      <c r="CW42" s="15">
        <v>3.5</v>
      </c>
      <c r="CX42" s="15">
        <v>3.5</v>
      </c>
      <c r="CY42" s="14">
        <f t="shared" si="30"/>
        <v>3.5</v>
      </c>
      <c r="CZ42" s="14" t="str">
        <f t="shared" si="31"/>
        <v>BASICO</v>
      </c>
      <c r="DA42" s="14">
        <v>2</v>
      </c>
      <c r="DB42" s="15">
        <v>4</v>
      </c>
      <c r="DC42" s="15">
        <v>3.8</v>
      </c>
      <c r="DD42" s="15">
        <v>4</v>
      </c>
      <c r="DE42" s="14">
        <f t="shared" si="32"/>
        <v>3.92</v>
      </c>
      <c r="DF42" s="14" t="str">
        <f t="shared" si="33"/>
        <v>BASICO</v>
      </c>
      <c r="DG42" s="14">
        <v>0</v>
      </c>
      <c r="DH42" s="18"/>
      <c r="DI42" s="14" t="str">
        <f t="shared" si="34"/>
        <v>BAJO</v>
      </c>
      <c r="DJ42" s="5">
        <f t="shared" si="35"/>
        <v>4.0018750000000001</v>
      </c>
      <c r="DK42" s="5" t="str">
        <f t="shared" si="36"/>
        <v>Comprende el concepto de números reales, su relación de orden y las propiedades de sus operaciones, así como las relaciones de semejanza y congruencia de distintas figuras geométricas.</v>
      </c>
      <c r="DL42" s="5" t="str">
        <f t="shared" ref="DL42:FJ42" si="85">DL41</f>
        <v>Aplica correctamente las propiedades de las operaciones de números reales y expresiones algebraicas en la resolución de problemas.</v>
      </c>
      <c r="DM42" s="5" t="str">
        <f t="shared" si="85"/>
        <v>Valora el uso del pensamiento lógico a la hora de plantear y resolver problemas de las matemáticas y de la vida cotidiana.</v>
      </c>
      <c r="DN42" s="5" t="str">
        <f t="shared" si="8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2" s="5" t="str">
        <f t="shared" si="85"/>
        <v>Organiza y analiza datos mediante la construcción de tablas de frecuencias y diagramas estadísticos, identificando variables aleatorias y utilizando estas representaciones para resolver situaciones problema.</v>
      </c>
      <c r="DP42" s="5" t="str">
        <f t="shared" si="85"/>
        <v>Muestra disposición y responsabilidad en el manejo y análisis de datos, participando activamente en actividades individuales y colaborativas, y comunicando información estadística con claridad y sentido crítico.</v>
      </c>
      <c r="DQ42" s="5" t="str">
        <f t="shared" si="85"/>
        <v>Analiza las características de la literatura prehispánica y la literatura del descubrimiento y la conquista en Colombia identificando sus elementos fundamentales y su impacto en la cultura y el lenguaje actual.</v>
      </c>
      <c r="DR42" s="5" t="str">
        <f t="shared" si="85"/>
        <v>Realiza comprensión lectora cuando analiza un texto desde el discurso de la Enunciación e identifica la función de cada uno de sus componentes.
Responde preguntas en los tres niveles de lectura a una leyenda del Caribe.</v>
      </c>
      <c r="DS42" s="5" t="str">
        <f t="shared" si="85"/>
        <v>Muestra disposición para participar activamente en las clases, promoviendo el respeto por las ideas ajenas y reconociendo la importancia de la precisión como una herramienta clave para una comunicación</v>
      </c>
      <c r="DT42" s="5" t="str">
        <f t="shared" si="85"/>
        <v>Comprende el contenido del cuento A la deriva, identificando su tema central, la secuencia de los hechos, los personajes y las ideas explícitas e implícitas del texto.</v>
      </c>
      <c r="DU42" s="5" t="str">
        <f t="shared" si="85"/>
        <v>Analiza críticamente el cuento A la deriva mediante la identificación de información literal, inferencial y crítica, sustentando sus respuestas de forma oral y escrita.</v>
      </c>
      <c r="DV42" s="5" t="str">
        <f t="shared" si="85"/>
        <v>Valora la lectura literaria como una oportunidad para reflexionar sobre la vida, la naturaleza y la condición humana, participando con interés, respeto y sentido crítico en las actividades propuestas.</v>
      </c>
      <c r="DW42" s="5" t="str">
        <f t="shared" si="85"/>
        <v>Comprende y reconoce vocabulario y estructuras basicas del ingles para interpretar textos cortos y conversaciones sobre temas cotidianos de la vida diaria.</v>
      </c>
      <c r="DX42" s="5" t="str">
        <f t="shared" si="85"/>
        <v>Produce de forma oral y escrita frases y parrafos cortos en Ingles, utilizando correctamente las estructuras conocidas para describir rutinas, narrar experiencias y participar en conversaciones.</v>
      </c>
      <c r="DY42" s="5" t="str">
        <f t="shared" si="85"/>
        <v>Muestra disposicion positiva hacia el aprendizaje del Ingles participando activamente en clase.</v>
      </c>
      <c r="DZ42" s="5" t="str">
        <f t="shared" si="85"/>
        <v>Identifica vocabulario en Ingles  de situaciones cotidianas.</v>
      </c>
      <c r="EA42" s="5" t="str">
        <f t="shared" si="85"/>
        <v>Participa en actividades utilizando vocabulario aprendido para expresar gustos,emociones y necesidades.</v>
      </c>
      <c r="EB42" s="5" t="str">
        <f t="shared" si="85"/>
        <v>Respeta la opinion de los demas, muestra disposicion para participar en actividades orales.</v>
      </c>
      <c r="EC42" s="5" t="str">
        <f t="shared" si="85"/>
        <v>Identifica la conformación y funcionamiento del sistema inmunolófico y diferencia las característics de los estados de la materia.</v>
      </c>
      <c r="ED42" s="5" t="str">
        <f t="shared" si="85"/>
        <v>Reconoce experimentalmente las características de materiales en los diferentes estados de la materia.</v>
      </c>
      <c r="EE42" s="5" t="str">
        <f t="shared" si="85"/>
        <v xml:space="preserve">Valora la importancia de tener habitos saludables, para lograr el mantenimiento saludable del sistema inmune. </v>
      </c>
      <c r="EF42" s="5" t="str">
        <f t="shared" si="85"/>
        <v>Describe correctamente la secuencia de eventos biologicos de la fecundacion,incluyendo las recciones acrosomicas,la funcion de gametos y la formacion de gametos.</v>
      </c>
      <c r="EG42" s="5" t="str">
        <f t="shared" si="85"/>
        <v>Mide la capacidad del labolatrio para lograr la fecundacion exitosa de los ovulos con el espermatozoide.</v>
      </c>
      <c r="EH42" s="5" t="str">
        <f t="shared" si="85"/>
        <v>Valora la importancia del cuidado del cuerpo y de la salud reproductiva como la base para una fecundacion saludable.</v>
      </c>
      <c r="EI42" s="5" t="str">
        <f t="shared" si="85"/>
        <v>Explico las principales caracteristicas de algunas revoluciones de los siglos XVIII y XIX (Revolucion francesa, Industrial...)</v>
      </c>
      <c r="EJ42" s="5" t="str">
        <f t="shared" si="85"/>
        <v>Analiza las causas y consecuencias de procesos historicos como la Revolucion Industrial y Francesa.</v>
      </c>
      <c r="EK42" s="5" t="str">
        <f t="shared" si="85"/>
        <v>Muestra interes y curiosidad por comprender los procesos historicos y su impacto en la sociedad.</v>
      </c>
      <c r="EL42" s="5" t="str">
        <f t="shared" si="85"/>
        <v xml:space="preserve">Identifica los procesos historicos de algunas revoluciones de los siglos XVIII y XIX </v>
      </c>
      <c r="EM42" s="5">
        <f t="shared" si="85"/>
        <v>0</v>
      </c>
      <c r="EN42" s="5">
        <f t="shared" si="85"/>
        <v>0</v>
      </c>
      <c r="EO42" s="5" t="str">
        <f t="shared" si="85"/>
        <v xml:space="preserve">Comprende la distribucion espacial de la poblacion antes y despues de las revoluciones </v>
      </c>
      <c r="EP42" s="5" t="str">
        <f t="shared" si="85"/>
        <v xml:space="preserve">Ubica en mapas las regiones donde se desarrollaron las principales revoluciones y explica sus caracteristicas geograficas </v>
      </c>
      <c r="EQ42" s="5" t="str">
        <f t="shared" si="85"/>
        <v>Muestra interes por comprender la relacion entre sociedad, economia y territorio</v>
      </c>
      <c r="ER42" s="5" t="str">
        <f t="shared" si="85"/>
        <v>Comprende el concepto de cultura de paz y su importancia en la sociedad</v>
      </c>
      <c r="ES42" s="5" t="str">
        <f t="shared" si="85"/>
        <v>Practica normas de convivencia en diferentes espacios( aula, hogar, comunidad)</v>
      </c>
      <c r="ET42" s="5" t="str">
        <f t="shared" si="85"/>
        <v>Muestra actitud de respeto hacia la diversidad cuktural, social y de pensamiento</v>
      </c>
      <c r="EU42" s="5">
        <f t="shared" si="85"/>
        <v>0</v>
      </c>
      <c r="EV42" s="5">
        <f t="shared" si="85"/>
        <v>0</v>
      </c>
      <c r="EW42" s="5">
        <f t="shared" si="85"/>
        <v>0</v>
      </c>
      <c r="EX42" s="5">
        <f t="shared" si="85"/>
        <v>0</v>
      </c>
      <c r="EY42" s="5">
        <f t="shared" si="85"/>
        <v>0</v>
      </c>
      <c r="EZ42" s="5">
        <f t="shared" si="85"/>
        <v>0</v>
      </c>
      <c r="FA42" s="5">
        <f t="shared" si="85"/>
        <v>0</v>
      </c>
      <c r="FB42" s="5">
        <f t="shared" si="85"/>
        <v>0</v>
      </c>
      <c r="FC42" s="5">
        <f t="shared" si="85"/>
        <v>0</v>
      </c>
      <c r="FD42" s="5" t="str">
        <f t="shared" si="85"/>
        <v xml:space="preserve"> Identifica las expresiones motrices relacionadas con el juego del voleibol,  como una oportunidad para mejorar la salud, la estética y las relaciones con los demás.</v>
      </c>
      <c r="FE42" s="5" t="str">
        <f t="shared" si="85"/>
        <v>Pone en práctica los fundamentos básicos del voleibol.</v>
      </c>
      <c r="FF42" s="5" t="str">
        <f t="shared" si="85"/>
        <v>Muestra  responsabilidad y buena actitud al realizar el juego de voleibol.</v>
      </c>
      <c r="FG42" s="5" t="str">
        <f t="shared" si="85"/>
        <v>Comprende el concepto de variable como espacio de almacenamiento de datos y reconoce el uso de estructuras condicionales (si, si-no) para la toma de decisiones en un programa.</v>
      </c>
      <c r="FH42" s="5" t="str">
        <f t="shared" si="85"/>
        <v>Diseña y desarrolla programas que utilizan variables y estructuras condicionales para resolver problemas, evaluando condiciones y generando respuestas según diferentes situaciones.</v>
      </c>
      <c r="FI42" s="5" t="str">
        <f t="shared" si="85"/>
        <v>Muestra pensamiento lógico, perseverancia y actitud crítica al analizar errores y proponer soluciones en la construcción de programas con variables y condicionales.</v>
      </c>
      <c r="FJ42" s="5" t="str">
        <f t="shared" si="85"/>
        <v>Identifica y reconoce sus pricipales deberes y derechos dentro y fuera  de la Institución educativa.</v>
      </c>
    </row>
    <row r="43" spans="1:166" ht="15.75" customHeight="1">
      <c r="A43" s="20"/>
      <c r="B43" s="20"/>
      <c r="C43" s="20"/>
      <c r="D43" s="20"/>
      <c r="G43" s="20"/>
      <c r="H43" s="20"/>
      <c r="I43" s="45" t="s">
        <v>114</v>
      </c>
      <c r="J43" s="46"/>
      <c r="K43" s="46"/>
      <c r="L43" s="46"/>
      <c r="M43" s="46"/>
      <c r="N43" s="47"/>
      <c r="O43" s="48" t="s">
        <v>115</v>
      </c>
      <c r="P43" s="46"/>
      <c r="Q43" s="46"/>
      <c r="R43" s="46"/>
      <c r="S43" s="46"/>
      <c r="T43" s="47"/>
      <c r="U43" s="48" t="s">
        <v>116</v>
      </c>
      <c r="V43" s="46"/>
      <c r="W43" s="46"/>
      <c r="X43" s="46"/>
      <c r="Y43" s="46"/>
      <c r="Z43" s="47"/>
      <c r="AA43" s="48" t="s">
        <v>117</v>
      </c>
      <c r="AB43" s="46"/>
      <c r="AC43" s="46"/>
      <c r="AD43" s="46"/>
      <c r="AE43" s="46"/>
      <c r="AF43" s="47"/>
      <c r="AG43" s="48" t="s">
        <v>118</v>
      </c>
      <c r="AH43" s="46"/>
      <c r="AI43" s="46"/>
      <c r="AJ43" s="46"/>
      <c r="AK43" s="46"/>
      <c r="AL43" s="47"/>
      <c r="AM43" s="48" t="s">
        <v>119</v>
      </c>
      <c r="AN43" s="46"/>
      <c r="AO43" s="46"/>
      <c r="AP43" s="46"/>
      <c r="AQ43" s="46"/>
      <c r="AR43" s="47"/>
      <c r="AS43" s="48" t="s">
        <v>120</v>
      </c>
      <c r="AT43" s="46"/>
      <c r="AU43" s="46"/>
      <c r="AV43" s="46"/>
      <c r="AW43" s="46"/>
      <c r="AX43" s="47"/>
      <c r="AY43" s="48" t="s">
        <v>121</v>
      </c>
      <c r="AZ43" s="46"/>
      <c r="BA43" s="46"/>
      <c r="BB43" s="46"/>
      <c r="BC43" s="46"/>
      <c r="BD43" s="47"/>
      <c r="BE43" s="48" t="s">
        <v>122</v>
      </c>
      <c r="BF43" s="46"/>
      <c r="BG43" s="46"/>
      <c r="BH43" s="46"/>
      <c r="BI43" s="46"/>
      <c r="BJ43" s="47"/>
      <c r="BK43" s="48" t="s">
        <v>123</v>
      </c>
      <c r="BL43" s="46"/>
      <c r="BM43" s="46"/>
      <c r="BN43" s="46"/>
      <c r="BO43" s="46"/>
      <c r="BP43" s="47"/>
      <c r="BQ43" s="48" t="s">
        <v>124</v>
      </c>
      <c r="BR43" s="46"/>
      <c r="BS43" s="46"/>
      <c r="BT43" s="46"/>
      <c r="BU43" s="46"/>
      <c r="BV43" s="47"/>
      <c r="BW43" s="48" t="s">
        <v>125</v>
      </c>
      <c r="BX43" s="46"/>
      <c r="BY43" s="46"/>
      <c r="BZ43" s="46"/>
      <c r="CA43" s="46"/>
      <c r="CB43" s="47"/>
      <c r="CC43" s="49" t="s">
        <v>126</v>
      </c>
      <c r="CD43" s="46"/>
      <c r="CE43" s="46"/>
      <c r="CF43" s="46"/>
      <c r="CG43" s="46"/>
      <c r="CH43" s="47"/>
      <c r="CI43" s="48" t="s">
        <v>127</v>
      </c>
      <c r="CJ43" s="46"/>
      <c r="CK43" s="46"/>
      <c r="CL43" s="46"/>
      <c r="CM43" s="46"/>
      <c r="CN43" s="47"/>
      <c r="CO43" s="48" t="s">
        <v>128</v>
      </c>
      <c r="CP43" s="46"/>
      <c r="CQ43" s="46"/>
      <c r="CR43" s="46"/>
      <c r="CS43" s="46"/>
      <c r="CT43" s="47"/>
      <c r="CU43" s="48" t="s">
        <v>129</v>
      </c>
      <c r="CV43" s="46"/>
      <c r="CW43" s="46"/>
      <c r="CX43" s="46"/>
      <c r="CY43" s="46"/>
      <c r="CZ43" s="47"/>
      <c r="DA43" s="48" t="s">
        <v>130</v>
      </c>
      <c r="DB43" s="46"/>
      <c r="DC43" s="46"/>
      <c r="DD43" s="46"/>
      <c r="DE43" s="46"/>
      <c r="DF43" s="47"/>
      <c r="DG43" s="48" t="s">
        <v>131</v>
      </c>
      <c r="DH43" s="46"/>
      <c r="DI43" s="47"/>
    </row>
    <row r="44" spans="1:166" ht="15.75" customHeight="1">
      <c r="A44" s="20"/>
      <c r="B44" s="20"/>
      <c r="C44" s="20"/>
    </row>
    <row r="45" spans="1:166" ht="15.75" customHeight="1">
      <c r="A45" s="20"/>
      <c r="B45" s="20"/>
      <c r="C45" s="20"/>
    </row>
    <row r="46" spans="1:166" ht="15.75" customHeight="1">
      <c r="A46" s="20"/>
      <c r="B46" s="20"/>
      <c r="C46" s="20"/>
    </row>
    <row r="47" spans="1:166" ht="15.75" customHeight="1">
      <c r="A47" s="20"/>
      <c r="B47" s="20"/>
      <c r="C47" s="20"/>
    </row>
    <row r="48" spans="1:166" ht="15.75" customHeight="1">
      <c r="A48" s="20"/>
      <c r="B48" s="20"/>
      <c r="C48" s="20"/>
    </row>
    <row r="49" spans="1:103" ht="15.75" customHeight="1">
      <c r="A49" s="20"/>
      <c r="B49" s="20"/>
      <c r="C49" s="20"/>
      <c r="CY49" s="21" t="s">
        <v>132</v>
      </c>
    </row>
    <row r="50" spans="1:103" ht="15.75" customHeight="1">
      <c r="A50" s="20"/>
      <c r="B50" s="20"/>
      <c r="C50" s="20"/>
    </row>
    <row r="51" spans="1:103" ht="15.75" customHeight="1">
      <c r="A51" s="20"/>
      <c r="B51" s="20"/>
      <c r="C51" s="20"/>
    </row>
    <row r="52" spans="1:103" ht="15.75" customHeight="1">
      <c r="A52" s="20"/>
      <c r="B52" s="20"/>
      <c r="C52" s="20"/>
    </row>
    <row r="53" spans="1:103" ht="15.75" customHeight="1">
      <c r="A53" s="20"/>
      <c r="B53" s="20"/>
      <c r="C53" s="20"/>
    </row>
    <row r="54" spans="1:103" ht="15.75" customHeight="1">
      <c r="A54" s="20"/>
      <c r="B54" s="20"/>
      <c r="C54" s="20"/>
    </row>
    <row r="55" spans="1:103" ht="15.75" customHeight="1">
      <c r="A55" s="20"/>
      <c r="B55" s="20"/>
      <c r="C55" s="20"/>
    </row>
    <row r="56" spans="1:103" ht="15.75" customHeight="1">
      <c r="A56" s="20"/>
      <c r="B56" s="20"/>
      <c r="C56" s="20"/>
    </row>
    <row r="57" spans="1:103" ht="15.75" customHeight="1">
      <c r="A57" s="20"/>
      <c r="B57" s="20"/>
      <c r="C57" s="20"/>
    </row>
    <row r="58" spans="1:103" ht="15.75" customHeight="1">
      <c r="A58" s="20"/>
      <c r="B58" s="20"/>
      <c r="C58" s="20"/>
    </row>
    <row r="59" spans="1:103" ht="15.75" customHeight="1">
      <c r="A59" s="20"/>
      <c r="B59" s="20"/>
      <c r="C59" s="20"/>
    </row>
    <row r="60" spans="1:103" ht="15.75" customHeight="1">
      <c r="A60" s="20"/>
      <c r="B60" s="20"/>
      <c r="C60" s="20"/>
    </row>
    <row r="61" spans="1:103" ht="15.75" customHeight="1">
      <c r="A61" s="20"/>
      <c r="B61" s="20"/>
      <c r="C61" s="20"/>
    </row>
    <row r="62" spans="1:103" ht="15.75" customHeight="1">
      <c r="A62" s="20"/>
      <c r="B62" s="20"/>
      <c r="C62" s="20"/>
    </row>
    <row r="63" spans="1:103" ht="15.75" customHeight="1">
      <c r="A63" s="20"/>
      <c r="B63" s="20"/>
      <c r="C63" s="20"/>
    </row>
    <row r="64" spans="1:103" ht="15.75" customHeight="1">
      <c r="A64" s="20"/>
      <c r="B64" s="20"/>
      <c r="C64" s="20"/>
    </row>
    <row r="65" spans="1:3" ht="15.75" customHeight="1">
      <c r="A65" s="20"/>
      <c r="B65" s="20"/>
      <c r="C65" s="20"/>
    </row>
    <row r="66" spans="1:3" ht="15.75" customHeight="1">
      <c r="A66" s="20"/>
      <c r="B66" s="20"/>
      <c r="C66" s="20"/>
    </row>
    <row r="67" spans="1:3" ht="15.75" customHeight="1">
      <c r="A67" s="20"/>
      <c r="B67" s="20"/>
      <c r="C67" s="20"/>
    </row>
    <row r="68" spans="1:3" ht="15.75" customHeight="1">
      <c r="A68" s="20"/>
      <c r="B68" s="20"/>
      <c r="C68" s="20"/>
    </row>
    <row r="69" spans="1:3" ht="15.75" customHeight="1">
      <c r="A69" s="20"/>
      <c r="B69" s="20"/>
      <c r="C69" s="20"/>
    </row>
    <row r="70" spans="1:3" ht="15.75" customHeight="1">
      <c r="A70" s="20"/>
      <c r="B70" s="20"/>
      <c r="C70" s="20"/>
    </row>
    <row r="71" spans="1:3" ht="15.75" customHeight="1">
      <c r="A71" s="20"/>
      <c r="B71" s="20"/>
      <c r="C71" s="20"/>
    </row>
    <row r="72" spans="1:3" ht="15.75" customHeight="1">
      <c r="A72" s="20"/>
      <c r="B72" s="20"/>
      <c r="C72" s="20"/>
    </row>
    <row r="73" spans="1:3" ht="15.75" customHeight="1">
      <c r="A73" s="20"/>
      <c r="B73" s="20"/>
      <c r="C73" s="20"/>
    </row>
    <row r="74" spans="1:3" ht="15.75" customHeight="1">
      <c r="A74" s="20"/>
      <c r="B74" s="20"/>
      <c r="C74" s="20"/>
    </row>
    <row r="75" spans="1:3" ht="15.75" customHeight="1">
      <c r="A75" s="20"/>
      <c r="B75" s="20"/>
      <c r="C75" s="20"/>
    </row>
    <row r="76" spans="1:3" ht="15.75" customHeight="1">
      <c r="A76" s="20"/>
      <c r="B76" s="20"/>
      <c r="C76" s="20"/>
    </row>
    <row r="77" spans="1:3" ht="15.75" customHeight="1">
      <c r="A77" s="20"/>
      <c r="B77" s="20"/>
      <c r="C77" s="20"/>
    </row>
    <row r="78" spans="1:3" ht="15.75" customHeight="1">
      <c r="A78" s="20"/>
      <c r="B78" s="20"/>
      <c r="C78" s="20"/>
    </row>
    <row r="79" spans="1:3" ht="15.75" customHeight="1">
      <c r="A79" s="20"/>
      <c r="B79" s="20"/>
      <c r="C79" s="20"/>
    </row>
    <row r="80" spans="1:3" ht="15.75" customHeight="1">
      <c r="A80" s="20"/>
      <c r="B80" s="20"/>
      <c r="C80" s="20"/>
    </row>
    <row r="81" spans="1:3" ht="15.75" customHeight="1">
      <c r="A81" s="20"/>
      <c r="B81" s="20"/>
      <c r="C81" s="20"/>
    </row>
    <row r="82" spans="1:3" ht="15.75" customHeight="1">
      <c r="A82" s="20"/>
      <c r="B82" s="20"/>
      <c r="C82" s="20"/>
    </row>
    <row r="83" spans="1:3" ht="15.75" customHeight="1">
      <c r="A83" s="20"/>
      <c r="B83" s="20"/>
      <c r="C83" s="20"/>
    </row>
    <row r="84" spans="1:3" ht="15.75" customHeight="1">
      <c r="A84" s="20"/>
      <c r="B84" s="20"/>
      <c r="C84" s="20"/>
    </row>
    <row r="85" spans="1:3" ht="15.75" customHeight="1">
      <c r="A85" s="20"/>
      <c r="B85" s="20"/>
      <c r="C85" s="20"/>
    </row>
    <row r="86" spans="1:3" ht="15.75" customHeight="1">
      <c r="A86" s="20"/>
      <c r="B86" s="20"/>
      <c r="C86" s="20"/>
    </row>
    <row r="87" spans="1:3" ht="15.75" customHeight="1">
      <c r="A87" s="20"/>
      <c r="B87" s="20"/>
      <c r="C87" s="20"/>
    </row>
    <row r="88" spans="1:3" ht="15.75" customHeight="1">
      <c r="A88" s="20"/>
      <c r="B88" s="20"/>
      <c r="C88" s="20"/>
    </row>
    <row r="89" spans="1:3" ht="15.75" customHeight="1">
      <c r="A89" s="20"/>
      <c r="B89" s="20"/>
      <c r="C89" s="20"/>
    </row>
    <row r="90" spans="1:3" ht="15.75" customHeight="1">
      <c r="A90" s="20"/>
      <c r="B90" s="20"/>
      <c r="C90" s="20"/>
    </row>
    <row r="91" spans="1:3" ht="15.75" customHeight="1">
      <c r="A91" s="20"/>
      <c r="B91" s="20"/>
      <c r="C91" s="20"/>
    </row>
    <row r="92" spans="1:3" ht="15.75" customHeight="1">
      <c r="A92" s="20"/>
      <c r="B92" s="20"/>
      <c r="C92" s="20"/>
    </row>
    <row r="93" spans="1:3" ht="15.75" customHeight="1">
      <c r="A93" s="20"/>
      <c r="B93" s="20"/>
      <c r="C93" s="20"/>
    </row>
    <row r="94" spans="1:3" ht="15.75" customHeight="1">
      <c r="A94" s="20"/>
      <c r="B94" s="20"/>
      <c r="C94" s="20"/>
    </row>
    <row r="95" spans="1:3" ht="15.75" customHeight="1">
      <c r="A95" s="20"/>
      <c r="B95" s="20"/>
      <c r="C95" s="20"/>
    </row>
    <row r="96" spans="1:3" ht="15.75" customHeight="1">
      <c r="A96" s="20"/>
      <c r="B96" s="20"/>
      <c r="C96" s="20"/>
    </row>
    <row r="97" spans="1:3" ht="15.75" customHeight="1">
      <c r="A97" s="20"/>
      <c r="B97" s="20"/>
      <c r="C97" s="20"/>
    </row>
    <row r="98" spans="1:3" ht="15.75" customHeight="1">
      <c r="A98" s="20"/>
      <c r="B98" s="20"/>
      <c r="C98" s="20"/>
    </row>
    <row r="99" spans="1:3" ht="15.75" customHeight="1">
      <c r="A99" s="20"/>
      <c r="B99" s="20"/>
      <c r="C99" s="20"/>
    </row>
    <row r="100" spans="1:3" ht="15.75" customHeight="1">
      <c r="A100" s="20"/>
      <c r="B100" s="20"/>
      <c r="C100" s="20"/>
    </row>
    <row r="101" spans="1:3" ht="15.75" customHeight="1">
      <c r="A101" s="20"/>
      <c r="B101" s="20"/>
      <c r="C101" s="20"/>
    </row>
    <row r="102" spans="1:3" ht="15.75" customHeight="1">
      <c r="A102" s="20"/>
      <c r="B102" s="20"/>
      <c r="C102" s="20"/>
    </row>
    <row r="103" spans="1:3" ht="15.75" customHeight="1">
      <c r="A103" s="20"/>
      <c r="B103" s="20"/>
      <c r="C103" s="20"/>
    </row>
    <row r="104" spans="1:3" ht="15.75" customHeight="1">
      <c r="A104" s="20"/>
      <c r="B104" s="20"/>
      <c r="C104" s="20"/>
    </row>
    <row r="105" spans="1:3" ht="15.75" customHeight="1">
      <c r="A105" s="20"/>
      <c r="B105" s="20"/>
      <c r="C105" s="20"/>
    </row>
    <row r="106" spans="1:3" ht="15.75" customHeight="1">
      <c r="A106" s="20"/>
      <c r="B106" s="20"/>
      <c r="C106" s="20"/>
    </row>
    <row r="107" spans="1:3" ht="15.75" customHeight="1">
      <c r="A107" s="20"/>
      <c r="B107" s="20"/>
      <c r="C107" s="20"/>
    </row>
    <row r="108" spans="1:3" ht="15.75" customHeight="1">
      <c r="A108" s="20"/>
      <c r="B108" s="20"/>
      <c r="C108" s="20"/>
    </row>
    <row r="109" spans="1:3" ht="15.75" customHeight="1">
      <c r="A109" s="20"/>
      <c r="B109" s="20"/>
      <c r="C109" s="20"/>
    </row>
    <row r="110" spans="1:3" ht="15.75" customHeight="1">
      <c r="A110" s="20"/>
      <c r="B110" s="20"/>
      <c r="C110" s="20"/>
    </row>
    <row r="111" spans="1:3" ht="15.75" customHeight="1">
      <c r="A111" s="20"/>
      <c r="B111" s="20"/>
      <c r="C111" s="20"/>
    </row>
    <row r="112" spans="1:3" ht="15.75" customHeight="1">
      <c r="A112" s="20"/>
      <c r="B112" s="20"/>
      <c r="C112" s="20"/>
    </row>
    <row r="113" spans="1:3" ht="15.75" customHeight="1">
      <c r="A113" s="20"/>
      <c r="B113" s="20"/>
      <c r="C113" s="20"/>
    </row>
    <row r="114" spans="1:3" ht="15.75" customHeight="1">
      <c r="A114" s="20"/>
      <c r="B114" s="20"/>
      <c r="C114" s="20"/>
    </row>
    <row r="115" spans="1:3" ht="15.75" customHeight="1">
      <c r="A115" s="20"/>
      <c r="B115" s="20"/>
      <c r="C115" s="20"/>
    </row>
    <row r="116" spans="1:3" ht="15.75" customHeight="1">
      <c r="A116" s="20"/>
      <c r="B116" s="20"/>
      <c r="C116" s="20"/>
    </row>
    <row r="117" spans="1:3" ht="15.75" customHeight="1">
      <c r="A117" s="20"/>
      <c r="B117" s="20"/>
      <c r="C117" s="20"/>
    </row>
    <row r="118" spans="1:3" ht="15.75" customHeight="1">
      <c r="A118" s="20"/>
      <c r="B118" s="20"/>
      <c r="C118" s="20"/>
    </row>
    <row r="119" spans="1:3" ht="15.75" customHeight="1">
      <c r="A119" s="20"/>
      <c r="B119" s="20"/>
      <c r="C119" s="20"/>
    </row>
    <row r="120" spans="1:3" ht="15.75" customHeight="1">
      <c r="A120" s="20"/>
      <c r="B120" s="20"/>
      <c r="C120" s="20"/>
    </row>
    <row r="121" spans="1:3" ht="15.75" customHeight="1">
      <c r="A121" s="20"/>
      <c r="B121" s="20"/>
      <c r="C121" s="20"/>
    </row>
    <row r="122" spans="1:3" ht="15.75" customHeight="1">
      <c r="A122" s="20"/>
      <c r="B122" s="20"/>
      <c r="C122" s="20"/>
    </row>
    <row r="123" spans="1:3" ht="15.75" customHeight="1">
      <c r="A123" s="20"/>
      <c r="B123" s="20"/>
      <c r="C123" s="20"/>
    </row>
    <row r="124" spans="1:3" ht="15.75" customHeight="1">
      <c r="A124" s="20"/>
      <c r="B124" s="20"/>
      <c r="C124" s="20"/>
    </row>
    <row r="125" spans="1:3" ht="15.75" customHeight="1">
      <c r="A125" s="20"/>
      <c r="B125" s="20"/>
      <c r="C125" s="20"/>
    </row>
    <row r="126" spans="1:3" ht="15.75" customHeight="1">
      <c r="A126" s="20"/>
      <c r="B126" s="20"/>
      <c r="C126" s="20"/>
    </row>
    <row r="127" spans="1:3" ht="15.75" customHeight="1">
      <c r="A127" s="20"/>
      <c r="B127" s="20"/>
      <c r="C127" s="20"/>
    </row>
    <row r="128" spans="1:3" ht="15.75" customHeight="1">
      <c r="A128" s="20"/>
      <c r="B128" s="20"/>
      <c r="C128" s="20"/>
    </row>
    <row r="129" spans="1:3" ht="15.75" customHeight="1">
      <c r="A129" s="20"/>
      <c r="B129" s="20"/>
      <c r="C129" s="20"/>
    </row>
    <row r="130" spans="1:3" ht="15.75" customHeight="1">
      <c r="A130" s="20"/>
      <c r="B130" s="20"/>
      <c r="C130" s="20"/>
    </row>
    <row r="131" spans="1:3" ht="15.75" customHeight="1">
      <c r="A131" s="20"/>
      <c r="B131" s="20"/>
      <c r="C131" s="20"/>
    </row>
    <row r="132" spans="1:3" ht="15.75" customHeight="1">
      <c r="A132" s="20"/>
      <c r="B132" s="20"/>
      <c r="C132" s="20"/>
    </row>
    <row r="133" spans="1:3" ht="15.75" customHeight="1">
      <c r="A133" s="20"/>
      <c r="B133" s="20"/>
      <c r="C133" s="20"/>
    </row>
    <row r="134" spans="1:3" ht="15.75" customHeight="1">
      <c r="A134" s="20"/>
      <c r="B134" s="20"/>
      <c r="C134" s="20"/>
    </row>
    <row r="135" spans="1:3" ht="15.75" customHeight="1">
      <c r="A135" s="20"/>
      <c r="B135" s="20"/>
      <c r="C135" s="20"/>
    </row>
    <row r="136" spans="1:3" ht="15.75" customHeight="1">
      <c r="A136" s="20"/>
      <c r="B136" s="20"/>
      <c r="C136" s="20"/>
    </row>
    <row r="137" spans="1:3" ht="15.75" customHeight="1">
      <c r="A137" s="20"/>
      <c r="B137" s="20"/>
      <c r="C137" s="20"/>
    </row>
    <row r="138" spans="1:3" ht="15.75" customHeight="1">
      <c r="A138" s="20"/>
      <c r="B138" s="20"/>
      <c r="C138" s="20"/>
    </row>
    <row r="139" spans="1:3" ht="15.75" customHeight="1">
      <c r="A139" s="20"/>
      <c r="B139" s="20"/>
      <c r="C139" s="20"/>
    </row>
    <row r="140" spans="1:3" ht="15.75" customHeight="1">
      <c r="A140" s="20"/>
      <c r="B140" s="20"/>
      <c r="C140" s="20"/>
    </row>
    <row r="141" spans="1:3" ht="15.75" customHeight="1">
      <c r="A141" s="20"/>
      <c r="B141" s="20"/>
      <c r="C141" s="20"/>
    </row>
    <row r="142" spans="1:3" ht="15.75" customHeight="1">
      <c r="A142" s="20"/>
      <c r="B142" s="20"/>
      <c r="C142" s="20"/>
    </row>
    <row r="143" spans="1:3" ht="15.75" customHeight="1">
      <c r="A143" s="20"/>
      <c r="B143" s="20"/>
      <c r="C143" s="20"/>
    </row>
    <row r="144" spans="1:3" ht="15.75" customHeight="1">
      <c r="A144" s="20"/>
      <c r="B144" s="20"/>
      <c r="C144" s="20"/>
    </row>
    <row r="145" spans="1:3" ht="15.75" customHeight="1">
      <c r="A145" s="20"/>
      <c r="B145" s="20"/>
      <c r="C145" s="20"/>
    </row>
    <row r="146" spans="1:3" ht="15.75" customHeight="1">
      <c r="A146" s="20"/>
      <c r="B146" s="20"/>
      <c r="C146" s="20"/>
    </row>
    <row r="147" spans="1:3" ht="15.75" customHeight="1">
      <c r="A147" s="20"/>
      <c r="B147" s="20"/>
      <c r="C147" s="20"/>
    </row>
    <row r="148" spans="1:3" ht="15.75" customHeight="1">
      <c r="A148" s="20"/>
      <c r="B148" s="20"/>
      <c r="C148" s="20"/>
    </row>
    <row r="149" spans="1:3" ht="15.75" customHeight="1">
      <c r="A149" s="20"/>
      <c r="B149" s="20"/>
      <c r="C149" s="20"/>
    </row>
    <row r="150" spans="1:3" ht="15.75" customHeight="1">
      <c r="A150" s="20"/>
      <c r="B150" s="20"/>
      <c r="C150" s="20"/>
    </row>
    <row r="151" spans="1:3" ht="15.75" customHeight="1">
      <c r="A151" s="20"/>
      <c r="B151" s="20"/>
      <c r="C151" s="20"/>
    </row>
    <row r="152" spans="1:3" ht="15.75" customHeight="1">
      <c r="A152" s="20"/>
      <c r="B152" s="20"/>
      <c r="C152" s="20"/>
    </row>
    <row r="153" spans="1:3" ht="15.75" customHeight="1">
      <c r="A153" s="20"/>
      <c r="B153" s="20"/>
      <c r="C153" s="20"/>
    </row>
    <row r="154" spans="1:3" ht="15.75" customHeight="1">
      <c r="A154" s="20"/>
      <c r="B154" s="20"/>
      <c r="C154" s="20"/>
    </row>
    <row r="155" spans="1:3" ht="15.75" customHeight="1">
      <c r="A155" s="20"/>
      <c r="B155" s="20"/>
      <c r="C155" s="20"/>
    </row>
    <row r="156" spans="1:3" ht="15.75" customHeight="1">
      <c r="A156" s="20"/>
      <c r="B156" s="20"/>
      <c r="C156" s="20"/>
    </row>
    <row r="157" spans="1:3" ht="15.75" customHeight="1">
      <c r="A157" s="20"/>
      <c r="B157" s="20"/>
      <c r="C157" s="20"/>
    </row>
    <row r="158" spans="1:3" ht="15.75" customHeight="1">
      <c r="A158" s="20"/>
      <c r="B158" s="20"/>
      <c r="C158" s="20"/>
    </row>
    <row r="159" spans="1:3" ht="15.75" customHeight="1">
      <c r="A159" s="20"/>
      <c r="B159" s="20"/>
      <c r="C159" s="20"/>
    </row>
    <row r="160" spans="1:3" ht="15.75" customHeight="1">
      <c r="A160" s="20"/>
      <c r="B160" s="20"/>
      <c r="C160" s="20"/>
    </row>
    <row r="161" spans="1:3" ht="15.75" customHeight="1">
      <c r="A161" s="20"/>
      <c r="B161" s="20"/>
      <c r="C161" s="20"/>
    </row>
    <row r="162" spans="1:3" ht="15.75" customHeight="1">
      <c r="A162" s="20"/>
      <c r="B162" s="20"/>
      <c r="C162" s="20"/>
    </row>
    <row r="163" spans="1:3" ht="15.75" customHeight="1">
      <c r="A163" s="20"/>
      <c r="B163" s="20"/>
      <c r="C163" s="20"/>
    </row>
    <row r="164" spans="1:3" ht="15.75" customHeight="1">
      <c r="A164" s="20"/>
      <c r="B164" s="20"/>
      <c r="C164" s="20"/>
    </row>
    <row r="165" spans="1:3" ht="15.75" customHeight="1">
      <c r="A165" s="20"/>
      <c r="B165" s="20"/>
      <c r="C165" s="20"/>
    </row>
    <row r="166" spans="1:3" ht="15.75" customHeight="1">
      <c r="A166" s="20"/>
      <c r="B166" s="20"/>
      <c r="C166" s="20"/>
    </row>
    <row r="167" spans="1:3" ht="15.75" customHeight="1">
      <c r="A167" s="20"/>
      <c r="B167" s="20"/>
      <c r="C167" s="20"/>
    </row>
    <row r="168" spans="1:3" ht="15.75" customHeight="1">
      <c r="A168" s="20"/>
      <c r="B168" s="20"/>
      <c r="C168" s="20"/>
    </row>
    <row r="169" spans="1:3" ht="15.75" customHeight="1">
      <c r="A169" s="20"/>
      <c r="B169" s="20"/>
      <c r="C169" s="20"/>
    </row>
    <row r="170" spans="1:3" ht="15.75" customHeight="1">
      <c r="A170" s="20"/>
      <c r="B170" s="20"/>
      <c r="C170" s="20"/>
    </row>
    <row r="171" spans="1:3" ht="15.75" customHeight="1">
      <c r="A171" s="20"/>
      <c r="B171" s="20"/>
      <c r="C171" s="20"/>
    </row>
    <row r="172" spans="1:3" ht="15.75" customHeight="1">
      <c r="A172" s="20"/>
      <c r="B172" s="20"/>
      <c r="C172" s="20"/>
    </row>
    <row r="173" spans="1:3" ht="15.75" customHeight="1">
      <c r="A173" s="20"/>
      <c r="B173" s="20"/>
      <c r="C173" s="20"/>
    </row>
    <row r="174" spans="1:3" ht="15.75" customHeight="1">
      <c r="A174" s="20"/>
      <c r="B174" s="20"/>
      <c r="C174" s="20"/>
    </row>
    <row r="175" spans="1:3" ht="15.75" customHeight="1">
      <c r="A175" s="20"/>
      <c r="B175" s="20"/>
      <c r="C175" s="20"/>
    </row>
    <row r="176" spans="1:3" ht="15.75" customHeight="1">
      <c r="A176" s="20"/>
      <c r="B176" s="20"/>
      <c r="C176" s="20"/>
    </row>
    <row r="177" spans="1:3" ht="15.75" customHeight="1">
      <c r="A177" s="20"/>
      <c r="B177" s="20"/>
      <c r="C177" s="20"/>
    </row>
    <row r="178" spans="1:3" ht="15.75" customHeight="1">
      <c r="A178" s="20"/>
      <c r="B178" s="20"/>
      <c r="C178" s="20"/>
    </row>
    <row r="179" spans="1:3" ht="15.75" customHeight="1">
      <c r="A179" s="20"/>
      <c r="B179" s="20"/>
      <c r="C179" s="20"/>
    </row>
    <row r="180" spans="1:3" ht="15.75" customHeight="1">
      <c r="A180" s="20"/>
      <c r="B180" s="20"/>
      <c r="C180" s="20"/>
    </row>
    <row r="181" spans="1:3" ht="15.75" customHeight="1">
      <c r="A181" s="20"/>
      <c r="B181" s="20"/>
      <c r="C181" s="20"/>
    </row>
    <row r="182" spans="1:3" ht="15.75" customHeight="1">
      <c r="A182" s="20"/>
      <c r="B182" s="20"/>
      <c r="C182" s="20"/>
    </row>
    <row r="183" spans="1:3" ht="15.75" customHeight="1">
      <c r="A183" s="20"/>
      <c r="B183" s="20"/>
      <c r="C183" s="20"/>
    </row>
    <row r="184" spans="1:3" ht="15.75" customHeight="1">
      <c r="A184" s="20"/>
      <c r="B184" s="20"/>
      <c r="C184" s="20"/>
    </row>
    <row r="185" spans="1:3" ht="15.75" customHeight="1">
      <c r="A185" s="20"/>
      <c r="B185" s="20"/>
      <c r="C185" s="20"/>
    </row>
    <row r="186" spans="1:3" ht="15.75" customHeight="1">
      <c r="A186" s="20"/>
      <c r="B186" s="20"/>
      <c r="C186" s="20"/>
    </row>
    <row r="187" spans="1:3" ht="15.75" customHeight="1">
      <c r="A187" s="20"/>
      <c r="B187" s="20"/>
      <c r="C187" s="20"/>
    </row>
    <row r="188" spans="1:3" ht="15.75" customHeight="1">
      <c r="A188" s="20"/>
      <c r="B188" s="20"/>
      <c r="C188" s="20"/>
    </row>
    <row r="189" spans="1:3" ht="15.75" customHeight="1">
      <c r="A189" s="20"/>
      <c r="B189" s="20"/>
      <c r="C189" s="20"/>
    </row>
    <row r="190" spans="1:3" ht="15.75" customHeight="1">
      <c r="A190" s="20"/>
      <c r="B190" s="20"/>
      <c r="C190" s="20"/>
    </row>
    <row r="191" spans="1:3" ht="15.75" customHeight="1">
      <c r="A191" s="20"/>
      <c r="B191" s="20"/>
      <c r="C191" s="20"/>
    </row>
    <row r="192" spans="1:3" ht="15.75" customHeight="1">
      <c r="A192" s="20"/>
      <c r="B192" s="20"/>
      <c r="C192" s="20"/>
    </row>
    <row r="193" spans="1:3" ht="15.75" customHeight="1">
      <c r="A193" s="20"/>
      <c r="B193" s="20"/>
      <c r="C193" s="20"/>
    </row>
    <row r="194" spans="1:3" ht="15.75" customHeight="1">
      <c r="A194" s="20"/>
      <c r="B194" s="20"/>
      <c r="C194" s="20"/>
    </row>
    <row r="195" spans="1:3" ht="15.75" customHeight="1">
      <c r="A195" s="20"/>
      <c r="B195" s="20"/>
      <c r="C195" s="20"/>
    </row>
    <row r="196" spans="1:3" ht="15.75" customHeight="1">
      <c r="A196" s="20"/>
      <c r="B196" s="20"/>
      <c r="C196" s="20"/>
    </row>
    <row r="197" spans="1:3" ht="15.75" customHeight="1">
      <c r="A197" s="20"/>
      <c r="B197" s="20"/>
      <c r="C197" s="20"/>
    </row>
    <row r="198" spans="1:3" ht="15.75" customHeight="1">
      <c r="A198" s="20"/>
      <c r="B198" s="20"/>
      <c r="C198" s="20"/>
    </row>
    <row r="199" spans="1:3" ht="15.75" customHeight="1">
      <c r="A199" s="20"/>
      <c r="B199" s="20"/>
      <c r="C199" s="20"/>
    </row>
    <row r="200" spans="1:3" ht="15.75" customHeight="1">
      <c r="A200" s="20"/>
      <c r="B200" s="20"/>
      <c r="C200" s="20"/>
    </row>
    <row r="201" spans="1:3" ht="15.75" customHeight="1">
      <c r="A201" s="20"/>
      <c r="B201" s="20"/>
      <c r="C201" s="20"/>
    </row>
    <row r="202" spans="1:3" ht="15.75" customHeight="1">
      <c r="A202" s="20"/>
      <c r="B202" s="20"/>
      <c r="C202" s="20"/>
    </row>
    <row r="203" spans="1:3" ht="15.75" customHeight="1">
      <c r="A203" s="20"/>
      <c r="B203" s="20"/>
      <c r="C203" s="20"/>
    </row>
    <row r="204" spans="1:3" ht="15.75" customHeight="1">
      <c r="A204" s="20"/>
      <c r="B204" s="20"/>
      <c r="C204" s="20"/>
    </row>
    <row r="205" spans="1:3" ht="15.75" customHeight="1">
      <c r="A205" s="20"/>
      <c r="B205" s="20"/>
      <c r="C205" s="20"/>
    </row>
    <row r="206" spans="1:3" ht="15.75" customHeight="1">
      <c r="A206" s="20"/>
      <c r="B206" s="20"/>
      <c r="C206" s="20"/>
    </row>
    <row r="207" spans="1:3" ht="15.75" customHeight="1">
      <c r="A207" s="20"/>
      <c r="B207" s="20"/>
      <c r="C207" s="20"/>
    </row>
    <row r="208" spans="1:3" ht="15.75" customHeight="1">
      <c r="A208" s="20"/>
      <c r="B208" s="20"/>
      <c r="C208" s="20"/>
    </row>
    <row r="209" spans="1:3" ht="15.75" customHeight="1">
      <c r="A209" s="20"/>
      <c r="B209" s="20"/>
      <c r="C209" s="20"/>
    </row>
    <row r="210" spans="1:3" ht="15.75" customHeight="1">
      <c r="A210" s="20"/>
      <c r="B210" s="20"/>
      <c r="C210" s="20"/>
    </row>
    <row r="211" spans="1:3" ht="15.75" customHeight="1">
      <c r="A211" s="20"/>
      <c r="B211" s="20"/>
      <c r="C211" s="20"/>
    </row>
    <row r="212" spans="1:3" ht="15.75" customHeight="1">
      <c r="A212" s="20"/>
      <c r="B212" s="20"/>
      <c r="C212" s="20"/>
    </row>
    <row r="213" spans="1:3" ht="15.75" customHeight="1">
      <c r="A213" s="20"/>
      <c r="B213" s="20"/>
      <c r="C213" s="20"/>
    </row>
    <row r="214" spans="1:3" ht="15.75" customHeight="1">
      <c r="A214" s="20"/>
      <c r="B214" s="20"/>
      <c r="C214" s="20"/>
    </row>
    <row r="215" spans="1:3" ht="15.75" customHeight="1">
      <c r="A215" s="20"/>
      <c r="B215" s="20"/>
      <c r="C215" s="20"/>
    </row>
    <row r="216" spans="1:3" ht="15.75" customHeight="1">
      <c r="A216" s="20"/>
      <c r="B216" s="20"/>
      <c r="C216" s="20"/>
    </row>
    <row r="217" spans="1:3" ht="15.75" customHeight="1">
      <c r="A217" s="20"/>
      <c r="B217" s="20"/>
      <c r="C217" s="20"/>
    </row>
    <row r="218" spans="1:3" ht="15.75" customHeight="1">
      <c r="A218" s="20"/>
      <c r="B218" s="20"/>
      <c r="C218" s="20"/>
    </row>
    <row r="219" spans="1:3" ht="15.75" customHeight="1">
      <c r="A219" s="20"/>
      <c r="B219" s="20"/>
      <c r="C219" s="20"/>
    </row>
    <row r="220" spans="1:3" ht="15.75" customHeight="1">
      <c r="A220" s="20"/>
      <c r="B220" s="20"/>
      <c r="C220" s="20"/>
    </row>
    <row r="221" spans="1:3" ht="15.75" customHeight="1">
      <c r="A221" s="20"/>
      <c r="B221" s="20"/>
      <c r="C221" s="20"/>
    </row>
    <row r="222" spans="1:3" ht="15.75" customHeight="1">
      <c r="A222" s="20"/>
      <c r="B222" s="20"/>
      <c r="C222" s="20"/>
    </row>
    <row r="223" spans="1:3" ht="15.75" customHeight="1">
      <c r="A223" s="20"/>
      <c r="B223" s="20"/>
      <c r="C223" s="20"/>
    </row>
    <row r="224" spans="1:3" ht="15.75" customHeight="1">
      <c r="A224" s="20"/>
      <c r="B224" s="20"/>
      <c r="C224" s="20"/>
    </row>
    <row r="225" spans="1:3" ht="15.75" customHeight="1">
      <c r="A225" s="20"/>
      <c r="B225" s="20"/>
      <c r="C225" s="20"/>
    </row>
    <row r="226" spans="1:3" ht="15.75" customHeight="1">
      <c r="A226" s="20"/>
      <c r="B226" s="20"/>
      <c r="C226" s="20"/>
    </row>
    <row r="227" spans="1:3" ht="15.75" customHeight="1">
      <c r="A227" s="20"/>
      <c r="B227" s="20"/>
      <c r="C227" s="20"/>
    </row>
    <row r="228" spans="1:3" ht="15.75" customHeight="1">
      <c r="A228" s="20"/>
      <c r="B228" s="20"/>
      <c r="C228" s="20"/>
    </row>
    <row r="229" spans="1:3" ht="15.75" customHeight="1">
      <c r="A229" s="20"/>
      <c r="B229" s="20"/>
      <c r="C229" s="20"/>
    </row>
    <row r="230" spans="1:3" ht="15.75" customHeight="1">
      <c r="A230" s="20"/>
      <c r="B230" s="20"/>
      <c r="C230" s="20"/>
    </row>
    <row r="231" spans="1:3" ht="15.75" customHeight="1">
      <c r="A231" s="20"/>
      <c r="B231" s="20"/>
      <c r="C231" s="20"/>
    </row>
    <row r="232" spans="1:3" ht="15.75" customHeight="1">
      <c r="A232" s="20"/>
      <c r="B232" s="20"/>
      <c r="C232" s="20"/>
    </row>
    <row r="233" spans="1:3" ht="15.75" customHeight="1">
      <c r="A233" s="20"/>
      <c r="B233" s="20"/>
      <c r="C233" s="20"/>
    </row>
    <row r="234" spans="1:3" ht="15.75" customHeight="1">
      <c r="A234" s="20"/>
      <c r="B234" s="20"/>
      <c r="C234" s="20"/>
    </row>
    <row r="235" spans="1:3" ht="15.75" customHeight="1">
      <c r="A235" s="20"/>
      <c r="B235" s="20"/>
      <c r="C235" s="20"/>
    </row>
    <row r="236" spans="1:3" ht="15.75" customHeight="1">
      <c r="A236" s="20"/>
      <c r="B236" s="20"/>
      <c r="C236" s="20"/>
    </row>
    <row r="237" spans="1:3" ht="15.75" customHeight="1">
      <c r="A237" s="20"/>
      <c r="B237" s="20"/>
      <c r="C237" s="20"/>
    </row>
    <row r="238" spans="1:3" ht="15.75" customHeight="1">
      <c r="A238" s="20"/>
      <c r="B238" s="20"/>
      <c r="C238" s="20"/>
    </row>
    <row r="239" spans="1:3" ht="15.75" customHeight="1">
      <c r="A239" s="20"/>
      <c r="B239" s="20"/>
      <c r="C239" s="20"/>
    </row>
    <row r="240" spans="1:3" ht="15.75" customHeight="1">
      <c r="A240" s="20"/>
      <c r="B240" s="20"/>
      <c r="C240" s="20"/>
    </row>
    <row r="241" spans="1:3" ht="15.75" customHeight="1">
      <c r="A241" s="20"/>
      <c r="B241" s="20"/>
      <c r="C241" s="20"/>
    </row>
    <row r="242" spans="1:3" ht="15.75" customHeight="1">
      <c r="A242" s="20"/>
      <c r="B242" s="20"/>
      <c r="C242" s="20"/>
    </row>
    <row r="243" spans="1:3" ht="15.75" customHeight="1">
      <c r="A243" s="20"/>
      <c r="B243" s="20"/>
      <c r="C243" s="20"/>
    </row>
  </sheetData>
  <mergeCells count="18">
    <mergeCell ref="DG43:DI43"/>
    <mergeCell ref="AY43:BD43"/>
    <mergeCell ref="BE43:BJ43"/>
    <mergeCell ref="BK43:BP43"/>
    <mergeCell ref="BQ43:BV43"/>
    <mergeCell ref="BW43:CB43"/>
    <mergeCell ref="CC43:CH43"/>
    <mergeCell ref="CI43:CN43"/>
    <mergeCell ref="AM43:AR43"/>
    <mergeCell ref="AS43:AX43"/>
    <mergeCell ref="CO43:CT43"/>
    <mergeCell ref="CU43:CZ43"/>
    <mergeCell ref="DA43:DF43"/>
    <mergeCell ref="I43:N43"/>
    <mergeCell ref="O43:T43"/>
    <mergeCell ref="U43:Z43"/>
    <mergeCell ref="AA43:AF43"/>
    <mergeCell ref="AG43:AL4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2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/>
  <cols>
    <col min="1" max="1" width="2.5703125" customWidth="1"/>
    <col min="2" max="2" width="31.42578125" customWidth="1"/>
    <col min="3" max="3" width="14.85546875" customWidth="1"/>
    <col min="4" max="4" width="6.5703125" customWidth="1"/>
    <col min="5" max="5" width="24.7109375" customWidth="1"/>
    <col min="6" max="6" width="11" customWidth="1"/>
    <col min="7" max="7" width="10" customWidth="1"/>
    <col min="8" max="8" width="4.42578125" customWidth="1"/>
    <col min="9" max="9" width="3.5703125" customWidth="1"/>
    <col min="10" max="10" width="5.42578125" customWidth="1"/>
    <col min="11" max="12" width="5.140625" customWidth="1"/>
    <col min="13" max="13" width="5.42578125" customWidth="1"/>
    <col min="14" max="14" width="9.28515625" customWidth="1"/>
    <col min="15" max="15" width="3.5703125" customWidth="1"/>
    <col min="16" max="16" width="4.5703125" customWidth="1"/>
    <col min="17" max="17" width="5.42578125" customWidth="1"/>
    <col min="18" max="18" width="4" customWidth="1"/>
    <col min="19" max="19" width="5.7109375" customWidth="1"/>
    <col min="20" max="20" width="8" customWidth="1"/>
    <col min="21" max="21" width="3.5703125" customWidth="1"/>
    <col min="22" max="22" width="4.5703125" customWidth="1"/>
    <col min="23" max="23" width="5.42578125" customWidth="1"/>
    <col min="24" max="24" width="4" customWidth="1"/>
    <col min="25" max="25" width="5.7109375" customWidth="1"/>
    <col min="26" max="26" width="8" customWidth="1"/>
    <col min="27" max="27" width="3.5703125" customWidth="1"/>
    <col min="28" max="28" width="4.5703125" customWidth="1"/>
    <col min="29" max="29" width="5.42578125" customWidth="1"/>
    <col min="30" max="30" width="4" customWidth="1"/>
    <col min="31" max="31" width="5.7109375" customWidth="1"/>
    <col min="32" max="32" width="8" customWidth="1"/>
    <col min="33" max="33" width="3.5703125" customWidth="1"/>
    <col min="34" max="34" width="4.5703125" customWidth="1"/>
    <col min="35" max="35" width="5.42578125" customWidth="1"/>
    <col min="36" max="36" width="4" customWidth="1"/>
    <col min="37" max="37" width="5.7109375" customWidth="1"/>
    <col min="38" max="38" width="8" customWidth="1"/>
    <col min="39" max="39" width="3.5703125" customWidth="1"/>
    <col min="40" max="40" width="4.5703125" customWidth="1"/>
    <col min="41" max="41" width="5.42578125" customWidth="1"/>
    <col min="42" max="42" width="4" customWidth="1"/>
    <col min="43" max="43" width="5.7109375" customWidth="1"/>
    <col min="44" max="44" width="8" customWidth="1"/>
    <col min="45" max="45" width="3.5703125" customWidth="1"/>
    <col min="46" max="46" width="4.5703125" customWidth="1"/>
    <col min="47" max="47" width="5.42578125" customWidth="1"/>
    <col min="48" max="48" width="4" customWidth="1"/>
    <col min="49" max="49" width="5.7109375" customWidth="1"/>
    <col min="50" max="50" width="8" customWidth="1"/>
    <col min="51" max="51" width="3.5703125" customWidth="1"/>
    <col min="52" max="53" width="5.42578125" customWidth="1"/>
    <col min="54" max="54" width="4" customWidth="1"/>
    <col min="55" max="55" width="5.28515625" customWidth="1"/>
    <col min="56" max="56" width="8" customWidth="1"/>
    <col min="57" max="57" width="3.5703125" customWidth="1"/>
    <col min="58" max="58" width="4.5703125" customWidth="1"/>
    <col min="59" max="59" width="5.42578125" customWidth="1"/>
    <col min="60" max="60" width="4" customWidth="1"/>
    <col min="61" max="61" width="5.7109375" customWidth="1"/>
    <col min="62" max="62" width="8" customWidth="1"/>
    <col min="63" max="63" width="3.5703125" customWidth="1"/>
    <col min="64" max="64" width="4.5703125" customWidth="1"/>
    <col min="65" max="65" width="5.42578125" customWidth="1"/>
    <col min="66" max="66" width="4" customWidth="1"/>
    <col min="67" max="67" width="5.7109375" customWidth="1"/>
    <col min="68" max="68" width="8" customWidth="1"/>
    <col min="69" max="69" width="3.5703125" customWidth="1"/>
    <col min="70" max="70" width="4.5703125" customWidth="1"/>
    <col min="71" max="71" width="5.42578125" customWidth="1"/>
    <col min="72" max="72" width="4" customWidth="1"/>
    <col min="73" max="73" width="5.7109375" customWidth="1"/>
    <col min="74" max="74" width="8" customWidth="1"/>
    <col min="75" max="75" width="3.5703125" customWidth="1"/>
    <col min="76" max="76" width="4.5703125" customWidth="1"/>
    <col min="77" max="77" width="5.42578125" customWidth="1"/>
    <col min="78" max="78" width="4" customWidth="1"/>
    <col min="79" max="79" width="5.7109375" customWidth="1"/>
    <col min="80" max="80" width="8" customWidth="1"/>
    <col min="81" max="81" width="3.5703125" customWidth="1"/>
    <col min="82" max="82" width="4.5703125" customWidth="1"/>
    <col min="83" max="83" width="5.42578125" customWidth="1"/>
    <col min="84" max="84" width="4" customWidth="1"/>
    <col min="85" max="85" width="5.7109375" customWidth="1"/>
    <col min="86" max="86" width="8" customWidth="1"/>
    <col min="87" max="87" width="3.5703125" customWidth="1"/>
    <col min="88" max="88" width="4.5703125" customWidth="1"/>
    <col min="89" max="89" width="5.42578125" customWidth="1"/>
    <col min="90" max="90" width="4" customWidth="1"/>
    <col min="91" max="91" width="5.7109375" customWidth="1"/>
    <col min="92" max="92" width="8" customWidth="1"/>
    <col min="93" max="93" width="3.5703125" customWidth="1"/>
    <col min="94" max="94" width="4.5703125" customWidth="1"/>
    <col min="95" max="95" width="5.42578125" customWidth="1"/>
    <col min="96" max="96" width="4" customWidth="1"/>
    <col min="97" max="97" width="5.7109375" customWidth="1"/>
    <col min="98" max="98" width="8" customWidth="1"/>
    <col min="99" max="99" width="3.5703125" customWidth="1"/>
    <col min="100" max="100" width="4.5703125" customWidth="1"/>
    <col min="101" max="101" width="5.42578125" customWidth="1"/>
    <col min="102" max="102" width="4" customWidth="1"/>
    <col min="103" max="103" width="5.7109375" customWidth="1"/>
    <col min="104" max="104" width="8" customWidth="1"/>
    <col min="105" max="105" width="3.5703125" customWidth="1"/>
    <col min="106" max="106" width="4.5703125" customWidth="1"/>
    <col min="107" max="107" width="5.42578125" customWidth="1"/>
    <col min="108" max="108" width="4" customWidth="1"/>
    <col min="109" max="109" width="5.7109375" customWidth="1"/>
    <col min="110" max="110" width="8" customWidth="1"/>
    <col min="111" max="111" width="3.5703125" customWidth="1"/>
    <col min="112" max="112" width="5.7109375" customWidth="1"/>
    <col min="113" max="113" width="8" customWidth="1"/>
    <col min="114" max="114" width="9.28515625" customWidth="1"/>
    <col min="115" max="166" width="10.42578125" customWidth="1"/>
  </cols>
  <sheetData>
    <row r="1" spans="1:16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8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8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 t="s">
        <v>8</v>
      </c>
      <c r="AN1" s="2" t="s">
        <v>9</v>
      </c>
      <c r="AO1" s="2" t="s">
        <v>10</v>
      </c>
      <c r="AP1" s="2" t="s">
        <v>11</v>
      </c>
      <c r="AQ1" s="2" t="s">
        <v>12</v>
      </c>
      <c r="AR1" s="2" t="s">
        <v>13</v>
      </c>
      <c r="AS1" s="2" t="s">
        <v>8</v>
      </c>
      <c r="AT1" s="2" t="s">
        <v>9</v>
      </c>
      <c r="AU1" s="2" t="s">
        <v>10</v>
      </c>
      <c r="AV1" s="2" t="s">
        <v>11</v>
      </c>
      <c r="AW1" s="2" t="s">
        <v>12</v>
      </c>
      <c r="AX1" s="2" t="s">
        <v>13</v>
      </c>
      <c r="AY1" s="2" t="s">
        <v>8</v>
      </c>
      <c r="AZ1" s="1" t="s">
        <v>9</v>
      </c>
      <c r="BA1" s="2" t="s">
        <v>10</v>
      </c>
      <c r="BB1" s="2" t="s">
        <v>11</v>
      </c>
      <c r="BC1" s="2" t="s">
        <v>12</v>
      </c>
      <c r="BD1" s="2" t="s">
        <v>13</v>
      </c>
      <c r="BE1" s="2" t="s">
        <v>8</v>
      </c>
      <c r="BF1" s="2" t="s">
        <v>9</v>
      </c>
      <c r="BG1" s="2" t="s">
        <v>10</v>
      </c>
      <c r="BH1" s="2" t="s">
        <v>11</v>
      </c>
      <c r="BI1" s="2" t="s">
        <v>12</v>
      </c>
      <c r="BJ1" s="2" t="s">
        <v>13</v>
      </c>
      <c r="BK1" s="2" t="s">
        <v>8</v>
      </c>
      <c r="BL1" s="2" t="s">
        <v>9</v>
      </c>
      <c r="BM1" s="2" t="s">
        <v>10</v>
      </c>
      <c r="BN1" s="2" t="s">
        <v>11</v>
      </c>
      <c r="BO1" s="2" t="s">
        <v>12</v>
      </c>
      <c r="BP1" s="2" t="s">
        <v>13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13</v>
      </c>
      <c r="BW1" s="2" t="s">
        <v>8</v>
      </c>
      <c r="BX1" s="2" t="s">
        <v>9</v>
      </c>
      <c r="BY1" s="2" t="s">
        <v>10</v>
      </c>
      <c r="BZ1" s="2" t="s">
        <v>11</v>
      </c>
      <c r="CA1" s="2" t="s">
        <v>12</v>
      </c>
      <c r="CB1" s="2" t="s">
        <v>13</v>
      </c>
      <c r="CC1" s="2" t="s">
        <v>8</v>
      </c>
      <c r="CD1" s="2" t="s">
        <v>9</v>
      </c>
      <c r="CE1" s="2" t="s">
        <v>10</v>
      </c>
      <c r="CF1" s="2" t="s">
        <v>11</v>
      </c>
      <c r="CG1" s="2" t="s">
        <v>12</v>
      </c>
      <c r="CH1" s="2" t="s">
        <v>13</v>
      </c>
      <c r="CI1" s="2" t="s">
        <v>8</v>
      </c>
      <c r="CJ1" s="2" t="s">
        <v>9</v>
      </c>
      <c r="CK1" s="2" t="s">
        <v>10</v>
      </c>
      <c r="CL1" s="2" t="s">
        <v>11</v>
      </c>
      <c r="CM1" s="2" t="s">
        <v>12</v>
      </c>
      <c r="CN1" s="2" t="s">
        <v>13</v>
      </c>
      <c r="CO1" s="2" t="s">
        <v>8</v>
      </c>
      <c r="CP1" s="2" t="s">
        <v>9</v>
      </c>
      <c r="CQ1" s="2" t="s">
        <v>10</v>
      </c>
      <c r="CR1" s="2" t="s">
        <v>11</v>
      </c>
      <c r="CS1" s="2" t="s">
        <v>12</v>
      </c>
      <c r="CT1" s="2" t="s">
        <v>13</v>
      </c>
      <c r="CU1" s="2" t="s">
        <v>8</v>
      </c>
      <c r="CV1" s="2" t="s">
        <v>9</v>
      </c>
      <c r="CW1" s="3" t="s">
        <v>10</v>
      </c>
      <c r="CX1" s="2" t="s">
        <v>11</v>
      </c>
      <c r="CY1" s="2" t="s">
        <v>12</v>
      </c>
      <c r="CZ1" s="2" t="s">
        <v>13</v>
      </c>
      <c r="DA1" s="2" t="s">
        <v>8</v>
      </c>
      <c r="DB1" s="2" t="s">
        <v>9</v>
      </c>
      <c r="DC1" s="2" t="s">
        <v>10</v>
      </c>
      <c r="DD1" s="2" t="s">
        <v>11</v>
      </c>
      <c r="DE1" s="2" t="s">
        <v>12</v>
      </c>
      <c r="DF1" s="2" t="s">
        <v>13</v>
      </c>
      <c r="DG1" s="2" t="s">
        <v>8</v>
      </c>
      <c r="DH1" s="2" t="s">
        <v>12</v>
      </c>
      <c r="DI1" s="2" t="s">
        <v>13</v>
      </c>
      <c r="DJ1" s="2" t="s">
        <v>14</v>
      </c>
      <c r="DK1" s="4" t="s">
        <v>15</v>
      </c>
      <c r="DL1" s="4" t="s">
        <v>16</v>
      </c>
      <c r="DM1" s="4" t="s">
        <v>17</v>
      </c>
      <c r="DN1" s="4" t="s">
        <v>18</v>
      </c>
      <c r="DO1" s="4" t="s">
        <v>19</v>
      </c>
      <c r="DP1" s="4" t="s">
        <v>20</v>
      </c>
      <c r="DQ1" s="4" t="s">
        <v>21</v>
      </c>
      <c r="DR1" s="4" t="s">
        <v>22</v>
      </c>
      <c r="DS1" s="4" t="s">
        <v>23</v>
      </c>
      <c r="DT1" s="4" t="s">
        <v>24</v>
      </c>
      <c r="DU1" s="4" t="s">
        <v>25</v>
      </c>
      <c r="DV1" s="4" t="s">
        <v>26</v>
      </c>
      <c r="DW1" s="4" t="s">
        <v>27</v>
      </c>
      <c r="DX1" s="4" t="s">
        <v>28</v>
      </c>
      <c r="DY1" s="4" t="s">
        <v>29</v>
      </c>
      <c r="DZ1" s="4" t="s">
        <v>30</v>
      </c>
      <c r="EA1" s="4" t="s">
        <v>31</v>
      </c>
      <c r="EB1" s="4" t="s">
        <v>32</v>
      </c>
      <c r="EC1" s="4" t="s">
        <v>33</v>
      </c>
      <c r="ED1" s="4" t="s">
        <v>34</v>
      </c>
      <c r="EE1" s="4" t="s">
        <v>35</v>
      </c>
      <c r="EF1" s="4" t="s">
        <v>36</v>
      </c>
      <c r="EG1" s="4" t="s">
        <v>37</v>
      </c>
      <c r="EH1" s="4" t="s">
        <v>38</v>
      </c>
      <c r="EI1" s="4" t="s">
        <v>39</v>
      </c>
      <c r="EJ1" s="4" t="s">
        <v>40</v>
      </c>
      <c r="EK1" s="4" t="s">
        <v>41</v>
      </c>
      <c r="EL1" s="4" t="s">
        <v>42</v>
      </c>
      <c r="EM1" s="4" t="s">
        <v>43</v>
      </c>
      <c r="EN1" s="4" t="s">
        <v>44</v>
      </c>
      <c r="EO1" s="4" t="s">
        <v>45</v>
      </c>
      <c r="EP1" s="4" t="s">
        <v>46</v>
      </c>
      <c r="EQ1" s="4" t="s">
        <v>47</v>
      </c>
      <c r="ER1" s="4" t="s">
        <v>48</v>
      </c>
      <c r="ES1" s="4" t="s">
        <v>49</v>
      </c>
      <c r="ET1" s="4" t="s">
        <v>50</v>
      </c>
      <c r="EU1" s="4" t="s">
        <v>51</v>
      </c>
      <c r="EV1" s="4" t="s">
        <v>52</v>
      </c>
      <c r="EW1" s="4" t="s">
        <v>53</v>
      </c>
      <c r="EX1" s="4" t="s">
        <v>54</v>
      </c>
      <c r="EY1" s="4" t="s">
        <v>55</v>
      </c>
      <c r="EZ1" s="4" t="s">
        <v>56</v>
      </c>
      <c r="FA1" s="4" t="s">
        <v>57</v>
      </c>
      <c r="FB1" s="4" t="s">
        <v>58</v>
      </c>
      <c r="FC1" s="4" t="s">
        <v>59</v>
      </c>
      <c r="FD1" s="4" t="s">
        <v>60</v>
      </c>
      <c r="FE1" s="4" t="s">
        <v>61</v>
      </c>
      <c r="FF1" s="4" t="s">
        <v>62</v>
      </c>
      <c r="FG1" s="4" t="s">
        <v>63</v>
      </c>
      <c r="FH1" s="4" t="s">
        <v>64</v>
      </c>
      <c r="FI1" s="4" t="s">
        <v>65</v>
      </c>
      <c r="FJ1" s="4" t="s">
        <v>66</v>
      </c>
    </row>
    <row r="2" spans="1:166">
      <c r="A2" s="5">
        <v>1</v>
      </c>
      <c r="B2" s="5" t="s">
        <v>133</v>
      </c>
      <c r="C2" s="6">
        <v>1143139859</v>
      </c>
      <c r="D2" s="5" t="s">
        <v>134</v>
      </c>
      <c r="E2" s="5" t="s">
        <v>135</v>
      </c>
      <c r="F2" s="5" t="s">
        <v>70</v>
      </c>
      <c r="G2" s="5" t="s">
        <v>71</v>
      </c>
      <c r="H2" s="5">
        <v>2026</v>
      </c>
      <c r="I2" s="5">
        <v>4</v>
      </c>
      <c r="J2" s="7">
        <v>3</v>
      </c>
      <c r="K2" s="7">
        <v>3.1</v>
      </c>
      <c r="L2" s="7">
        <v>3.2</v>
      </c>
      <c r="M2" s="5">
        <f t="shared" ref="M2:M40" si="0">((J2*0.3)+(K2*0.4)+(L2*0.3))</f>
        <v>3.1</v>
      </c>
      <c r="N2" s="5" t="str">
        <f t="shared" ref="N2:N40" si="1">IF(M2&lt;3,"BAJO",IF(M2&lt;4,"BASICO",IF(M2&lt;4.5,"ALTO",IF(M2&lt;=5,"SUPERIOR"))))</f>
        <v>BASICO</v>
      </c>
      <c r="O2" s="5">
        <v>1</v>
      </c>
      <c r="P2" s="7">
        <v>3.5</v>
      </c>
      <c r="Q2" s="7">
        <v>3.5</v>
      </c>
      <c r="R2" s="7">
        <v>3.5</v>
      </c>
      <c r="S2" s="5">
        <f t="shared" ref="S2:S40" si="2">((P2*0.3)+(Q2*0.4)+(R2*0.3))</f>
        <v>3.5</v>
      </c>
      <c r="T2" s="5" t="str">
        <f t="shared" ref="T2:T40" si="3">IF(S2&lt;3,"BAJO",IF(S2&lt;4,"BASICO",IF(S2&lt;4.5,"ALTO",IF(S2&lt;=5,"SUPERIOR"))))</f>
        <v>BASICO</v>
      </c>
      <c r="U2" s="5">
        <v>4</v>
      </c>
      <c r="V2" s="7"/>
      <c r="W2" s="7"/>
      <c r="X2" s="7"/>
      <c r="Y2" s="5">
        <f t="shared" ref="Y2:Y40" si="4">((V2*0.3)+(W2*0.4)+(X2*0.3))</f>
        <v>0</v>
      </c>
      <c r="Z2" s="5" t="str">
        <f t="shared" ref="Z2:Z40" si="5">IF(Y2&lt;3,"BAJO",IF(Y2&lt;4,"BASICO",IF(Y2&lt;4.5,"ALTO",IF(Y2&lt;=5,"SUPERIOR"))))</f>
        <v>BAJO</v>
      </c>
      <c r="AA2" s="5">
        <v>1</v>
      </c>
      <c r="AB2" s="7">
        <v>3.6</v>
      </c>
      <c r="AC2" s="7">
        <v>3.6</v>
      </c>
      <c r="AD2" s="7">
        <v>3.6</v>
      </c>
      <c r="AE2" s="5">
        <f t="shared" ref="AE2:AE40" si="6">((AB2*0.3)+(AC2*0.4)+(AD2*0.3))</f>
        <v>3.6000000000000005</v>
      </c>
      <c r="AF2" s="5" t="str">
        <f t="shared" ref="AF2:AF40" si="7">IF(AE2&lt;3,"BAJO",IF(AE2&lt;4,"BASICO",IF(AE2&lt;4.5,"ALTO",IF(AE2&lt;=5,"SUPERIOR"))))</f>
        <v>BASICO</v>
      </c>
      <c r="AG2" s="5">
        <v>2</v>
      </c>
      <c r="AH2" s="8">
        <v>3.5</v>
      </c>
      <c r="AI2" s="8">
        <v>3</v>
      </c>
      <c r="AJ2" s="8">
        <v>3</v>
      </c>
      <c r="AK2" s="5">
        <f t="shared" ref="AK2:AK40" si="8">((AH2*0.3)+(AI2*0.4)+(AJ2*0.3))</f>
        <v>3.15</v>
      </c>
      <c r="AL2" s="5" t="str">
        <f t="shared" ref="AL2:AL40" si="9">IF(AK2&lt;3,"BAJO",IF(AK2&lt;4,"BASICO",IF(AK2&lt;4.5,"ALTO",IF(AK2&lt;=5,"SUPERIOR"))))</f>
        <v>BASICO</v>
      </c>
      <c r="AM2" s="5">
        <v>1</v>
      </c>
      <c r="AN2" s="8">
        <v>3.5</v>
      </c>
      <c r="AO2" s="8">
        <v>3</v>
      </c>
      <c r="AP2" s="8">
        <v>3</v>
      </c>
      <c r="AQ2" s="5">
        <f t="shared" ref="AQ2:AQ40" si="10">((AN2*0.3)+(AO2*0.4)+(AP2*0.3))</f>
        <v>3.15</v>
      </c>
      <c r="AR2" s="5" t="str">
        <f t="shared" ref="AR2:AR40" si="11">IF(AQ2&lt;3,"BAJO",IF(AQ2&lt;4,"BASICO",IF(AQ2&lt;4.5,"ALTO",IF(AQ2&lt;=5,"SUPERIOR"))))</f>
        <v>BASICO</v>
      </c>
      <c r="AS2" s="5">
        <v>4</v>
      </c>
      <c r="AT2" s="7">
        <v>3</v>
      </c>
      <c r="AU2" s="7">
        <v>3</v>
      </c>
      <c r="AV2" s="7"/>
      <c r="AW2" s="7">
        <v>3</v>
      </c>
      <c r="AX2" s="5" t="str">
        <f t="shared" ref="AX2:AX16" si="12">IF(AW2&lt;3,"BAJO",IF(AW2&lt;4,"BASICO",IF(AW2&lt;4.5,"ALTO",IF(AW45&lt;=5,"SUPERIOR"))))</f>
        <v>BASICO</v>
      </c>
      <c r="AY2" s="5">
        <v>1</v>
      </c>
      <c r="AZ2" s="7">
        <v>4</v>
      </c>
      <c r="BA2" s="7">
        <v>3.5</v>
      </c>
      <c r="BB2" s="7">
        <v>3.5</v>
      </c>
      <c r="BC2" s="5">
        <f t="shared" ref="BC2:BC40" si="13">((AZ2*0.3)+(BA2*0.4)+(BB2*0.3))</f>
        <v>3.6500000000000004</v>
      </c>
      <c r="BD2" s="5" t="str">
        <f t="shared" ref="BD2:BD40" si="14">IF(BC2&lt;3,"BAJO",IF(BC2&lt;4,"BASICO",IF(BC2&lt;4.5,"ALTO",IF(BC2&lt;=5,"SUPERIOR"))))</f>
        <v>BASICO</v>
      </c>
      <c r="BE2" s="7">
        <v>2</v>
      </c>
      <c r="BF2" s="7">
        <v>2</v>
      </c>
      <c r="BG2" s="7">
        <v>2.2000000000000002</v>
      </c>
      <c r="BH2" s="7">
        <v>2.5</v>
      </c>
      <c r="BI2" s="7">
        <v>2.5</v>
      </c>
      <c r="BJ2" s="5" t="str">
        <f t="shared" ref="BJ2:BJ40" si="15">IF(BI2&lt;3,"BAJO",IF(BI2&lt;4,"BASICO",IF(BI2&lt;4.5,"ALTO",IF(BI2&lt;=5,"SUPERIOR"))))</f>
        <v>BAJO</v>
      </c>
      <c r="BK2" s="5">
        <v>1</v>
      </c>
      <c r="BL2" s="7">
        <v>2</v>
      </c>
      <c r="BM2" s="7">
        <v>2.2000000000000002</v>
      </c>
      <c r="BN2" s="7">
        <v>2.5</v>
      </c>
      <c r="BO2" s="5">
        <f t="shared" ref="BO2:BO31" si="16">((BL2*0.3)+(BM2*0.4)+(BN2*0.3))</f>
        <v>2.23</v>
      </c>
      <c r="BP2" s="5" t="str">
        <f t="shared" ref="BP2:BP40" si="17">IF(BO2&lt;3,"BAJO",IF(BO2&lt;4,"BASICO",IF(BO2&lt;4.5,"ALTO",IF(BO2&lt;=5,"SUPERIOR"))))</f>
        <v>BAJO</v>
      </c>
      <c r="BQ2" s="5">
        <v>1</v>
      </c>
      <c r="BR2" s="7">
        <v>2.5</v>
      </c>
      <c r="BS2" s="7">
        <v>2.2000000000000002</v>
      </c>
      <c r="BT2" s="7">
        <v>2</v>
      </c>
      <c r="BU2" s="5">
        <f t="shared" ref="BU2:BU40" si="18">((BR2*0.3)+(BS2*0.4)+(BT2*0.3))</f>
        <v>2.23</v>
      </c>
      <c r="BV2" s="5" t="str">
        <f t="shared" ref="BV2:BV40" si="19">IF(BU2&lt;3,"BAJO",IF(BU2&lt;4,"BASICO",IF(BU2&lt;4.5,"ALTO",IF(BU2&lt;=5,"SUPERIOR"))))</f>
        <v>BAJO</v>
      </c>
      <c r="BW2" s="5">
        <v>1</v>
      </c>
      <c r="BX2" s="7">
        <v>3</v>
      </c>
      <c r="BY2" s="7">
        <v>3.5</v>
      </c>
      <c r="BZ2" s="7">
        <v>3.4</v>
      </c>
      <c r="CA2" s="5">
        <f t="shared" ref="CA2:CA40" si="20">((BX2*0.3)+(BY2*0.4)+(BZ2*0.3))</f>
        <v>3.32</v>
      </c>
      <c r="CB2" s="5" t="str">
        <f t="shared" ref="CB2:CB40" si="21">IF(CA2&lt;3,"BAJO",IF(CA2&lt;4,"BASICO",IF(CA2&lt;4.5,"ALTO",IF(CA2&lt;=5,"SUPERIOR"))))</f>
        <v>BASICO</v>
      </c>
      <c r="CC2" s="5">
        <v>1</v>
      </c>
      <c r="CD2" s="7">
        <v>3.7</v>
      </c>
      <c r="CE2" s="7">
        <v>3.5</v>
      </c>
      <c r="CF2" s="7">
        <v>3.5</v>
      </c>
      <c r="CG2" s="5">
        <f t="shared" ref="CG2:CG40" si="22">((CD2*0.3)+(CE2*0.4)+(CF2*0.3))</f>
        <v>3.5600000000000005</v>
      </c>
      <c r="CH2" s="5" t="str">
        <f t="shared" ref="CH2:CH40" si="23">IF(CG2&lt;3,"BAJO",IF(CG2&lt;4,"BASICO",IF(CG2&lt;4.5,"ALTO",IF(CG2&lt;=5,"SUPERIOR"))))</f>
        <v>BASICO</v>
      </c>
      <c r="CI2" s="5">
        <v>1</v>
      </c>
      <c r="CJ2" s="7">
        <v>3.8</v>
      </c>
      <c r="CK2" s="7">
        <v>3.8</v>
      </c>
      <c r="CL2" s="7">
        <v>3.8</v>
      </c>
      <c r="CM2" s="5">
        <f t="shared" ref="CM2:CM40" si="24">((CJ2*0.3)+(CK2*0.4)+(CL2*0.3))</f>
        <v>3.8</v>
      </c>
      <c r="CN2" s="5" t="str">
        <f t="shared" ref="CN2:CN40" si="25">IF(CM2&lt;3,"BAJO",IF(CM2&lt;4,"BASICO",IF(CM2&lt;4.5,"ALTO",IF(CM2&lt;=5,"SUPERIOR"))))</f>
        <v>BASICO</v>
      </c>
      <c r="CO2" s="5">
        <v>1</v>
      </c>
      <c r="CP2" s="7">
        <v>4</v>
      </c>
      <c r="CQ2" s="7">
        <v>4</v>
      </c>
      <c r="CR2" s="7">
        <v>4</v>
      </c>
      <c r="CS2" s="5">
        <f t="shared" ref="CS2:CS40" si="26">((CP2*0.3)+(CQ2*0.4)+(CR2*0.3))</f>
        <v>4</v>
      </c>
      <c r="CT2" s="5" t="str">
        <f t="shared" ref="CT2:CT40" si="27">IF(CS2&lt;3,"BAJO",IF(CS2&lt;4,"BASICO",IF(CS2&lt;4.5,"ALTO",IF(CS2&lt;=5,"SUPERIOR"))))</f>
        <v>ALTO</v>
      </c>
      <c r="CU2" s="5">
        <v>2</v>
      </c>
      <c r="CV2" s="7">
        <v>3.5</v>
      </c>
      <c r="CW2" s="7">
        <v>3.5</v>
      </c>
      <c r="CX2" s="7">
        <v>3.5</v>
      </c>
      <c r="CY2" s="5">
        <f t="shared" ref="CY2:CY40" si="28">((CV2*0.3)+(CW2*0.4)+(CX2*0.3))</f>
        <v>3.5</v>
      </c>
      <c r="CZ2" s="5" t="str">
        <f t="shared" ref="CZ2:CZ40" si="29">IF(CY2&lt;3,"BAJO",IF(CY2&lt;4,"BASICO",IF(CY2&lt;4.5,"ALTO",IF(CY2&lt;=5,"SUPERIOR"))))</f>
        <v>BASICO</v>
      </c>
      <c r="DA2" s="5">
        <v>2</v>
      </c>
      <c r="DB2" s="7">
        <v>2.5</v>
      </c>
      <c r="DC2" s="7">
        <v>3</v>
      </c>
      <c r="DD2" s="7">
        <v>3.5</v>
      </c>
      <c r="DE2" s="5">
        <f t="shared" ref="DE2:DE40" si="30">((DB2*0.3)+(DC2*0.4)+(DD2*0.3))</f>
        <v>3</v>
      </c>
      <c r="DF2" s="5" t="str">
        <f t="shared" ref="DF2:DF40" si="31">IF(DE2&lt;2.95,"BAJO",IF(DE2&lt;3.95,"BASICO",IF(DE2&lt;4.45,"ALTO",IF(DE2&lt;=5,"SUPERIOR"))))</f>
        <v>BASICO</v>
      </c>
      <c r="DG2" s="5">
        <v>0</v>
      </c>
      <c r="DH2" s="7">
        <v>3.5</v>
      </c>
      <c r="DI2" s="5" t="str">
        <f t="shared" ref="DI2:DI40" si="32">IF(DH2&lt;3,"BAJO",IF(DH2&lt;4,"BASICO",IF(DH2&lt;4.5,"ALTO",IF(DH2&lt;=5,"SUPERIOR"))))</f>
        <v>BASICO</v>
      </c>
      <c r="DJ2" s="5">
        <f t="shared" ref="DJ2:DJ40" si="33">AVERAGE(M2,Y2,AE2,AK2,AW2,BC2,BI2,BO2,CA2,DE2,DH2,CY2,CS2,CM2,CG2,AQ2,S2)</f>
        <v>3.0917647058823525</v>
      </c>
      <c r="DK2" s="5" t="str">
        <f>DESEMPEÑOS!B2</f>
        <v>Comprende el concepto de números reales, su relación de orden y las propiedades de sus operaciones, así como las relaciones de semejanza y congruencia de distintas figuras geométricas.</v>
      </c>
      <c r="DL2" s="5" t="str">
        <f>DESEMPEÑOS!C2</f>
        <v>Aplica correctamente las propiedades de las operaciones de números reales y expresiones algebraicas en la resolución de problemas.</v>
      </c>
      <c r="DM2" s="5" t="str">
        <f>DESEMPEÑOS!D2</f>
        <v>Valora el uso del pensamiento lógico a la hora de plantear y resolver problemas de las matemáticas y de la vida cotidiana.</v>
      </c>
      <c r="DN2" s="5" t="str">
        <f>DESEMPEÑOS!B3</f>
        <v>Reconoce y clasifica variables aleatorias, comprendiendo sus tipos y características; además, interpreta la información presentada en tablas de frecuencias y diagramas estadísticos, explicando su significado en contextos diversos.</v>
      </c>
      <c r="DO2" s="5" t="str">
        <f>DESEMPEÑOS!C3</f>
        <v>Organiza y analiza datos mediante la construcción de tablas de frecuencias y diagramas estadísticos, identificando variables aleatorias y utilizando estas representaciones para resolver situaciones problema.</v>
      </c>
      <c r="DP2" s="5" t="str">
        <f>DESEMPEÑOS!D3</f>
        <v>Muestra disposición y responsabilidad en el manejo y análisis de datos, participando activamente en actividades individuales y colaborativas, y comunicando información estadística con claridad y sentido crítico.</v>
      </c>
      <c r="DQ2" s="5" t="str">
        <f>DESEMPEÑOS!B4</f>
        <v>Analiza las características de la literatura prehispánica y la literatura del descubrimiento y la conquista en Colombia identificando sus elementos fundamentales y su impacto en la cultura y el lenguaje actual.</v>
      </c>
      <c r="DR2" s="5" t="str">
        <f>DESEMPEÑOS!C4</f>
        <v>Realiza comprensión lectora cuando analiza un texto desde el discurso de la Enunciación e identifica la función de cada uno de sus componentes.
Responde preguntas en los tres niveles de lectura a una leyenda del Caribe.</v>
      </c>
      <c r="DS2" s="5" t="str">
        <f>DESEMPEÑOS!D4</f>
        <v>Muestra disposición para participar activamente en las clases, promoviendo el respeto por las ideas ajenas y reconociendo la importancia de la precisión como una herramienta clave para una comunicación</v>
      </c>
      <c r="DT2" s="5" t="str">
        <f>DESEMPEÑOS!B5</f>
        <v>Comprende el contenido del cuento A la deriva, identificando su tema central, la secuencia de los hechos, los personajes y las ideas explícitas e implícitas del texto.</v>
      </c>
      <c r="DU2" s="5" t="str">
        <f>DESEMPEÑOS!C5</f>
        <v>Analiza críticamente el cuento A la deriva mediante la identificación de información literal, inferencial y crítica, sustentando sus respuestas de forma oral y escrita.</v>
      </c>
      <c r="DV2" s="5" t="str">
        <f>DESEMPEÑOS!D5</f>
        <v>Valora la lectura literaria como una oportunidad para reflexionar sobre la vida, la naturaleza y la condición humana, participando con interés, respeto y sentido crítico en las actividades propuestas.</v>
      </c>
      <c r="DW2" s="5" t="str">
        <f>DESEMPEÑOS!B6</f>
        <v>Comprende y reconoce vocabulario y estructuras basicas del ingles para interpretar textos cortos y conversaciones sobre temas cotidianos de la vida diaria.</v>
      </c>
      <c r="DX2" s="5" t="str">
        <f>DESEMPEÑOS!C6</f>
        <v>Produce de forma oral y escrita frases y parrafos cortos en Ingles, utilizando correctamente las estructuras conocidas para describir rutinas, narrar experiencias y participar en conversaciones.</v>
      </c>
      <c r="DY2" s="5" t="str">
        <f>DESEMPEÑOS!D6</f>
        <v>Muestra disposicion positiva hacia el aprendizaje del Ingles participando activamente en clase.</v>
      </c>
      <c r="DZ2" s="5" t="str">
        <f>DESEMPEÑOS!B7</f>
        <v>Identifica vocabulario en Ingles  de situaciones cotidianas.</v>
      </c>
      <c r="EA2" s="5" t="str">
        <f>DESEMPEÑOS!C7</f>
        <v>Participa en actividades utilizando vocabulario aprendido para expresar gustos,emociones y necesidades.</v>
      </c>
      <c r="EB2" s="5" t="str">
        <f>DESEMPEÑOS!D7</f>
        <v>Respeta la opinion de los demas, muestra disposicion para participar en actividades orales.</v>
      </c>
      <c r="EC2" s="5" t="str">
        <f>DESEMPEÑOS!B8</f>
        <v>Identifica la conformación y funcionamiento del sistema inmunolófico y diferencia las característics de los estados de la materia.</v>
      </c>
      <c r="ED2" s="5" t="str">
        <f>DESEMPEÑOS!C8</f>
        <v>Reconoce experimentalmente las características de materiales en los diferentes estados de la materia.</v>
      </c>
      <c r="EE2" s="5" t="str">
        <f>DESEMPEÑOS!D8</f>
        <v xml:space="preserve">Valora la importancia de tener habitos saludables, para lograr el mantenimiento saludable del sistema inmune. </v>
      </c>
      <c r="EF2" s="5" t="str">
        <f>DESEMPEÑOS!B9</f>
        <v>Describe correctamente la secuencia de eventos biologicos de la fecundacion,incluyendo las recciones acrosomicas,la funcion de gametos y la formacion de gametos.</v>
      </c>
      <c r="EG2" s="5" t="str">
        <f>DESEMPEÑOS!C9</f>
        <v>Mide la capacidad del labolatrio para lograr la fecundacion exitosa de los ovulos con el espermatozoide.</v>
      </c>
      <c r="EH2" s="5" t="str">
        <f>DESEMPEÑOS!D9</f>
        <v>Valora la importancia del cuidado del cuerpo y de la salud reproductiva como la base para una fecundacion saludable.</v>
      </c>
      <c r="EI2" s="5" t="str">
        <f>DESEMPEÑOS!B10</f>
        <v>Explico las principales caracteristicas de algunas revoluciones de los siglos XVIII y XIX (Revolucion francesa, Industrial...)</v>
      </c>
      <c r="EJ2" s="5" t="str">
        <f>DESEMPEÑOS!C10</f>
        <v>Analiza las causas y consecuencias de procesos historicos como la Revolucion Industrial y Francesa.</v>
      </c>
      <c r="EK2" s="5" t="str">
        <f>DESEMPEÑOS!D10</f>
        <v>Muestra interes y curiosidad por comprender los procesos historicos y su impacto en la sociedad.</v>
      </c>
      <c r="EL2" s="5" t="str">
        <f>DESEMPEÑOS!B11</f>
        <v xml:space="preserve">Identifica los procesos historicos de algunas revoluciones de los siglos XVIII y XIX </v>
      </c>
      <c r="EM2" s="5">
        <f>DESEMPEÑOS!C11</f>
        <v>0</v>
      </c>
      <c r="EN2" s="5">
        <f>DESEMPEÑOS!D11</f>
        <v>0</v>
      </c>
      <c r="EO2" s="5" t="str">
        <f>DESEMPEÑOS!B12</f>
        <v xml:space="preserve">Comprende la distribucion espacial de la poblacion antes y despues de las revoluciones </v>
      </c>
      <c r="EP2" s="5" t="str">
        <f>DESEMPEÑOS!C12</f>
        <v xml:space="preserve">Ubica en mapas las regiones donde se desarrollaron las principales revoluciones y explica sus caracteristicas geograficas </v>
      </c>
      <c r="EQ2" s="5" t="str">
        <f>DESEMPEÑOS!D12</f>
        <v>Muestra interes por comprender la relacion entre sociedad, economia y territorio</v>
      </c>
      <c r="ER2" s="5" t="str">
        <f>DESEMPEÑOS!B13</f>
        <v>Comprende el concepto de cultura de paz y su importancia en la sociedad</v>
      </c>
      <c r="ES2" s="5" t="str">
        <f>DESEMPEÑOS!C13</f>
        <v>Practica normas de convivencia en diferentes espacios( aula, hogar, comunidad)</v>
      </c>
      <c r="ET2" s="5" t="str">
        <f>DESEMPEÑOS!D13</f>
        <v>Muestra actitud de respeto hacia la diversidad cuktural, social y de pensamiento</v>
      </c>
      <c r="EU2" s="5">
        <f>DESEMPEÑOS!B14</f>
        <v>0</v>
      </c>
      <c r="EV2" s="5">
        <f>DESEMPEÑOS!C14</f>
        <v>0</v>
      </c>
      <c r="EW2" s="5">
        <f>DESEMPEÑOS!D14</f>
        <v>0</v>
      </c>
      <c r="EX2" s="5">
        <f>DESEMPEÑOS!B15</f>
        <v>0</v>
      </c>
      <c r="EY2" s="5">
        <f>DESEMPEÑOS!C15</f>
        <v>0</v>
      </c>
      <c r="EZ2" s="5">
        <f>DESEMPEÑOS!D15</f>
        <v>0</v>
      </c>
      <c r="FA2" s="5">
        <f>DESEMPEÑOS!B16</f>
        <v>0</v>
      </c>
      <c r="FB2" s="5">
        <f>DESEMPEÑOS!C16</f>
        <v>0</v>
      </c>
      <c r="FC2" s="5">
        <f>DESEMPEÑOS!D16</f>
        <v>0</v>
      </c>
      <c r="FD2" s="5" t="str">
        <f>DESEMPEÑOS!B17</f>
        <v xml:space="preserve"> Identifica las expresiones motrices relacionadas con el juego del voleibol,  como una oportunidad para mejorar la salud, la estética y las relaciones con los demás.</v>
      </c>
      <c r="FE2" s="5" t="str">
        <f>DESEMPEÑOS!C17</f>
        <v>Pone en práctica los fundamentos básicos del voleibol.</v>
      </c>
      <c r="FF2" s="5" t="str">
        <f>DESEMPEÑOS!D17</f>
        <v>Muestra  responsabilidad y buena actitud al realizar el juego de voleibol.</v>
      </c>
      <c r="FG2" s="5" t="str">
        <f>DESEMPEÑOS!B18</f>
        <v>Comprende el concepto de variable como espacio de almacenamiento de datos y reconoce el uso de estructuras condicionales (si, si-no) para la toma de decisiones en un programa.</v>
      </c>
      <c r="FH2" s="5" t="str">
        <f>DESEMPEÑOS!C18</f>
        <v>Diseña y desarrolla programas que utilizan variables y estructuras condicionales para resolver problemas, evaluando condiciones y generando respuestas según diferentes situaciones.</v>
      </c>
      <c r="FI2" s="5" t="str">
        <f>DESEMPEÑOS!D18</f>
        <v>Muestra pensamiento lógico, perseverancia y actitud crítica al analizar errores y proponer soluciones en la construcción de programas con variables y condicionales.</v>
      </c>
      <c r="FJ2" s="5" t="str">
        <f>DESEMPEÑOS!B19</f>
        <v>Identifica y reconoce sus pricipales deberes y derechos dentro y fuera  de la Institución educativa.</v>
      </c>
    </row>
    <row r="3" spans="1:166">
      <c r="A3" s="5">
        <v>2</v>
      </c>
      <c r="B3" s="5" t="s">
        <v>136</v>
      </c>
      <c r="C3" s="6">
        <v>5932835</v>
      </c>
      <c r="D3" s="5" t="s">
        <v>134</v>
      </c>
      <c r="E3" s="5" t="s">
        <v>135</v>
      </c>
      <c r="F3" s="5" t="s">
        <v>70</v>
      </c>
      <c r="G3" s="5" t="s">
        <v>71</v>
      </c>
      <c r="H3" s="5">
        <v>2026</v>
      </c>
      <c r="I3" s="5">
        <v>4</v>
      </c>
      <c r="J3" s="7">
        <v>2.9</v>
      </c>
      <c r="K3" s="7">
        <v>3.1</v>
      </c>
      <c r="L3" s="7">
        <v>3.3</v>
      </c>
      <c r="M3" s="5">
        <f t="shared" si="0"/>
        <v>3.1</v>
      </c>
      <c r="N3" s="5" t="str">
        <f t="shared" si="1"/>
        <v>BASICO</v>
      </c>
      <c r="O3" s="5">
        <v>1</v>
      </c>
      <c r="P3" s="7">
        <v>3</v>
      </c>
      <c r="Q3" s="7">
        <v>3</v>
      </c>
      <c r="R3" s="7">
        <v>3</v>
      </c>
      <c r="S3" s="5">
        <f t="shared" si="2"/>
        <v>3</v>
      </c>
      <c r="T3" s="5" t="str">
        <f t="shared" si="3"/>
        <v>BASICO</v>
      </c>
      <c r="U3" s="5">
        <v>4</v>
      </c>
      <c r="V3" s="7"/>
      <c r="W3" s="7"/>
      <c r="X3" s="7"/>
      <c r="Y3" s="5">
        <f t="shared" si="4"/>
        <v>0</v>
      </c>
      <c r="Z3" s="5" t="str">
        <f t="shared" si="5"/>
        <v>BAJO</v>
      </c>
      <c r="AA3" s="5">
        <v>1</v>
      </c>
      <c r="AB3" s="7">
        <v>3.7</v>
      </c>
      <c r="AC3" s="7">
        <v>3.7</v>
      </c>
      <c r="AD3" s="7">
        <v>3.7</v>
      </c>
      <c r="AE3" s="5">
        <f t="shared" si="6"/>
        <v>3.7</v>
      </c>
      <c r="AF3" s="5" t="str">
        <f t="shared" si="7"/>
        <v>BASICO</v>
      </c>
      <c r="AG3" s="5">
        <v>2</v>
      </c>
      <c r="AH3" s="8">
        <v>3</v>
      </c>
      <c r="AI3" s="8">
        <v>3.5</v>
      </c>
      <c r="AJ3" s="8">
        <v>3.5</v>
      </c>
      <c r="AK3" s="5">
        <f t="shared" si="8"/>
        <v>3.3499999999999996</v>
      </c>
      <c r="AL3" s="5" t="str">
        <f t="shared" si="9"/>
        <v>BASICO</v>
      </c>
      <c r="AM3" s="5">
        <v>1</v>
      </c>
      <c r="AN3" s="8">
        <v>3</v>
      </c>
      <c r="AO3" s="8">
        <v>3.5</v>
      </c>
      <c r="AP3" s="8">
        <v>3.5</v>
      </c>
      <c r="AQ3" s="5">
        <f t="shared" si="10"/>
        <v>3.3499999999999996</v>
      </c>
      <c r="AR3" s="5" t="str">
        <f t="shared" si="11"/>
        <v>BASICO</v>
      </c>
      <c r="AS3" s="5">
        <v>4</v>
      </c>
      <c r="AT3" s="7">
        <v>2.8</v>
      </c>
      <c r="AU3" s="7">
        <v>2.8</v>
      </c>
      <c r="AV3" s="7">
        <v>2.8</v>
      </c>
      <c r="AW3" s="5">
        <f t="shared" ref="AW3:AW40" si="34">((AT3*0.3)+(AU3*0.4)+(AV3*0.3))</f>
        <v>2.8</v>
      </c>
      <c r="AX3" s="5" t="str">
        <f t="shared" si="12"/>
        <v>BAJO</v>
      </c>
      <c r="AY3" s="5">
        <v>1</v>
      </c>
      <c r="AZ3" s="7">
        <v>3</v>
      </c>
      <c r="BA3" s="7">
        <v>3</v>
      </c>
      <c r="BB3" s="7">
        <v>3</v>
      </c>
      <c r="BC3" s="5">
        <f t="shared" si="13"/>
        <v>3</v>
      </c>
      <c r="BD3" s="5" t="str">
        <f t="shared" si="14"/>
        <v>BASICO</v>
      </c>
      <c r="BE3" s="7">
        <v>2</v>
      </c>
      <c r="BF3" s="7">
        <v>3</v>
      </c>
      <c r="BG3" s="7">
        <v>3</v>
      </c>
      <c r="BH3" s="7">
        <v>3</v>
      </c>
      <c r="BI3" s="5">
        <f t="shared" ref="BI3:BI22" si="35">((BF3*0.3)+(BG3*0.4)+(BH3*0.3))</f>
        <v>3</v>
      </c>
      <c r="BJ3" s="5" t="str">
        <f t="shared" si="15"/>
        <v>BASICO</v>
      </c>
      <c r="BK3" s="5">
        <v>1</v>
      </c>
      <c r="BL3" s="7">
        <v>3</v>
      </c>
      <c r="BM3" s="7">
        <v>3</v>
      </c>
      <c r="BN3" s="7">
        <v>3</v>
      </c>
      <c r="BO3" s="5">
        <f t="shared" si="16"/>
        <v>3</v>
      </c>
      <c r="BP3" s="5" t="str">
        <f t="shared" si="17"/>
        <v>BASICO</v>
      </c>
      <c r="BQ3" s="5">
        <v>1</v>
      </c>
      <c r="BR3" s="7">
        <v>3</v>
      </c>
      <c r="BS3" s="7">
        <v>3</v>
      </c>
      <c r="BT3" s="7">
        <v>3</v>
      </c>
      <c r="BU3" s="5">
        <f t="shared" si="18"/>
        <v>3</v>
      </c>
      <c r="BV3" s="5" t="str">
        <f t="shared" si="19"/>
        <v>BASICO</v>
      </c>
      <c r="BW3" s="5">
        <v>1</v>
      </c>
      <c r="BX3" s="7">
        <v>3</v>
      </c>
      <c r="BY3" s="7">
        <v>3</v>
      </c>
      <c r="BZ3" s="7">
        <v>3</v>
      </c>
      <c r="CA3" s="5">
        <f t="shared" si="20"/>
        <v>3</v>
      </c>
      <c r="CB3" s="5" t="str">
        <f t="shared" si="21"/>
        <v>BASICO</v>
      </c>
      <c r="CC3" s="5">
        <v>1</v>
      </c>
      <c r="CD3" s="7">
        <v>4.2</v>
      </c>
      <c r="CE3" s="7">
        <v>4</v>
      </c>
      <c r="CF3" s="7">
        <v>4</v>
      </c>
      <c r="CG3" s="5">
        <f t="shared" si="22"/>
        <v>4.0600000000000005</v>
      </c>
      <c r="CH3" s="5" t="str">
        <f t="shared" si="23"/>
        <v>ALTO</v>
      </c>
      <c r="CI3" s="5">
        <v>1</v>
      </c>
      <c r="CJ3" s="7">
        <v>4.4000000000000004</v>
      </c>
      <c r="CK3" s="7">
        <v>4.4000000000000004</v>
      </c>
      <c r="CL3" s="7">
        <v>4.4000000000000004</v>
      </c>
      <c r="CM3" s="5">
        <f t="shared" si="24"/>
        <v>4.4000000000000004</v>
      </c>
      <c r="CN3" s="5" t="str">
        <f t="shared" si="25"/>
        <v>ALTO</v>
      </c>
      <c r="CO3" s="5">
        <v>1</v>
      </c>
      <c r="CP3" s="7">
        <v>5</v>
      </c>
      <c r="CQ3" s="7">
        <v>5</v>
      </c>
      <c r="CR3" s="7">
        <v>5</v>
      </c>
      <c r="CS3" s="5">
        <f t="shared" si="26"/>
        <v>5</v>
      </c>
      <c r="CT3" s="5" t="str">
        <f t="shared" si="27"/>
        <v>SUPERIOR</v>
      </c>
      <c r="CU3" s="5">
        <v>2</v>
      </c>
      <c r="CV3" s="7">
        <v>3.5</v>
      </c>
      <c r="CW3" s="7">
        <v>3.5</v>
      </c>
      <c r="CX3" s="7">
        <v>3.5</v>
      </c>
      <c r="CY3" s="5">
        <f t="shared" si="28"/>
        <v>3.5</v>
      </c>
      <c r="CZ3" s="5" t="str">
        <f t="shared" si="29"/>
        <v>BASICO</v>
      </c>
      <c r="DA3" s="5">
        <v>2</v>
      </c>
      <c r="DB3" s="7">
        <v>4.5</v>
      </c>
      <c r="DC3" s="7">
        <v>4.5</v>
      </c>
      <c r="DD3" s="7">
        <v>4.5</v>
      </c>
      <c r="DE3" s="5">
        <f t="shared" si="30"/>
        <v>4.5</v>
      </c>
      <c r="DF3" s="5" t="str">
        <f t="shared" si="31"/>
        <v>SUPERIOR</v>
      </c>
      <c r="DG3" s="5">
        <v>0</v>
      </c>
      <c r="DH3" s="7">
        <v>4.5</v>
      </c>
      <c r="DI3" s="5" t="str">
        <f t="shared" si="32"/>
        <v>SUPERIOR</v>
      </c>
      <c r="DJ3" s="5">
        <f t="shared" si="33"/>
        <v>3.3682352941176474</v>
      </c>
      <c r="DK3" s="5" t="str">
        <f t="shared" ref="DK3:DK40" si="36">$DK$2</f>
        <v>Comprende el concepto de números reales, su relación de orden y las propiedades de sus operaciones, así como las relaciones de semejanza y congruencia de distintas figuras geométricas.</v>
      </c>
      <c r="DL3" s="5" t="str">
        <f t="shared" ref="DL3:FJ3" si="37">DL2</f>
        <v>Aplica correctamente las propiedades de las operaciones de números reales y expresiones algebraicas en la resolución de problemas.</v>
      </c>
      <c r="DM3" s="5" t="str">
        <f t="shared" si="37"/>
        <v>Valora el uso del pensamiento lógico a la hora de plantear y resolver problemas de las matemáticas y de la vida cotidiana.</v>
      </c>
      <c r="DN3" s="5" t="str">
        <f t="shared" si="3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" s="5" t="str">
        <f t="shared" si="37"/>
        <v>Organiza y analiza datos mediante la construcción de tablas de frecuencias y diagramas estadísticos, identificando variables aleatorias y utilizando estas representaciones para resolver situaciones problema.</v>
      </c>
      <c r="DP3" s="5" t="str">
        <f t="shared" si="37"/>
        <v>Muestra disposición y responsabilidad en el manejo y análisis de datos, participando activamente en actividades individuales y colaborativas, y comunicando información estadística con claridad y sentido crítico.</v>
      </c>
      <c r="DQ3" s="5" t="str">
        <f t="shared" si="37"/>
        <v>Analiza las características de la literatura prehispánica y la literatura del descubrimiento y la conquista en Colombia identificando sus elementos fundamentales y su impacto en la cultura y el lenguaje actual.</v>
      </c>
      <c r="DR3" s="5" t="str">
        <f t="shared" si="37"/>
        <v>Realiza comprensión lectora cuando analiza un texto desde el discurso de la Enunciación e identifica la función de cada uno de sus componentes.
Responde preguntas en los tres niveles de lectura a una leyenda del Caribe.</v>
      </c>
      <c r="DS3" s="5" t="str">
        <f t="shared" si="37"/>
        <v>Muestra disposición para participar activamente en las clases, promoviendo el respeto por las ideas ajenas y reconociendo la importancia de la precisión como una herramienta clave para una comunicación</v>
      </c>
      <c r="DT3" s="5" t="str">
        <f t="shared" si="37"/>
        <v>Comprende el contenido del cuento A la deriva, identificando su tema central, la secuencia de los hechos, los personajes y las ideas explícitas e implícitas del texto.</v>
      </c>
      <c r="DU3" s="5" t="str">
        <f t="shared" si="37"/>
        <v>Analiza críticamente el cuento A la deriva mediante la identificación de información literal, inferencial y crítica, sustentando sus respuestas de forma oral y escrita.</v>
      </c>
      <c r="DV3" s="5" t="str">
        <f t="shared" si="37"/>
        <v>Valora la lectura literaria como una oportunidad para reflexionar sobre la vida, la naturaleza y la condición humana, participando con interés, respeto y sentido crítico en las actividades propuestas.</v>
      </c>
      <c r="DW3" s="5" t="str">
        <f t="shared" si="37"/>
        <v>Comprende y reconoce vocabulario y estructuras basicas del ingles para interpretar textos cortos y conversaciones sobre temas cotidianos de la vida diaria.</v>
      </c>
      <c r="DX3" s="5" t="str">
        <f t="shared" si="37"/>
        <v>Produce de forma oral y escrita frases y parrafos cortos en Ingles, utilizando correctamente las estructuras conocidas para describir rutinas, narrar experiencias y participar en conversaciones.</v>
      </c>
      <c r="DY3" s="5" t="str">
        <f t="shared" si="37"/>
        <v>Muestra disposicion positiva hacia el aprendizaje del Ingles participando activamente en clase.</v>
      </c>
      <c r="DZ3" s="5" t="str">
        <f t="shared" si="37"/>
        <v>Identifica vocabulario en Ingles  de situaciones cotidianas.</v>
      </c>
      <c r="EA3" s="5" t="str">
        <f t="shared" si="37"/>
        <v>Participa en actividades utilizando vocabulario aprendido para expresar gustos,emociones y necesidades.</v>
      </c>
      <c r="EB3" s="5" t="str">
        <f t="shared" si="37"/>
        <v>Respeta la opinion de los demas, muestra disposicion para participar en actividades orales.</v>
      </c>
      <c r="EC3" s="5" t="str">
        <f t="shared" si="37"/>
        <v>Identifica la conformación y funcionamiento del sistema inmunolófico y diferencia las característics de los estados de la materia.</v>
      </c>
      <c r="ED3" s="5" t="str">
        <f t="shared" si="37"/>
        <v>Reconoce experimentalmente las características de materiales en los diferentes estados de la materia.</v>
      </c>
      <c r="EE3" s="5" t="str">
        <f t="shared" si="37"/>
        <v xml:space="preserve">Valora la importancia de tener habitos saludables, para lograr el mantenimiento saludable del sistema inmune. </v>
      </c>
      <c r="EF3" s="5" t="str">
        <f t="shared" si="37"/>
        <v>Describe correctamente la secuencia de eventos biologicos de la fecundacion,incluyendo las recciones acrosomicas,la funcion de gametos y la formacion de gametos.</v>
      </c>
      <c r="EG3" s="5" t="str">
        <f t="shared" si="37"/>
        <v>Mide la capacidad del labolatrio para lograr la fecundacion exitosa de los ovulos con el espermatozoide.</v>
      </c>
      <c r="EH3" s="5" t="str">
        <f t="shared" si="37"/>
        <v>Valora la importancia del cuidado del cuerpo y de la salud reproductiva como la base para una fecundacion saludable.</v>
      </c>
      <c r="EI3" s="5" t="str">
        <f t="shared" si="37"/>
        <v>Explico las principales caracteristicas de algunas revoluciones de los siglos XVIII y XIX (Revolucion francesa, Industrial...)</v>
      </c>
      <c r="EJ3" s="5" t="str">
        <f t="shared" si="37"/>
        <v>Analiza las causas y consecuencias de procesos historicos como la Revolucion Industrial y Francesa.</v>
      </c>
      <c r="EK3" s="5" t="str">
        <f t="shared" si="37"/>
        <v>Muestra interes y curiosidad por comprender los procesos historicos y su impacto en la sociedad.</v>
      </c>
      <c r="EL3" s="5" t="str">
        <f t="shared" si="37"/>
        <v xml:space="preserve">Identifica los procesos historicos de algunas revoluciones de los siglos XVIII y XIX </v>
      </c>
      <c r="EM3" s="5">
        <f t="shared" si="37"/>
        <v>0</v>
      </c>
      <c r="EN3" s="5">
        <f t="shared" si="37"/>
        <v>0</v>
      </c>
      <c r="EO3" s="5" t="str">
        <f t="shared" si="37"/>
        <v xml:space="preserve">Comprende la distribucion espacial de la poblacion antes y despues de las revoluciones </v>
      </c>
      <c r="EP3" s="5" t="str">
        <f t="shared" si="37"/>
        <v xml:space="preserve">Ubica en mapas las regiones donde se desarrollaron las principales revoluciones y explica sus caracteristicas geograficas </v>
      </c>
      <c r="EQ3" s="5" t="str">
        <f t="shared" si="37"/>
        <v>Muestra interes por comprender la relacion entre sociedad, economia y territorio</v>
      </c>
      <c r="ER3" s="5" t="str">
        <f t="shared" si="37"/>
        <v>Comprende el concepto de cultura de paz y su importancia en la sociedad</v>
      </c>
      <c r="ES3" s="5" t="str">
        <f t="shared" si="37"/>
        <v>Practica normas de convivencia en diferentes espacios( aula, hogar, comunidad)</v>
      </c>
      <c r="ET3" s="5" t="str">
        <f t="shared" si="37"/>
        <v>Muestra actitud de respeto hacia la diversidad cuktural, social y de pensamiento</v>
      </c>
      <c r="EU3" s="5">
        <f t="shared" si="37"/>
        <v>0</v>
      </c>
      <c r="EV3" s="5">
        <f t="shared" si="37"/>
        <v>0</v>
      </c>
      <c r="EW3" s="5">
        <f t="shared" si="37"/>
        <v>0</v>
      </c>
      <c r="EX3" s="5">
        <f t="shared" si="37"/>
        <v>0</v>
      </c>
      <c r="EY3" s="5">
        <f t="shared" si="37"/>
        <v>0</v>
      </c>
      <c r="EZ3" s="5">
        <f t="shared" si="37"/>
        <v>0</v>
      </c>
      <c r="FA3" s="5">
        <f t="shared" si="37"/>
        <v>0</v>
      </c>
      <c r="FB3" s="5">
        <f t="shared" si="37"/>
        <v>0</v>
      </c>
      <c r="FC3" s="5">
        <f t="shared" si="37"/>
        <v>0</v>
      </c>
      <c r="FD3" s="5" t="str">
        <f t="shared" si="37"/>
        <v xml:space="preserve"> Identifica las expresiones motrices relacionadas con el juego del voleibol,  como una oportunidad para mejorar la salud, la estética y las relaciones con los demás.</v>
      </c>
      <c r="FE3" s="5" t="str">
        <f t="shared" si="37"/>
        <v>Pone en práctica los fundamentos básicos del voleibol.</v>
      </c>
      <c r="FF3" s="5" t="str">
        <f t="shared" si="37"/>
        <v>Muestra  responsabilidad y buena actitud al realizar el juego de voleibol.</v>
      </c>
      <c r="FG3" s="5" t="str">
        <f t="shared" si="37"/>
        <v>Comprende el concepto de variable como espacio de almacenamiento de datos y reconoce el uso de estructuras condicionales (si, si-no) para la toma de decisiones en un programa.</v>
      </c>
      <c r="FH3" s="5" t="str">
        <f t="shared" si="37"/>
        <v>Diseña y desarrolla programas que utilizan variables y estructuras condicionales para resolver problemas, evaluando condiciones y generando respuestas según diferentes situaciones.</v>
      </c>
      <c r="FI3" s="5" t="str">
        <f t="shared" si="37"/>
        <v>Muestra pensamiento lógico, perseverancia y actitud crítica al analizar errores y proponer soluciones en la construcción de programas con variables y condicionales.</v>
      </c>
      <c r="FJ3" s="5" t="str">
        <f t="shared" si="37"/>
        <v>Identifica y reconoce sus pricipales deberes y derechos dentro y fuera  de la Institución educativa.</v>
      </c>
    </row>
    <row r="4" spans="1:166">
      <c r="A4" s="5">
        <v>3</v>
      </c>
      <c r="B4" s="5" t="s">
        <v>137</v>
      </c>
      <c r="C4" s="6">
        <v>1137725232</v>
      </c>
      <c r="D4" s="5" t="s">
        <v>134</v>
      </c>
      <c r="E4" s="5" t="s">
        <v>135</v>
      </c>
      <c r="F4" s="5" t="s">
        <v>70</v>
      </c>
      <c r="G4" s="5" t="s">
        <v>71</v>
      </c>
      <c r="H4" s="5">
        <v>2026</v>
      </c>
      <c r="I4" s="5">
        <v>4</v>
      </c>
      <c r="J4" s="7">
        <v>3</v>
      </c>
      <c r="K4" s="7">
        <v>3.2</v>
      </c>
      <c r="L4" s="7">
        <v>3.4</v>
      </c>
      <c r="M4" s="5">
        <f t="shared" si="0"/>
        <v>3.2</v>
      </c>
      <c r="N4" s="5" t="str">
        <f t="shared" si="1"/>
        <v>BASICO</v>
      </c>
      <c r="O4" s="5">
        <v>1</v>
      </c>
      <c r="P4" s="7">
        <v>3.8</v>
      </c>
      <c r="Q4" s="7">
        <v>3.8</v>
      </c>
      <c r="R4" s="7">
        <v>3.8</v>
      </c>
      <c r="S4" s="5">
        <f t="shared" si="2"/>
        <v>3.8</v>
      </c>
      <c r="T4" s="5" t="str">
        <f t="shared" si="3"/>
        <v>BASICO</v>
      </c>
      <c r="U4" s="5">
        <v>4</v>
      </c>
      <c r="V4" s="7"/>
      <c r="W4" s="7"/>
      <c r="X4" s="7"/>
      <c r="Y4" s="5">
        <f t="shared" si="4"/>
        <v>0</v>
      </c>
      <c r="Z4" s="5" t="str">
        <f t="shared" si="5"/>
        <v>BAJO</v>
      </c>
      <c r="AA4" s="5">
        <v>1</v>
      </c>
      <c r="AB4" s="7">
        <v>3.3</v>
      </c>
      <c r="AC4" s="7">
        <v>3.3</v>
      </c>
      <c r="AD4" s="7">
        <v>3.3</v>
      </c>
      <c r="AE4" s="5">
        <f t="shared" si="6"/>
        <v>3.3</v>
      </c>
      <c r="AF4" s="5" t="str">
        <f t="shared" si="7"/>
        <v>BASICO</v>
      </c>
      <c r="AG4" s="5">
        <v>2</v>
      </c>
      <c r="AH4" s="8">
        <v>3.8</v>
      </c>
      <c r="AI4" s="8">
        <v>3.8</v>
      </c>
      <c r="AJ4" s="8">
        <v>3.8</v>
      </c>
      <c r="AK4" s="5">
        <f t="shared" si="8"/>
        <v>3.8</v>
      </c>
      <c r="AL4" s="5" t="str">
        <f t="shared" si="9"/>
        <v>BASICO</v>
      </c>
      <c r="AM4" s="5">
        <v>1</v>
      </c>
      <c r="AN4" s="8">
        <v>3.8</v>
      </c>
      <c r="AO4" s="8">
        <v>3.8</v>
      </c>
      <c r="AP4" s="8">
        <v>3.8</v>
      </c>
      <c r="AQ4" s="5">
        <f t="shared" si="10"/>
        <v>3.8</v>
      </c>
      <c r="AR4" s="5" t="str">
        <f t="shared" si="11"/>
        <v>BASICO</v>
      </c>
      <c r="AS4" s="5">
        <v>4</v>
      </c>
      <c r="AT4" s="7">
        <v>3.7</v>
      </c>
      <c r="AU4" s="7">
        <v>3.7</v>
      </c>
      <c r="AV4" s="7">
        <v>3.7</v>
      </c>
      <c r="AW4" s="5">
        <f t="shared" si="34"/>
        <v>3.7</v>
      </c>
      <c r="AX4" s="5" t="str">
        <f t="shared" si="12"/>
        <v>BASICO</v>
      </c>
      <c r="AY4" s="5">
        <v>1</v>
      </c>
      <c r="AZ4" s="7">
        <v>3</v>
      </c>
      <c r="BA4" s="7">
        <v>3</v>
      </c>
      <c r="BB4" s="7">
        <v>3</v>
      </c>
      <c r="BC4" s="5">
        <f t="shared" si="13"/>
        <v>3</v>
      </c>
      <c r="BD4" s="5" t="str">
        <f t="shared" si="14"/>
        <v>BASICO</v>
      </c>
      <c r="BE4" s="7">
        <v>2</v>
      </c>
      <c r="BF4" s="7">
        <v>3.2</v>
      </c>
      <c r="BG4" s="7">
        <v>3.3</v>
      </c>
      <c r="BH4" s="7">
        <v>3.2</v>
      </c>
      <c r="BI4" s="5">
        <f t="shared" si="35"/>
        <v>3.24</v>
      </c>
      <c r="BJ4" s="5" t="str">
        <f t="shared" si="15"/>
        <v>BASICO</v>
      </c>
      <c r="BK4" s="5">
        <v>1</v>
      </c>
      <c r="BL4" s="7">
        <v>3.3</v>
      </c>
      <c r="BM4" s="7">
        <v>3.3</v>
      </c>
      <c r="BN4" s="7">
        <v>3.4</v>
      </c>
      <c r="BO4" s="5">
        <f t="shared" si="16"/>
        <v>3.33</v>
      </c>
      <c r="BP4" s="5" t="str">
        <f t="shared" si="17"/>
        <v>BASICO</v>
      </c>
      <c r="BQ4" s="5">
        <v>1</v>
      </c>
      <c r="BR4" s="7">
        <v>3.2</v>
      </c>
      <c r="BS4" s="7">
        <v>3</v>
      </c>
      <c r="BT4" s="7">
        <v>3.3</v>
      </c>
      <c r="BU4" s="5">
        <f t="shared" si="18"/>
        <v>3.15</v>
      </c>
      <c r="BV4" s="5" t="str">
        <f t="shared" si="19"/>
        <v>BASICO</v>
      </c>
      <c r="BW4" s="5">
        <v>1</v>
      </c>
      <c r="BX4" s="7">
        <v>3.4</v>
      </c>
      <c r="BY4" s="7">
        <v>3.3</v>
      </c>
      <c r="BZ4" s="7">
        <v>3.2</v>
      </c>
      <c r="CA4" s="5">
        <f t="shared" si="20"/>
        <v>3.3</v>
      </c>
      <c r="CB4" s="5" t="str">
        <f t="shared" si="21"/>
        <v>BASICO</v>
      </c>
      <c r="CC4" s="5">
        <v>1</v>
      </c>
      <c r="CD4" s="7">
        <v>3</v>
      </c>
      <c r="CE4" s="7">
        <v>3</v>
      </c>
      <c r="CF4" s="7">
        <v>3</v>
      </c>
      <c r="CG4" s="5">
        <f t="shared" si="22"/>
        <v>3</v>
      </c>
      <c r="CH4" s="5" t="str">
        <f t="shared" si="23"/>
        <v>BASICO</v>
      </c>
      <c r="CI4" s="5">
        <v>1</v>
      </c>
      <c r="CJ4" s="7">
        <v>4.2</v>
      </c>
      <c r="CK4" s="7">
        <v>4.2</v>
      </c>
      <c r="CL4" s="7">
        <v>4.2</v>
      </c>
      <c r="CM4" s="5">
        <f t="shared" si="24"/>
        <v>4.2</v>
      </c>
      <c r="CN4" s="5" t="str">
        <f t="shared" si="25"/>
        <v>ALTO</v>
      </c>
      <c r="CO4" s="5">
        <v>1</v>
      </c>
      <c r="CP4" s="7">
        <v>4</v>
      </c>
      <c r="CQ4" s="7">
        <v>4</v>
      </c>
      <c r="CR4" s="7">
        <v>4</v>
      </c>
      <c r="CS4" s="5">
        <f t="shared" si="26"/>
        <v>4</v>
      </c>
      <c r="CT4" s="5" t="str">
        <f t="shared" si="27"/>
        <v>ALTO</v>
      </c>
      <c r="CU4" s="5">
        <v>2</v>
      </c>
      <c r="CV4" s="7">
        <v>4</v>
      </c>
      <c r="CW4" s="7">
        <v>4</v>
      </c>
      <c r="CX4" s="7">
        <v>4</v>
      </c>
      <c r="CY4" s="5">
        <f t="shared" si="28"/>
        <v>4</v>
      </c>
      <c r="CZ4" s="5" t="str">
        <f t="shared" si="29"/>
        <v>ALTO</v>
      </c>
      <c r="DA4" s="5">
        <v>2</v>
      </c>
      <c r="DB4" s="7">
        <v>4</v>
      </c>
      <c r="DC4" s="7">
        <v>4</v>
      </c>
      <c r="DD4" s="7">
        <v>4.3</v>
      </c>
      <c r="DE4" s="5">
        <f t="shared" si="30"/>
        <v>4.09</v>
      </c>
      <c r="DF4" s="5" t="str">
        <f t="shared" si="31"/>
        <v>ALTO</v>
      </c>
      <c r="DG4" s="5">
        <v>0</v>
      </c>
      <c r="DH4" s="7">
        <v>4.3</v>
      </c>
      <c r="DI4" s="5" t="str">
        <f t="shared" si="32"/>
        <v>ALTO</v>
      </c>
      <c r="DJ4" s="5">
        <f t="shared" si="33"/>
        <v>3.4152941176470586</v>
      </c>
      <c r="DK4" s="5" t="str">
        <f t="shared" si="36"/>
        <v>Comprende el concepto de números reales, su relación de orden y las propiedades de sus operaciones, así como las relaciones de semejanza y congruencia de distintas figuras geométricas.</v>
      </c>
      <c r="DL4" s="5" t="str">
        <f t="shared" ref="DL4:FJ4" si="38">DL3</f>
        <v>Aplica correctamente las propiedades de las operaciones de números reales y expresiones algebraicas en la resolución de problemas.</v>
      </c>
      <c r="DM4" s="5" t="str">
        <f t="shared" si="38"/>
        <v>Valora el uso del pensamiento lógico a la hora de plantear y resolver problemas de las matemáticas y de la vida cotidiana.</v>
      </c>
      <c r="DN4" s="5" t="str">
        <f t="shared" si="3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" s="5" t="str">
        <f t="shared" si="38"/>
        <v>Organiza y analiza datos mediante la construcción de tablas de frecuencias y diagramas estadísticos, identificando variables aleatorias y utilizando estas representaciones para resolver situaciones problema.</v>
      </c>
      <c r="DP4" s="5" t="str">
        <f t="shared" si="38"/>
        <v>Muestra disposición y responsabilidad en el manejo y análisis de datos, participando activamente en actividades individuales y colaborativas, y comunicando información estadística con claridad y sentido crítico.</v>
      </c>
      <c r="DQ4" s="5" t="str">
        <f t="shared" si="38"/>
        <v>Analiza las características de la literatura prehispánica y la literatura del descubrimiento y la conquista en Colombia identificando sus elementos fundamentales y su impacto en la cultura y el lenguaje actual.</v>
      </c>
      <c r="DR4" s="5" t="str">
        <f t="shared" si="38"/>
        <v>Realiza comprensión lectora cuando analiza un texto desde el discurso de la Enunciación e identifica la función de cada uno de sus componentes.
Responde preguntas en los tres niveles de lectura a una leyenda del Caribe.</v>
      </c>
      <c r="DS4" s="5" t="str">
        <f t="shared" si="38"/>
        <v>Muestra disposición para participar activamente en las clases, promoviendo el respeto por las ideas ajenas y reconociendo la importancia de la precisión como una herramienta clave para una comunicación</v>
      </c>
      <c r="DT4" s="5" t="str">
        <f t="shared" si="38"/>
        <v>Comprende el contenido del cuento A la deriva, identificando su tema central, la secuencia de los hechos, los personajes y las ideas explícitas e implícitas del texto.</v>
      </c>
      <c r="DU4" s="5" t="str">
        <f t="shared" si="38"/>
        <v>Analiza críticamente el cuento A la deriva mediante la identificación de información literal, inferencial y crítica, sustentando sus respuestas de forma oral y escrita.</v>
      </c>
      <c r="DV4" s="5" t="str">
        <f t="shared" si="38"/>
        <v>Valora la lectura literaria como una oportunidad para reflexionar sobre la vida, la naturaleza y la condición humana, participando con interés, respeto y sentido crítico en las actividades propuestas.</v>
      </c>
      <c r="DW4" s="5" t="str">
        <f t="shared" si="38"/>
        <v>Comprende y reconoce vocabulario y estructuras basicas del ingles para interpretar textos cortos y conversaciones sobre temas cotidianos de la vida diaria.</v>
      </c>
      <c r="DX4" s="5" t="str">
        <f t="shared" si="38"/>
        <v>Produce de forma oral y escrita frases y parrafos cortos en Ingles, utilizando correctamente las estructuras conocidas para describir rutinas, narrar experiencias y participar en conversaciones.</v>
      </c>
      <c r="DY4" s="5" t="str">
        <f t="shared" si="38"/>
        <v>Muestra disposicion positiva hacia el aprendizaje del Ingles participando activamente en clase.</v>
      </c>
      <c r="DZ4" s="5" t="str">
        <f t="shared" si="38"/>
        <v>Identifica vocabulario en Ingles  de situaciones cotidianas.</v>
      </c>
      <c r="EA4" s="5" t="str">
        <f t="shared" si="38"/>
        <v>Participa en actividades utilizando vocabulario aprendido para expresar gustos,emociones y necesidades.</v>
      </c>
      <c r="EB4" s="5" t="str">
        <f t="shared" si="38"/>
        <v>Respeta la opinion de los demas, muestra disposicion para participar en actividades orales.</v>
      </c>
      <c r="EC4" s="5" t="str">
        <f t="shared" si="38"/>
        <v>Identifica la conformación y funcionamiento del sistema inmunolófico y diferencia las característics de los estados de la materia.</v>
      </c>
      <c r="ED4" s="5" t="str">
        <f t="shared" si="38"/>
        <v>Reconoce experimentalmente las características de materiales en los diferentes estados de la materia.</v>
      </c>
      <c r="EE4" s="5" t="str">
        <f t="shared" si="38"/>
        <v xml:space="preserve">Valora la importancia de tener habitos saludables, para lograr el mantenimiento saludable del sistema inmune. </v>
      </c>
      <c r="EF4" s="5" t="str">
        <f t="shared" si="38"/>
        <v>Describe correctamente la secuencia de eventos biologicos de la fecundacion,incluyendo las recciones acrosomicas,la funcion de gametos y la formacion de gametos.</v>
      </c>
      <c r="EG4" s="5" t="str">
        <f t="shared" si="38"/>
        <v>Mide la capacidad del labolatrio para lograr la fecundacion exitosa de los ovulos con el espermatozoide.</v>
      </c>
      <c r="EH4" s="5" t="str">
        <f t="shared" si="38"/>
        <v>Valora la importancia del cuidado del cuerpo y de la salud reproductiva como la base para una fecundacion saludable.</v>
      </c>
      <c r="EI4" s="5" t="str">
        <f t="shared" si="38"/>
        <v>Explico las principales caracteristicas de algunas revoluciones de los siglos XVIII y XIX (Revolucion francesa, Industrial...)</v>
      </c>
      <c r="EJ4" s="5" t="str">
        <f t="shared" si="38"/>
        <v>Analiza las causas y consecuencias de procesos historicos como la Revolucion Industrial y Francesa.</v>
      </c>
      <c r="EK4" s="5" t="str">
        <f t="shared" si="38"/>
        <v>Muestra interes y curiosidad por comprender los procesos historicos y su impacto en la sociedad.</v>
      </c>
      <c r="EL4" s="5" t="str">
        <f t="shared" si="38"/>
        <v xml:space="preserve">Identifica los procesos historicos de algunas revoluciones de los siglos XVIII y XIX </v>
      </c>
      <c r="EM4" s="5">
        <f t="shared" si="38"/>
        <v>0</v>
      </c>
      <c r="EN4" s="5">
        <f t="shared" si="38"/>
        <v>0</v>
      </c>
      <c r="EO4" s="5" t="str">
        <f t="shared" si="38"/>
        <v xml:space="preserve">Comprende la distribucion espacial de la poblacion antes y despues de las revoluciones </v>
      </c>
      <c r="EP4" s="5" t="str">
        <f t="shared" si="38"/>
        <v xml:space="preserve">Ubica en mapas las regiones donde se desarrollaron las principales revoluciones y explica sus caracteristicas geograficas </v>
      </c>
      <c r="EQ4" s="5" t="str">
        <f t="shared" si="38"/>
        <v>Muestra interes por comprender la relacion entre sociedad, economia y territorio</v>
      </c>
      <c r="ER4" s="5" t="str">
        <f t="shared" si="38"/>
        <v>Comprende el concepto de cultura de paz y su importancia en la sociedad</v>
      </c>
      <c r="ES4" s="5" t="str">
        <f t="shared" si="38"/>
        <v>Practica normas de convivencia en diferentes espacios( aula, hogar, comunidad)</v>
      </c>
      <c r="ET4" s="5" t="str">
        <f t="shared" si="38"/>
        <v>Muestra actitud de respeto hacia la diversidad cuktural, social y de pensamiento</v>
      </c>
      <c r="EU4" s="5">
        <f t="shared" si="38"/>
        <v>0</v>
      </c>
      <c r="EV4" s="5">
        <f t="shared" si="38"/>
        <v>0</v>
      </c>
      <c r="EW4" s="5">
        <f t="shared" si="38"/>
        <v>0</v>
      </c>
      <c r="EX4" s="5">
        <f t="shared" si="38"/>
        <v>0</v>
      </c>
      <c r="EY4" s="5">
        <f t="shared" si="38"/>
        <v>0</v>
      </c>
      <c r="EZ4" s="5">
        <f t="shared" si="38"/>
        <v>0</v>
      </c>
      <c r="FA4" s="5">
        <f t="shared" si="38"/>
        <v>0</v>
      </c>
      <c r="FB4" s="5">
        <f t="shared" si="38"/>
        <v>0</v>
      </c>
      <c r="FC4" s="5">
        <f t="shared" si="38"/>
        <v>0</v>
      </c>
      <c r="FD4" s="5" t="str">
        <f t="shared" si="38"/>
        <v xml:space="preserve"> Identifica las expresiones motrices relacionadas con el juego del voleibol,  como una oportunidad para mejorar la salud, la estética y las relaciones con los demás.</v>
      </c>
      <c r="FE4" s="5" t="str">
        <f t="shared" si="38"/>
        <v>Pone en práctica los fundamentos básicos del voleibol.</v>
      </c>
      <c r="FF4" s="5" t="str">
        <f t="shared" si="38"/>
        <v>Muestra  responsabilidad y buena actitud al realizar el juego de voleibol.</v>
      </c>
      <c r="FG4" s="5" t="str">
        <f t="shared" si="38"/>
        <v>Comprende el concepto de variable como espacio de almacenamiento de datos y reconoce el uso de estructuras condicionales (si, si-no) para la toma de decisiones en un programa.</v>
      </c>
      <c r="FH4" s="5" t="str">
        <f t="shared" si="38"/>
        <v>Diseña y desarrolla programas que utilizan variables y estructuras condicionales para resolver problemas, evaluando condiciones y generando respuestas según diferentes situaciones.</v>
      </c>
      <c r="FI4" s="5" t="str">
        <f t="shared" si="38"/>
        <v>Muestra pensamiento lógico, perseverancia y actitud crítica al analizar errores y proponer soluciones en la construcción de programas con variables y condicionales.</v>
      </c>
      <c r="FJ4" s="5" t="str">
        <f t="shared" si="38"/>
        <v>Identifica y reconoce sus pricipales deberes y derechos dentro y fuera  de la Institución educativa.</v>
      </c>
    </row>
    <row r="5" spans="1:166">
      <c r="A5" s="9">
        <v>4</v>
      </c>
      <c r="B5" s="9" t="s">
        <v>138</v>
      </c>
      <c r="C5" s="10">
        <v>1139431940</v>
      </c>
      <c r="D5" s="5" t="s">
        <v>134</v>
      </c>
      <c r="E5" s="5" t="s">
        <v>135</v>
      </c>
      <c r="F5" s="5" t="s">
        <v>70</v>
      </c>
      <c r="G5" s="5" t="s">
        <v>71</v>
      </c>
      <c r="H5" s="5">
        <v>2026</v>
      </c>
      <c r="I5" s="5">
        <v>4</v>
      </c>
      <c r="J5" s="7"/>
      <c r="K5" s="7"/>
      <c r="L5" s="7"/>
      <c r="M5" s="5">
        <f t="shared" si="0"/>
        <v>0</v>
      </c>
      <c r="N5" s="5" t="str">
        <f t="shared" si="1"/>
        <v>BAJO</v>
      </c>
      <c r="O5" s="5">
        <v>1</v>
      </c>
      <c r="P5" s="7"/>
      <c r="Q5" s="7"/>
      <c r="R5" s="7"/>
      <c r="S5" s="5">
        <f t="shared" si="2"/>
        <v>0</v>
      </c>
      <c r="T5" s="5" t="str">
        <f t="shared" si="3"/>
        <v>BAJO</v>
      </c>
      <c r="U5" s="5">
        <v>4</v>
      </c>
      <c r="V5" s="7"/>
      <c r="W5" s="7"/>
      <c r="X5" s="7"/>
      <c r="Y5" s="5">
        <f t="shared" si="4"/>
        <v>0</v>
      </c>
      <c r="Z5" s="5" t="str">
        <f t="shared" si="5"/>
        <v>BAJO</v>
      </c>
      <c r="AA5" s="5">
        <v>1</v>
      </c>
      <c r="AB5" s="7"/>
      <c r="AC5" s="7"/>
      <c r="AD5" s="7"/>
      <c r="AE5" s="5">
        <f t="shared" si="6"/>
        <v>0</v>
      </c>
      <c r="AF5" s="5" t="str">
        <f t="shared" si="7"/>
        <v>BAJO</v>
      </c>
      <c r="AG5" s="5">
        <v>2</v>
      </c>
      <c r="AH5" s="8">
        <v>0</v>
      </c>
      <c r="AI5" s="8">
        <v>0</v>
      </c>
      <c r="AJ5" s="8">
        <v>0</v>
      </c>
      <c r="AK5" s="5">
        <f t="shared" si="8"/>
        <v>0</v>
      </c>
      <c r="AL5" s="5" t="str">
        <f t="shared" si="9"/>
        <v>BAJO</v>
      </c>
      <c r="AM5" s="5">
        <v>1</v>
      </c>
      <c r="AN5" s="8">
        <v>0</v>
      </c>
      <c r="AO5" s="8">
        <v>0</v>
      </c>
      <c r="AP5" s="8">
        <v>0</v>
      </c>
      <c r="AQ5" s="5">
        <f t="shared" si="10"/>
        <v>0</v>
      </c>
      <c r="AR5" s="5" t="str">
        <f t="shared" si="11"/>
        <v>BAJO</v>
      </c>
      <c r="AS5" s="5">
        <v>4</v>
      </c>
      <c r="AT5" s="7"/>
      <c r="AU5" s="7"/>
      <c r="AV5" s="7"/>
      <c r="AW5" s="5">
        <f t="shared" si="34"/>
        <v>0</v>
      </c>
      <c r="AX5" s="5" t="str">
        <f t="shared" si="12"/>
        <v>BAJO</v>
      </c>
      <c r="AY5" s="5">
        <v>1</v>
      </c>
      <c r="AZ5" s="7"/>
      <c r="BA5" s="7"/>
      <c r="BB5" s="7"/>
      <c r="BC5" s="5">
        <f t="shared" si="13"/>
        <v>0</v>
      </c>
      <c r="BD5" s="5" t="str">
        <f t="shared" si="14"/>
        <v>BAJO</v>
      </c>
      <c r="BE5" s="7">
        <v>2</v>
      </c>
      <c r="BF5" s="7"/>
      <c r="BG5" s="7"/>
      <c r="BH5" s="7"/>
      <c r="BI5" s="5">
        <f t="shared" si="35"/>
        <v>0</v>
      </c>
      <c r="BJ5" s="5" t="str">
        <f t="shared" si="15"/>
        <v>BAJO</v>
      </c>
      <c r="BK5" s="5">
        <v>1</v>
      </c>
      <c r="BL5" s="7"/>
      <c r="BM5" s="7"/>
      <c r="BN5" s="7"/>
      <c r="BO5" s="5">
        <f t="shared" si="16"/>
        <v>0</v>
      </c>
      <c r="BP5" s="5" t="str">
        <f t="shared" si="17"/>
        <v>BAJO</v>
      </c>
      <c r="BQ5" s="5">
        <v>1</v>
      </c>
      <c r="BR5" s="7"/>
      <c r="BS5" s="7"/>
      <c r="BT5" s="7"/>
      <c r="BU5" s="5">
        <f t="shared" si="18"/>
        <v>0</v>
      </c>
      <c r="BV5" s="5" t="str">
        <f t="shared" si="19"/>
        <v>BAJO</v>
      </c>
      <c r="BW5" s="5">
        <v>1</v>
      </c>
      <c r="BX5" s="7"/>
      <c r="BY5" s="7"/>
      <c r="BZ5" s="7"/>
      <c r="CA5" s="5">
        <f t="shared" si="20"/>
        <v>0</v>
      </c>
      <c r="CB5" s="5" t="str">
        <f t="shared" si="21"/>
        <v>BAJO</v>
      </c>
      <c r="CC5" s="5">
        <v>1</v>
      </c>
      <c r="CD5" s="7"/>
      <c r="CE5" s="7"/>
      <c r="CF5" s="7"/>
      <c r="CG5" s="5">
        <f t="shared" si="22"/>
        <v>0</v>
      </c>
      <c r="CH5" s="5" t="str">
        <f t="shared" si="23"/>
        <v>BAJO</v>
      </c>
      <c r="CI5" s="5">
        <v>1</v>
      </c>
      <c r="CJ5" s="7"/>
      <c r="CK5" s="7"/>
      <c r="CL5" s="7"/>
      <c r="CM5" s="5">
        <f t="shared" si="24"/>
        <v>0</v>
      </c>
      <c r="CN5" s="5" t="str">
        <f t="shared" si="25"/>
        <v>BAJO</v>
      </c>
      <c r="CO5" s="5">
        <v>1</v>
      </c>
      <c r="CP5" s="7"/>
      <c r="CQ5" s="7"/>
      <c r="CR5" s="7"/>
      <c r="CS5" s="5">
        <f t="shared" si="26"/>
        <v>0</v>
      </c>
      <c r="CT5" s="5" t="str">
        <f t="shared" si="27"/>
        <v>BAJO</v>
      </c>
      <c r="CU5" s="5">
        <v>2</v>
      </c>
      <c r="CV5" s="7"/>
      <c r="CW5" s="7"/>
      <c r="CX5" s="7"/>
      <c r="CY5" s="5">
        <f t="shared" si="28"/>
        <v>0</v>
      </c>
      <c r="CZ5" s="5" t="str">
        <f t="shared" si="29"/>
        <v>BAJO</v>
      </c>
      <c r="DA5" s="5">
        <v>2</v>
      </c>
      <c r="DB5" s="5"/>
      <c r="DC5" s="5"/>
      <c r="DD5" s="5"/>
      <c r="DE5" s="5">
        <f t="shared" si="30"/>
        <v>0</v>
      </c>
      <c r="DF5" s="5" t="str">
        <f t="shared" si="31"/>
        <v>BAJO</v>
      </c>
      <c r="DG5" s="5">
        <v>0</v>
      </c>
      <c r="DH5" s="5"/>
      <c r="DI5" s="5" t="str">
        <f t="shared" si="32"/>
        <v>BAJO</v>
      </c>
      <c r="DJ5" s="5">
        <f t="shared" si="33"/>
        <v>0</v>
      </c>
      <c r="DK5" s="5" t="str">
        <f t="shared" si="36"/>
        <v>Comprende el concepto de números reales, su relación de orden y las propiedades de sus operaciones, así como las relaciones de semejanza y congruencia de distintas figuras geométricas.</v>
      </c>
      <c r="DL5" s="5" t="str">
        <f t="shared" ref="DL5:FJ5" si="39">DL4</f>
        <v>Aplica correctamente las propiedades de las operaciones de números reales y expresiones algebraicas en la resolución de problemas.</v>
      </c>
      <c r="DM5" s="5" t="str">
        <f t="shared" si="39"/>
        <v>Valora el uso del pensamiento lógico a la hora de plantear y resolver problemas de las matemáticas y de la vida cotidiana.</v>
      </c>
      <c r="DN5" s="5" t="str">
        <f t="shared" si="3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5" s="5" t="str">
        <f t="shared" si="39"/>
        <v>Organiza y analiza datos mediante la construcción de tablas de frecuencias y diagramas estadísticos, identificando variables aleatorias y utilizando estas representaciones para resolver situaciones problema.</v>
      </c>
      <c r="DP5" s="5" t="str">
        <f t="shared" si="39"/>
        <v>Muestra disposición y responsabilidad en el manejo y análisis de datos, participando activamente en actividades individuales y colaborativas, y comunicando información estadística con claridad y sentido crítico.</v>
      </c>
      <c r="DQ5" s="5" t="str">
        <f t="shared" si="39"/>
        <v>Analiza las características de la literatura prehispánica y la literatura del descubrimiento y la conquista en Colombia identificando sus elementos fundamentales y su impacto en la cultura y el lenguaje actual.</v>
      </c>
      <c r="DR5" s="5" t="str">
        <f t="shared" si="39"/>
        <v>Realiza comprensión lectora cuando analiza un texto desde el discurso de la Enunciación e identifica la función de cada uno de sus componentes.
Responde preguntas en los tres niveles de lectura a una leyenda del Caribe.</v>
      </c>
      <c r="DS5" s="5" t="str">
        <f t="shared" si="39"/>
        <v>Muestra disposición para participar activamente en las clases, promoviendo el respeto por las ideas ajenas y reconociendo la importancia de la precisión como una herramienta clave para una comunicación</v>
      </c>
      <c r="DT5" s="5" t="str">
        <f t="shared" si="39"/>
        <v>Comprende el contenido del cuento A la deriva, identificando su tema central, la secuencia de los hechos, los personajes y las ideas explícitas e implícitas del texto.</v>
      </c>
      <c r="DU5" s="5" t="str">
        <f t="shared" si="39"/>
        <v>Analiza críticamente el cuento A la deriva mediante la identificación de información literal, inferencial y crítica, sustentando sus respuestas de forma oral y escrita.</v>
      </c>
      <c r="DV5" s="5" t="str">
        <f t="shared" si="39"/>
        <v>Valora la lectura literaria como una oportunidad para reflexionar sobre la vida, la naturaleza y la condición humana, participando con interés, respeto y sentido crítico en las actividades propuestas.</v>
      </c>
      <c r="DW5" s="5" t="str">
        <f t="shared" si="39"/>
        <v>Comprende y reconoce vocabulario y estructuras basicas del ingles para interpretar textos cortos y conversaciones sobre temas cotidianos de la vida diaria.</v>
      </c>
      <c r="DX5" s="5" t="str">
        <f t="shared" si="39"/>
        <v>Produce de forma oral y escrita frases y parrafos cortos en Ingles, utilizando correctamente las estructuras conocidas para describir rutinas, narrar experiencias y participar en conversaciones.</v>
      </c>
      <c r="DY5" s="5" t="str">
        <f t="shared" si="39"/>
        <v>Muestra disposicion positiva hacia el aprendizaje del Ingles participando activamente en clase.</v>
      </c>
      <c r="DZ5" s="5" t="str">
        <f t="shared" si="39"/>
        <v>Identifica vocabulario en Ingles  de situaciones cotidianas.</v>
      </c>
      <c r="EA5" s="5" t="str">
        <f t="shared" si="39"/>
        <v>Participa en actividades utilizando vocabulario aprendido para expresar gustos,emociones y necesidades.</v>
      </c>
      <c r="EB5" s="5" t="str">
        <f t="shared" si="39"/>
        <v>Respeta la opinion de los demas, muestra disposicion para participar en actividades orales.</v>
      </c>
      <c r="EC5" s="5" t="str">
        <f t="shared" si="39"/>
        <v>Identifica la conformación y funcionamiento del sistema inmunolófico y diferencia las característics de los estados de la materia.</v>
      </c>
      <c r="ED5" s="5" t="str">
        <f t="shared" si="39"/>
        <v>Reconoce experimentalmente las características de materiales en los diferentes estados de la materia.</v>
      </c>
      <c r="EE5" s="5" t="str">
        <f t="shared" si="39"/>
        <v xml:space="preserve">Valora la importancia de tener habitos saludables, para lograr el mantenimiento saludable del sistema inmune. </v>
      </c>
      <c r="EF5" s="5" t="str">
        <f t="shared" si="39"/>
        <v>Describe correctamente la secuencia de eventos biologicos de la fecundacion,incluyendo las recciones acrosomicas,la funcion de gametos y la formacion de gametos.</v>
      </c>
      <c r="EG5" s="5" t="str">
        <f t="shared" si="39"/>
        <v>Mide la capacidad del labolatrio para lograr la fecundacion exitosa de los ovulos con el espermatozoide.</v>
      </c>
      <c r="EH5" s="5" t="str">
        <f t="shared" si="39"/>
        <v>Valora la importancia del cuidado del cuerpo y de la salud reproductiva como la base para una fecundacion saludable.</v>
      </c>
      <c r="EI5" s="5" t="str">
        <f t="shared" si="39"/>
        <v>Explico las principales caracteristicas de algunas revoluciones de los siglos XVIII y XIX (Revolucion francesa, Industrial...)</v>
      </c>
      <c r="EJ5" s="5" t="str">
        <f t="shared" si="39"/>
        <v>Analiza las causas y consecuencias de procesos historicos como la Revolucion Industrial y Francesa.</v>
      </c>
      <c r="EK5" s="5" t="str">
        <f t="shared" si="39"/>
        <v>Muestra interes y curiosidad por comprender los procesos historicos y su impacto en la sociedad.</v>
      </c>
      <c r="EL5" s="5" t="str">
        <f t="shared" si="39"/>
        <v xml:space="preserve">Identifica los procesos historicos de algunas revoluciones de los siglos XVIII y XIX </v>
      </c>
      <c r="EM5" s="5">
        <f t="shared" si="39"/>
        <v>0</v>
      </c>
      <c r="EN5" s="5">
        <f t="shared" si="39"/>
        <v>0</v>
      </c>
      <c r="EO5" s="5" t="str">
        <f t="shared" si="39"/>
        <v xml:space="preserve">Comprende la distribucion espacial de la poblacion antes y despues de las revoluciones </v>
      </c>
      <c r="EP5" s="5" t="str">
        <f t="shared" si="39"/>
        <v xml:space="preserve">Ubica en mapas las regiones donde se desarrollaron las principales revoluciones y explica sus caracteristicas geograficas </v>
      </c>
      <c r="EQ5" s="5" t="str">
        <f t="shared" si="39"/>
        <v>Muestra interes por comprender la relacion entre sociedad, economia y territorio</v>
      </c>
      <c r="ER5" s="5" t="str">
        <f t="shared" si="39"/>
        <v>Comprende el concepto de cultura de paz y su importancia en la sociedad</v>
      </c>
      <c r="ES5" s="5" t="str">
        <f t="shared" si="39"/>
        <v>Practica normas de convivencia en diferentes espacios( aula, hogar, comunidad)</v>
      </c>
      <c r="ET5" s="5" t="str">
        <f t="shared" si="39"/>
        <v>Muestra actitud de respeto hacia la diversidad cuktural, social y de pensamiento</v>
      </c>
      <c r="EU5" s="5">
        <f t="shared" si="39"/>
        <v>0</v>
      </c>
      <c r="EV5" s="5">
        <f t="shared" si="39"/>
        <v>0</v>
      </c>
      <c r="EW5" s="5">
        <f t="shared" si="39"/>
        <v>0</v>
      </c>
      <c r="EX5" s="5">
        <f t="shared" si="39"/>
        <v>0</v>
      </c>
      <c r="EY5" s="5">
        <f t="shared" si="39"/>
        <v>0</v>
      </c>
      <c r="EZ5" s="5">
        <f t="shared" si="39"/>
        <v>0</v>
      </c>
      <c r="FA5" s="5">
        <f t="shared" si="39"/>
        <v>0</v>
      </c>
      <c r="FB5" s="5">
        <f t="shared" si="39"/>
        <v>0</v>
      </c>
      <c r="FC5" s="5">
        <f t="shared" si="39"/>
        <v>0</v>
      </c>
      <c r="FD5" s="5" t="str">
        <f t="shared" si="39"/>
        <v xml:space="preserve"> Identifica las expresiones motrices relacionadas con el juego del voleibol,  como una oportunidad para mejorar la salud, la estética y las relaciones con los demás.</v>
      </c>
      <c r="FE5" s="5" t="str">
        <f t="shared" si="39"/>
        <v>Pone en práctica los fundamentos básicos del voleibol.</v>
      </c>
      <c r="FF5" s="5" t="str">
        <f t="shared" si="39"/>
        <v>Muestra  responsabilidad y buena actitud al realizar el juego de voleibol.</v>
      </c>
      <c r="FG5" s="5" t="str">
        <f t="shared" si="39"/>
        <v>Comprende el concepto de variable como espacio de almacenamiento de datos y reconoce el uso de estructuras condicionales (si, si-no) para la toma de decisiones en un programa.</v>
      </c>
      <c r="FH5" s="5" t="str">
        <f t="shared" si="39"/>
        <v>Diseña y desarrolla programas que utilizan variables y estructuras condicionales para resolver problemas, evaluando condiciones y generando respuestas según diferentes situaciones.</v>
      </c>
      <c r="FI5" s="5" t="str">
        <f t="shared" si="39"/>
        <v>Muestra pensamiento lógico, perseverancia y actitud crítica al analizar errores y proponer soluciones en la construcción de programas con variables y condicionales.</v>
      </c>
      <c r="FJ5" s="5" t="str">
        <f t="shared" si="39"/>
        <v>Identifica y reconoce sus pricipales deberes y derechos dentro y fuera  de la Institución educativa.</v>
      </c>
    </row>
    <row r="6" spans="1:166">
      <c r="A6" s="5">
        <v>5</v>
      </c>
      <c r="B6" s="5" t="s">
        <v>139</v>
      </c>
      <c r="C6" s="6">
        <v>1044332259</v>
      </c>
      <c r="D6" s="5" t="s">
        <v>134</v>
      </c>
      <c r="E6" s="5" t="s">
        <v>135</v>
      </c>
      <c r="F6" s="5" t="s">
        <v>70</v>
      </c>
      <c r="G6" s="5" t="s">
        <v>71</v>
      </c>
      <c r="H6" s="5">
        <v>2026</v>
      </c>
      <c r="I6" s="5">
        <v>4</v>
      </c>
      <c r="J6" s="7">
        <v>2.4</v>
      </c>
      <c r="K6" s="7">
        <v>2.5</v>
      </c>
      <c r="L6" s="7">
        <v>2.6</v>
      </c>
      <c r="M6" s="5">
        <f t="shared" si="0"/>
        <v>2.5</v>
      </c>
      <c r="N6" s="5" t="str">
        <f t="shared" si="1"/>
        <v>BAJO</v>
      </c>
      <c r="O6" s="5">
        <v>1</v>
      </c>
      <c r="P6" s="7">
        <v>4.4000000000000004</v>
      </c>
      <c r="Q6" s="7">
        <v>4.4000000000000004</v>
      </c>
      <c r="R6" s="7">
        <v>4.4000000000000004</v>
      </c>
      <c r="S6" s="5">
        <f t="shared" si="2"/>
        <v>4.4000000000000004</v>
      </c>
      <c r="T6" s="5" t="str">
        <f t="shared" si="3"/>
        <v>ALTO</v>
      </c>
      <c r="U6" s="5">
        <v>4</v>
      </c>
      <c r="V6" s="7"/>
      <c r="W6" s="7"/>
      <c r="X6" s="7"/>
      <c r="Y6" s="5">
        <f t="shared" si="4"/>
        <v>0</v>
      </c>
      <c r="Z6" s="5" t="str">
        <f t="shared" si="5"/>
        <v>BAJO</v>
      </c>
      <c r="AA6" s="5">
        <v>1</v>
      </c>
      <c r="AB6" s="7">
        <v>2.8</v>
      </c>
      <c r="AC6" s="7">
        <v>2.8</v>
      </c>
      <c r="AD6" s="7">
        <v>2.8</v>
      </c>
      <c r="AE6" s="5">
        <f t="shared" si="6"/>
        <v>2.8</v>
      </c>
      <c r="AF6" s="5" t="str">
        <f t="shared" si="7"/>
        <v>BAJO</v>
      </c>
      <c r="AG6" s="5">
        <v>2</v>
      </c>
      <c r="AH6" s="8">
        <v>3.5</v>
      </c>
      <c r="AI6" s="8">
        <v>3.5</v>
      </c>
      <c r="AJ6" s="8">
        <v>3.5</v>
      </c>
      <c r="AK6" s="5">
        <f t="shared" si="8"/>
        <v>3.5</v>
      </c>
      <c r="AL6" s="5" t="str">
        <f t="shared" si="9"/>
        <v>BASICO</v>
      </c>
      <c r="AM6" s="5">
        <v>1</v>
      </c>
      <c r="AN6" s="8">
        <v>3.5</v>
      </c>
      <c r="AO6" s="8">
        <v>3.5</v>
      </c>
      <c r="AP6" s="8">
        <v>3.5</v>
      </c>
      <c r="AQ6" s="5">
        <f t="shared" si="10"/>
        <v>3.5</v>
      </c>
      <c r="AR6" s="5" t="str">
        <f t="shared" si="11"/>
        <v>BASICO</v>
      </c>
      <c r="AS6" s="5">
        <v>4</v>
      </c>
      <c r="AT6" s="7">
        <v>2</v>
      </c>
      <c r="AU6" s="7">
        <v>2</v>
      </c>
      <c r="AV6" s="7">
        <v>2</v>
      </c>
      <c r="AW6" s="5">
        <f t="shared" si="34"/>
        <v>2</v>
      </c>
      <c r="AX6" s="5" t="str">
        <f t="shared" si="12"/>
        <v>BAJO</v>
      </c>
      <c r="AY6" s="5">
        <v>1</v>
      </c>
      <c r="AZ6" s="7">
        <v>3</v>
      </c>
      <c r="BA6" s="7">
        <v>3.2</v>
      </c>
      <c r="BB6" s="7">
        <v>3</v>
      </c>
      <c r="BC6" s="5">
        <f t="shared" si="13"/>
        <v>3.08</v>
      </c>
      <c r="BD6" s="5" t="str">
        <f t="shared" si="14"/>
        <v>BASICO</v>
      </c>
      <c r="BE6" s="7">
        <v>2</v>
      </c>
      <c r="BF6" s="7">
        <v>2.5</v>
      </c>
      <c r="BG6" s="7">
        <v>2.2000000000000002</v>
      </c>
      <c r="BH6" s="7">
        <v>2</v>
      </c>
      <c r="BI6" s="5">
        <f t="shared" si="35"/>
        <v>2.23</v>
      </c>
      <c r="BJ6" s="5" t="str">
        <f t="shared" si="15"/>
        <v>BAJO</v>
      </c>
      <c r="BK6" s="5">
        <v>1</v>
      </c>
      <c r="BL6" s="7">
        <v>2</v>
      </c>
      <c r="BM6" s="7">
        <v>2.2000000000000002</v>
      </c>
      <c r="BN6" s="7">
        <v>2.5</v>
      </c>
      <c r="BO6" s="5">
        <f t="shared" si="16"/>
        <v>2.23</v>
      </c>
      <c r="BP6" s="5" t="str">
        <f t="shared" si="17"/>
        <v>BAJO</v>
      </c>
      <c r="BQ6" s="5">
        <v>1</v>
      </c>
      <c r="BR6" s="7">
        <v>2.5</v>
      </c>
      <c r="BS6" s="7">
        <v>2.8</v>
      </c>
      <c r="BT6" s="7">
        <v>2.6</v>
      </c>
      <c r="BU6" s="5">
        <f t="shared" si="18"/>
        <v>2.65</v>
      </c>
      <c r="BV6" s="5" t="str">
        <f t="shared" si="19"/>
        <v>BAJO</v>
      </c>
      <c r="BW6" s="5">
        <v>1</v>
      </c>
      <c r="BX6" s="7">
        <v>2</v>
      </c>
      <c r="BY6" s="7">
        <v>2.5</v>
      </c>
      <c r="BZ6" s="7">
        <v>2.2000000000000002</v>
      </c>
      <c r="CA6" s="5">
        <f t="shared" si="20"/>
        <v>2.2600000000000002</v>
      </c>
      <c r="CB6" s="5" t="str">
        <f t="shared" si="21"/>
        <v>BAJO</v>
      </c>
      <c r="CC6" s="5">
        <v>1</v>
      </c>
      <c r="CD6" s="7">
        <v>3</v>
      </c>
      <c r="CE6" s="7">
        <v>3</v>
      </c>
      <c r="CF6" s="7">
        <v>3</v>
      </c>
      <c r="CG6" s="5">
        <f t="shared" si="22"/>
        <v>3</v>
      </c>
      <c r="CH6" s="5" t="str">
        <f t="shared" si="23"/>
        <v>BASICO</v>
      </c>
      <c r="CI6" s="5">
        <v>1</v>
      </c>
      <c r="CJ6" s="7">
        <v>4</v>
      </c>
      <c r="CK6" s="7">
        <v>4</v>
      </c>
      <c r="CL6" s="7">
        <v>4</v>
      </c>
      <c r="CM6" s="5">
        <f t="shared" si="24"/>
        <v>4</v>
      </c>
      <c r="CN6" s="5" t="str">
        <f t="shared" si="25"/>
        <v>ALTO</v>
      </c>
      <c r="CO6" s="5">
        <v>1</v>
      </c>
      <c r="CP6" s="7">
        <v>4</v>
      </c>
      <c r="CQ6" s="7">
        <v>4</v>
      </c>
      <c r="CR6" s="7">
        <v>4</v>
      </c>
      <c r="CS6" s="5">
        <f t="shared" si="26"/>
        <v>4</v>
      </c>
      <c r="CT6" s="5" t="str">
        <f t="shared" si="27"/>
        <v>ALTO</v>
      </c>
      <c r="CU6" s="5">
        <v>2</v>
      </c>
      <c r="CV6" s="7">
        <v>3.5</v>
      </c>
      <c r="CW6" s="7">
        <v>3.5</v>
      </c>
      <c r="CX6" s="7">
        <v>3.5</v>
      </c>
      <c r="CY6" s="5">
        <f t="shared" si="28"/>
        <v>3.5</v>
      </c>
      <c r="CZ6" s="5" t="str">
        <f t="shared" si="29"/>
        <v>BASICO</v>
      </c>
      <c r="DA6" s="5">
        <v>2</v>
      </c>
      <c r="DB6" s="7">
        <v>3.5</v>
      </c>
      <c r="DC6" s="7">
        <v>3.5</v>
      </c>
      <c r="DD6" s="7">
        <v>3.8</v>
      </c>
      <c r="DE6" s="5">
        <f t="shared" si="30"/>
        <v>3.59</v>
      </c>
      <c r="DF6" s="5" t="str">
        <f t="shared" si="31"/>
        <v>BASICO</v>
      </c>
      <c r="DG6" s="5">
        <v>0</v>
      </c>
      <c r="DH6" s="7">
        <v>3.8</v>
      </c>
      <c r="DI6" s="5" t="str">
        <f t="shared" si="32"/>
        <v>BASICO</v>
      </c>
      <c r="DJ6" s="5">
        <f t="shared" si="33"/>
        <v>2.9641176470588237</v>
      </c>
      <c r="DK6" s="5" t="str">
        <f t="shared" si="36"/>
        <v>Comprende el concepto de números reales, su relación de orden y las propiedades de sus operaciones, así como las relaciones de semejanza y congruencia de distintas figuras geométricas.</v>
      </c>
      <c r="DL6" s="5" t="str">
        <f t="shared" ref="DL6:FJ6" si="40">DL5</f>
        <v>Aplica correctamente las propiedades de las operaciones de números reales y expresiones algebraicas en la resolución de problemas.</v>
      </c>
      <c r="DM6" s="5" t="str">
        <f t="shared" si="40"/>
        <v>Valora el uso del pensamiento lógico a la hora de plantear y resolver problemas de las matemáticas y de la vida cotidiana.</v>
      </c>
      <c r="DN6" s="5" t="str">
        <f t="shared" si="4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6" s="5" t="str">
        <f t="shared" si="40"/>
        <v>Organiza y analiza datos mediante la construcción de tablas de frecuencias y diagramas estadísticos, identificando variables aleatorias y utilizando estas representaciones para resolver situaciones problema.</v>
      </c>
      <c r="DP6" s="5" t="str">
        <f t="shared" si="40"/>
        <v>Muestra disposición y responsabilidad en el manejo y análisis de datos, participando activamente en actividades individuales y colaborativas, y comunicando información estadística con claridad y sentido crítico.</v>
      </c>
      <c r="DQ6" s="5" t="str">
        <f t="shared" si="40"/>
        <v>Analiza las características de la literatura prehispánica y la literatura del descubrimiento y la conquista en Colombia identificando sus elementos fundamentales y su impacto en la cultura y el lenguaje actual.</v>
      </c>
      <c r="DR6" s="5" t="str">
        <f t="shared" si="40"/>
        <v>Realiza comprensión lectora cuando analiza un texto desde el discurso de la Enunciación e identifica la función de cada uno de sus componentes.
Responde preguntas en los tres niveles de lectura a una leyenda del Caribe.</v>
      </c>
      <c r="DS6" s="5" t="str">
        <f t="shared" si="40"/>
        <v>Muestra disposición para participar activamente en las clases, promoviendo el respeto por las ideas ajenas y reconociendo la importancia de la precisión como una herramienta clave para una comunicación</v>
      </c>
      <c r="DT6" s="5" t="str">
        <f t="shared" si="40"/>
        <v>Comprende el contenido del cuento A la deriva, identificando su tema central, la secuencia de los hechos, los personajes y las ideas explícitas e implícitas del texto.</v>
      </c>
      <c r="DU6" s="5" t="str">
        <f t="shared" si="40"/>
        <v>Analiza críticamente el cuento A la deriva mediante la identificación de información literal, inferencial y crítica, sustentando sus respuestas de forma oral y escrita.</v>
      </c>
      <c r="DV6" s="5" t="str">
        <f t="shared" si="40"/>
        <v>Valora la lectura literaria como una oportunidad para reflexionar sobre la vida, la naturaleza y la condición humana, participando con interés, respeto y sentido crítico en las actividades propuestas.</v>
      </c>
      <c r="DW6" s="5" t="str">
        <f t="shared" si="40"/>
        <v>Comprende y reconoce vocabulario y estructuras basicas del ingles para interpretar textos cortos y conversaciones sobre temas cotidianos de la vida diaria.</v>
      </c>
      <c r="DX6" s="5" t="str">
        <f t="shared" si="40"/>
        <v>Produce de forma oral y escrita frases y parrafos cortos en Ingles, utilizando correctamente las estructuras conocidas para describir rutinas, narrar experiencias y participar en conversaciones.</v>
      </c>
      <c r="DY6" s="5" t="str">
        <f t="shared" si="40"/>
        <v>Muestra disposicion positiva hacia el aprendizaje del Ingles participando activamente en clase.</v>
      </c>
      <c r="DZ6" s="5" t="str">
        <f t="shared" si="40"/>
        <v>Identifica vocabulario en Ingles  de situaciones cotidianas.</v>
      </c>
      <c r="EA6" s="5" t="str">
        <f t="shared" si="40"/>
        <v>Participa en actividades utilizando vocabulario aprendido para expresar gustos,emociones y necesidades.</v>
      </c>
      <c r="EB6" s="5" t="str">
        <f t="shared" si="40"/>
        <v>Respeta la opinion de los demas, muestra disposicion para participar en actividades orales.</v>
      </c>
      <c r="EC6" s="5" t="str">
        <f t="shared" si="40"/>
        <v>Identifica la conformación y funcionamiento del sistema inmunolófico y diferencia las característics de los estados de la materia.</v>
      </c>
      <c r="ED6" s="5" t="str">
        <f t="shared" si="40"/>
        <v>Reconoce experimentalmente las características de materiales en los diferentes estados de la materia.</v>
      </c>
      <c r="EE6" s="5" t="str">
        <f t="shared" si="40"/>
        <v xml:space="preserve">Valora la importancia de tener habitos saludables, para lograr el mantenimiento saludable del sistema inmune. </v>
      </c>
      <c r="EF6" s="5" t="str">
        <f t="shared" si="40"/>
        <v>Describe correctamente la secuencia de eventos biologicos de la fecundacion,incluyendo las recciones acrosomicas,la funcion de gametos y la formacion de gametos.</v>
      </c>
      <c r="EG6" s="5" t="str">
        <f t="shared" si="40"/>
        <v>Mide la capacidad del labolatrio para lograr la fecundacion exitosa de los ovulos con el espermatozoide.</v>
      </c>
      <c r="EH6" s="5" t="str">
        <f t="shared" si="40"/>
        <v>Valora la importancia del cuidado del cuerpo y de la salud reproductiva como la base para una fecundacion saludable.</v>
      </c>
      <c r="EI6" s="5" t="str">
        <f t="shared" si="40"/>
        <v>Explico las principales caracteristicas de algunas revoluciones de los siglos XVIII y XIX (Revolucion francesa, Industrial...)</v>
      </c>
      <c r="EJ6" s="5" t="str">
        <f t="shared" si="40"/>
        <v>Analiza las causas y consecuencias de procesos historicos como la Revolucion Industrial y Francesa.</v>
      </c>
      <c r="EK6" s="5" t="str">
        <f t="shared" si="40"/>
        <v>Muestra interes y curiosidad por comprender los procesos historicos y su impacto en la sociedad.</v>
      </c>
      <c r="EL6" s="5" t="str">
        <f t="shared" si="40"/>
        <v xml:space="preserve">Identifica los procesos historicos de algunas revoluciones de los siglos XVIII y XIX </v>
      </c>
      <c r="EM6" s="5">
        <f t="shared" si="40"/>
        <v>0</v>
      </c>
      <c r="EN6" s="5">
        <f t="shared" si="40"/>
        <v>0</v>
      </c>
      <c r="EO6" s="5" t="str">
        <f t="shared" si="40"/>
        <v xml:space="preserve">Comprende la distribucion espacial de la poblacion antes y despues de las revoluciones </v>
      </c>
      <c r="EP6" s="5" t="str">
        <f t="shared" si="40"/>
        <v xml:space="preserve">Ubica en mapas las regiones donde se desarrollaron las principales revoluciones y explica sus caracteristicas geograficas </v>
      </c>
      <c r="EQ6" s="5" t="str">
        <f t="shared" si="40"/>
        <v>Muestra interes por comprender la relacion entre sociedad, economia y territorio</v>
      </c>
      <c r="ER6" s="5" t="str">
        <f t="shared" si="40"/>
        <v>Comprende el concepto de cultura de paz y su importancia en la sociedad</v>
      </c>
      <c r="ES6" s="5" t="str">
        <f t="shared" si="40"/>
        <v>Practica normas de convivencia en diferentes espacios( aula, hogar, comunidad)</v>
      </c>
      <c r="ET6" s="5" t="str">
        <f t="shared" si="40"/>
        <v>Muestra actitud de respeto hacia la diversidad cuktural, social y de pensamiento</v>
      </c>
      <c r="EU6" s="5">
        <f t="shared" si="40"/>
        <v>0</v>
      </c>
      <c r="EV6" s="5">
        <f t="shared" si="40"/>
        <v>0</v>
      </c>
      <c r="EW6" s="5">
        <f t="shared" si="40"/>
        <v>0</v>
      </c>
      <c r="EX6" s="5">
        <f t="shared" si="40"/>
        <v>0</v>
      </c>
      <c r="EY6" s="5">
        <f t="shared" si="40"/>
        <v>0</v>
      </c>
      <c r="EZ6" s="5">
        <f t="shared" si="40"/>
        <v>0</v>
      </c>
      <c r="FA6" s="5">
        <f t="shared" si="40"/>
        <v>0</v>
      </c>
      <c r="FB6" s="5">
        <f t="shared" si="40"/>
        <v>0</v>
      </c>
      <c r="FC6" s="5">
        <f t="shared" si="40"/>
        <v>0</v>
      </c>
      <c r="FD6" s="5" t="str">
        <f t="shared" si="40"/>
        <v xml:space="preserve"> Identifica las expresiones motrices relacionadas con el juego del voleibol,  como una oportunidad para mejorar la salud, la estética y las relaciones con los demás.</v>
      </c>
      <c r="FE6" s="5" t="str">
        <f t="shared" si="40"/>
        <v>Pone en práctica los fundamentos básicos del voleibol.</v>
      </c>
      <c r="FF6" s="5" t="str">
        <f t="shared" si="40"/>
        <v>Muestra  responsabilidad y buena actitud al realizar el juego de voleibol.</v>
      </c>
      <c r="FG6" s="5" t="str">
        <f t="shared" si="40"/>
        <v>Comprende el concepto de variable como espacio de almacenamiento de datos y reconoce el uso de estructuras condicionales (si, si-no) para la toma de decisiones en un programa.</v>
      </c>
      <c r="FH6" s="5" t="str">
        <f t="shared" si="40"/>
        <v>Diseña y desarrolla programas que utilizan variables y estructuras condicionales para resolver problemas, evaluando condiciones y generando respuestas según diferentes situaciones.</v>
      </c>
      <c r="FI6" s="5" t="str">
        <f t="shared" si="40"/>
        <v>Muestra pensamiento lógico, perseverancia y actitud crítica al analizar errores y proponer soluciones en la construcción de programas con variables y condicionales.</v>
      </c>
      <c r="FJ6" s="5" t="str">
        <f t="shared" si="40"/>
        <v>Identifica y reconoce sus pricipales deberes y derechos dentro y fuera  de la Institución educativa.</v>
      </c>
    </row>
    <row r="7" spans="1:166">
      <c r="A7" s="5">
        <v>6</v>
      </c>
      <c r="B7" s="5" t="s">
        <v>140</v>
      </c>
      <c r="C7" s="6">
        <v>1143143712</v>
      </c>
      <c r="D7" s="5" t="s">
        <v>134</v>
      </c>
      <c r="E7" s="5" t="s">
        <v>135</v>
      </c>
      <c r="F7" s="5" t="s">
        <v>70</v>
      </c>
      <c r="G7" s="5" t="s">
        <v>71</v>
      </c>
      <c r="H7" s="5">
        <v>2026</v>
      </c>
      <c r="I7" s="5">
        <v>4</v>
      </c>
      <c r="J7" s="7">
        <v>3</v>
      </c>
      <c r="K7" s="7">
        <v>3.5</v>
      </c>
      <c r="L7" s="7">
        <v>4</v>
      </c>
      <c r="M7" s="5">
        <f t="shared" si="0"/>
        <v>3.5</v>
      </c>
      <c r="N7" s="5" t="str">
        <f t="shared" si="1"/>
        <v>BASICO</v>
      </c>
      <c r="O7" s="5">
        <v>1</v>
      </c>
      <c r="P7" s="7">
        <v>4</v>
      </c>
      <c r="Q7" s="7">
        <v>4</v>
      </c>
      <c r="R7" s="7">
        <v>4</v>
      </c>
      <c r="S7" s="5">
        <f t="shared" si="2"/>
        <v>4</v>
      </c>
      <c r="T7" s="5" t="str">
        <f t="shared" si="3"/>
        <v>ALTO</v>
      </c>
      <c r="U7" s="5">
        <v>4</v>
      </c>
      <c r="V7" s="7"/>
      <c r="W7" s="7"/>
      <c r="X7" s="7"/>
      <c r="Y7" s="5">
        <f t="shared" si="4"/>
        <v>0</v>
      </c>
      <c r="Z7" s="5" t="str">
        <f t="shared" si="5"/>
        <v>BAJO</v>
      </c>
      <c r="AA7" s="5">
        <v>1</v>
      </c>
      <c r="AB7" s="7">
        <v>4.0999999999999996</v>
      </c>
      <c r="AC7" s="7">
        <v>4.0999999999999996</v>
      </c>
      <c r="AD7" s="7">
        <v>4.0999999999999996</v>
      </c>
      <c r="AE7" s="5">
        <f t="shared" si="6"/>
        <v>4.0999999999999996</v>
      </c>
      <c r="AF7" s="5" t="str">
        <f t="shared" si="7"/>
        <v>ALTO</v>
      </c>
      <c r="AG7" s="5">
        <v>2</v>
      </c>
      <c r="AH7" s="8">
        <v>3.5</v>
      </c>
      <c r="AI7" s="8">
        <v>3.5</v>
      </c>
      <c r="AJ7" s="8">
        <v>3.5</v>
      </c>
      <c r="AK7" s="5">
        <f t="shared" si="8"/>
        <v>3.5</v>
      </c>
      <c r="AL7" s="5" t="str">
        <f t="shared" si="9"/>
        <v>BASICO</v>
      </c>
      <c r="AM7" s="5">
        <v>1</v>
      </c>
      <c r="AN7" s="8">
        <v>3.5</v>
      </c>
      <c r="AO7" s="8">
        <v>3.5</v>
      </c>
      <c r="AP7" s="8">
        <v>3.5</v>
      </c>
      <c r="AQ7" s="5">
        <f t="shared" si="10"/>
        <v>3.5</v>
      </c>
      <c r="AR7" s="5" t="str">
        <f t="shared" si="11"/>
        <v>BASICO</v>
      </c>
      <c r="AS7" s="5">
        <v>4</v>
      </c>
      <c r="AT7" s="7">
        <v>3.5</v>
      </c>
      <c r="AU7" s="7">
        <v>3.5</v>
      </c>
      <c r="AV7" s="7">
        <v>3.5</v>
      </c>
      <c r="AW7" s="5">
        <f t="shared" si="34"/>
        <v>3.5</v>
      </c>
      <c r="AX7" s="5" t="str">
        <f t="shared" si="12"/>
        <v>BASICO</v>
      </c>
      <c r="AY7" s="5">
        <v>1</v>
      </c>
      <c r="AZ7" s="7">
        <v>4.5</v>
      </c>
      <c r="BA7" s="7">
        <v>4</v>
      </c>
      <c r="BB7" s="7">
        <v>4</v>
      </c>
      <c r="BC7" s="5">
        <f t="shared" si="13"/>
        <v>4.1500000000000004</v>
      </c>
      <c r="BD7" s="5" t="str">
        <f t="shared" si="14"/>
        <v>ALTO</v>
      </c>
      <c r="BE7" s="7">
        <v>2</v>
      </c>
      <c r="BF7" s="7">
        <v>3.3</v>
      </c>
      <c r="BG7" s="7">
        <v>3.5</v>
      </c>
      <c r="BH7" s="7">
        <v>3.8</v>
      </c>
      <c r="BI7" s="5">
        <f t="shared" si="35"/>
        <v>3.5300000000000002</v>
      </c>
      <c r="BJ7" s="5" t="str">
        <f t="shared" si="15"/>
        <v>BASICO</v>
      </c>
      <c r="BK7" s="5">
        <v>1</v>
      </c>
      <c r="BL7" s="7">
        <v>3.3</v>
      </c>
      <c r="BM7" s="7">
        <v>3.5</v>
      </c>
      <c r="BN7" s="7">
        <v>3.4</v>
      </c>
      <c r="BO7" s="5">
        <f t="shared" si="16"/>
        <v>3.41</v>
      </c>
      <c r="BP7" s="5" t="str">
        <f t="shared" si="17"/>
        <v>BASICO</v>
      </c>
      <c r="BQ7" s="5">
        <v>1</v>
      </c>
      <c r="BR7" s="7">
        <v>3.3</v>
      </c>
      <c r="BS7" s="7">
        <v>3.5</v>
      </c>
      <c r="BT7" s="7">
        <v>3.7</v>
      </c>
      <c r="BU7" s="5">
        <f t="shared" si="18"/>
        <v>3.5</v>
      </c>
      <c r="BV7" s="5" t="str">
        <f t="shared" si="19"/>
        <v>BASICO</v>
      </c>
      <c r="BW7" s="5">
        <v>1</v>
      </c>
      <c r="BX7" s="7">
        <v>3.3</v>
      </c>
      <c r="BY7" s="7">
        <v>3.6</v>
      </c>
      <c r="BZ7" s="7">
        <v>3.4</v>
      </c>
      <c r="CA7" s="5">
        <f t="shared" si="20"/>
        <v>3.45</v>
      </c>
      <c r="CB7" s="5" t="str">
        <f t="shared" si="21"/>
        <v>BASICO</v>
      </c>
      <c r="CC7" s="5">
        <v>1</v>
      </c>
      <c r="CD7" s="7">
        <v>3.9</v>
      </c>
      <c r="CE7" s="7">
        <v>3.8</v>
      </c>
      <c r="CF7" s="7">
        <v>3.8</v>
      </c>
      <c r="CG7" s="5">
        <f t="shared" si="22"/>
        <v>3.83</v>
      </c>
      <c r="CH7" s="5" t="str">
        <f t="shared" si="23"/>
        <v>BASICO</v>
      </c>
      <c r="CI7" s="5">
        <v>1</v>
      </c>
      <c r="CJ7" s="7">
        <v>3.5</v>
      </c>
      <c r="CK7" s="7">
        <v>3.5</v>
      </c>
      <c r="CL7" s="7">
        <v>3.5</v>
      </c>
      <c r="CM7" s="5">
        <f t="shared" si="24"/>
        <v>3.5</v>
      </c>
      <c r="CN7" s="5" t="str">
        <f t="shared" si="25"/>
        <v>BASICO</v>
      </c>
      <c r="CO7" s="5">
        <v>1</v>
      </c>
      <c r="CP7" s="7">
        <v>5</v>
      </c>
      <c r="CQ7" s="7">
        <v>5</v>
      </c>
      <c r="CR7" s="7">
        <v>5</v>
      </c>
      <c r="CS7" s="5">
        <f t="shared" si="26"/>
        <v>5</v>
      </c>
      <c r="CT7" s="5" t="str">
        <f t="shared" si="27"/>
        <v>SUPERIOR</v>
      </c>
      <c r="CU7" s="5">
        <v>2</v>
      </c>
      <c r="CV7" s="7">
        <v>4</v>
      </c>
      <c r="CW7" s="7">
        <v>4</v>
      </c>
      <c r="CX7" s="7">
        <v>4</v>
      </c>
      <c r="CY7" s="5">
        <f t="shared" si="28"/>
        <v>4</v>
      </c>
      <c r="CZ7" s="5" t="str">
        <f t="shared" si="29"/>
        <v>ALTO</v>
      </c>
      <c r="DA7" s="5">
        <v>2</v>
      </c>
      <c r="DB7" s="7">
        <v>3.5</v>
      </c>
      <c r="DC7" s="7">
        <v>3.8</v>
      </c>
      <c r="DD7" s="7">
        <v>3.3</v>
      </c>
      <c r="DE7" s="5">
        <f t="shared" si="30"/>
        <v>3.56</v>
      </c>
      <c r="DF7" s="5" t="str">
        <f t="shared" si="31"/>
        <v>BASICO</v>
      </c>
      <c r="DG7" s="5">
        <v>0</v>
      </c>
      <c r="DH7" s="7">
        <v>3.3</v>
      </c>
      <c r="DI7" s="5" t="str">
        <f t="shared" si="32"/>
        <v>BASICO</v>
      </c>
      <c r="DJ7" s="5">
        <f t="shared" si="33"/>
        <v>3.5194117647058825</v>
      </c>
      <c r="DK7" s="5" t="str">
        <f t="shared" si="36"/>
        <v>Comprende el concepto de números reales, su relación de orden y las propiedades de sus operaciones, así como las relaciones de semejanza y congruencia de distintas figuras geométricas.</v>
      </c>
      <c r="DL7" s="5" t="str">
        <f t="shared" ref="DL7:FJ7" si="41">DL6</f>
        <v>Aplica correctamente las propiedades de las operaciones de números reales y expresiones algebraicas en la resolución de problemas.</v>
      </c>
      <c r="DM7" s="5" t="str">
        <f t="shared" si="41"/>
        <v>Valora el uso del pensamiento lógico a la hora de plantear y resolver problemas de las matemáticas y de la vida cotidiana.</v>
      </c>
      <c r="DN7" s="5" t="str">
        <f t="shared" si="4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7" s="5" t="str">
        <f t="shared" si="41"/>
        <v>Organiza y analiza datos mediante la construcción de tablas de frecuencias y diagramas estadísticos, identificando variables aleatorias y utilizando estas representaciones para resolver situaciones problema.</v>
      </c>
      <c r="DP7" s="5" t="str">
        <f t="shared" si="41"/>
        <v>Muestra disposición y responsabilidad en el manejo y análisis de datos, participando activamente en actividades individuales y colaborativas, y comunicando información estadística con claridad y sentido crítico.</v>
      </c>
      <c r="DQ7" s="5" t="str">
        <f t="shared" si="41"/>
        <v>Analiza las características de la literatura prehispánica y la literatura del descubrimiento y la conquista en Colombia identificando sus elementos fundamentales y su impacto en la cultura y el lenguaje actual.</v>
      </c>
      <c r="DR7" s="5" t="str">
        <f t="shared" si="41"/>
        <v>Realiza comprensión lectora cuando analiza un texto desde el discurso de la Enunciación e identifica la función de cada uno de sus componentes.
Responde preguntas en los tres niveles de lectura a una leyenda del Caribe.</v>
      </c>
      <c r="DS7" s="5" t="str">
        <f t="shared" si="41"/>
        <v>Muestra disposición para participar activamente en las clases, promoviendo el respeto por las ideas ajenas y reconociendo la importancia de la precisión como una herramienta clave para una comunicación</v>
      </c>
      <c r="DT7" s="5" t="str">
        <f t="shared" si="41"/>
        <v>Comprende el contenido del cuento A la deriva, identificando su tema central, la secuencia de los hechos, los personajes y las ideas explícitas e implícitas del texto.</v>
      </c>
      <c r="DU7" s="5" t="str">
        <f t="shared" si="41"/>
        <v>Analiza críticamente el cuento A la deriva mediante la identificación de información literal, inferencial y crítica, sustentando sus respuestas de forma oral y escrita.</v>
      </c>
      <c r="DV7" s="5" t="str">
        <f t="shared" si="41"/>
        <v>Valora la lectura literaria como una oportunidad para reflexionar sobre la vida, la naturaleza y la condición humana, participando con interés, respeto y sentido crítico en las actividades propuestas.</v>
      </c>
      <c r="DW7" s="5" t="str">
        <f t="shared" si="41"/>
        <v>Comprende y reconoce vocabulario y estructuras basicas del ingles para interpretar textos cortos y conversaciones sobre temas cotidianos de la vida diaria.</v>
      </c>
      <c r="DX7" s="5" t="str">
        <f t="shared" si="41"/>
        <v>Produce de forma oral y escrita frases y parrafos cortos en Ingles, utilizando correctamente las estructuras conocidas para describir rutinas, narrar experiencias y participar en conversaciones.</v>
      </c>
      <c r="DY7" s="5" t="str">
        <f t="shared" si="41"/>
        <v>Muestra disposicion positiva hacia el aprendizaje del Ingles participando activamente en clase.</v>
      </c>
      <c r="DZ7" s="5" t="str">
        <f t="shared" si="41"/>
        <v>Identifica vocabulario en Ingles  de situaciones cotidianas.</v>
      </c>
      <c r="EA7" s="5" t="str">
        <f t="shared" si="41"/>
        <v>Participa en actividades utilizando vocabulario aprendido para expresar gustos,emociones y necesidades.</v>
      </c>
      <c r="EB7" s="5" t="str">
        <f t="shared" si="41"/>
        <v>Respeta la opinion de los demas, muestra disposicion para participar en actividades orales.</v>
      </c>
      <c r="EC7" s="5" t="str">
        <f t="shared" si="41"/>
        <v>Identifica la conformación y funcionamiento del sistema inmunolófico y diferencia las característics de los estados de la materia.</v>
      </c>
      <c r="ED7" s="5" t="str">
        <f t="shared" si="41"/>
        <v>Reconoce experimentalmente las características de materiales en los diferentes estados de la materia.</v>
      </c>
      <c r="EE7" s="5" t="str">
        <f t="shared" si="41"/>
        <v xml:space="preserve">Valora la importancia de tener habitos saludables, para lograr el mantenimiento saludable del sistema inmune. </v>
      </c>
      <c r="EF7" s="5" t="str">
        <f t="shared" si="41"/>
        <v>Describe correctamente la secuencia de eventos biologicos de la fecundacion,incluyendo las recciones acrosomicas,la funcion de gametos y la formacion de gametos.</v>
      </c>
      <c r="EG7" s="5" t="str">
        <f t="shared" si="41"/>
        <v>Mide la capacidad del labolatrio para lograr la fecundacion exitosa de los ovulos con el espermatozoide.</v>
      </c>
      <c r="EH7" s="5" t="str">
        <f t="shared" si="41"/>
        <v>Valora la importancia del cuidado del cuerpo y de la salud reproductiva como la base para una fecundacion saludable.</v>
      </c>
      <c r="EI7" s="5" t="str">
        <f t="shared" si="41"/>
        <v>Explico las principales caracteristicas de algunas revoluciones de los siglos XVIII y XIX (Revolucion francesa, Industrial...)</v>
      </c>
      <c r="EJ7" s="5" t="str">
        <f t="shared" si="41"/>
        <v>Analiza las causas y consecuencias de procesos historicos como la Revolucion Industrial y Francesa.</v>
      </c>
      <c r="EK7" s="5" t="str">
        <f t="shared" si="41"/>
        <v>Muestra interes y curiosidad por comprender los procesos historicos y su impacto en la sociedad.</v>
      </c>
      <c r="EL7" s="5" t="str">
        <f t="shared" si="41"/>
        <v xml:space="preserve">Identifica los procesos historicos de algunas revoluciones de los siglos XVIII y XIX </v>
      </c>
      <c r="EM7" s="5">
        <f t="shared" si="41"/>
        <v>0</v>
      </c>
      <c r="EN7" s="5">
        <f t="shared" si="41"/>
        <v>0</v>
      </c>
      <c r="EO7" s="5" t="str">
        <f t="shared" si="41"/>
        <v xml:space="preserve">Comprende la distribucion espacial de la poblacion antes y despues de las revoluciones </v>
      </c>
      <c r="EP7" s="5" t="str">
        <f t="shared" si="41"/>
        <v xml:space="preserve">Ubica en mapas las regiones donde se desarrollaron las principales revoluciones y explica sus caracteristicas geograficas </v>
      </c>
      <c r="EQ7" s="5" t="str">
        <f t="shared" si="41"/>
        <v>Muestra interes por comprender la relacion entre sociedad, economia y territorio</v>
      </c>
      <c r="ER7" s="5" t="str">
        <f t="shared" si="41"/>
        <v>Comprende el concepto de cultura de paz y su importancia en la sociedad</v>
      </c>
      <c r="ES7" s="5" t="str">
        <f t="shared" si="41"/>
        <v>Practica normas de convivencia en diferentes espacios( aula, hogar, comunidad)</v>
      </c>
      <c r="ET7" s="5" t="str">
        <f t="shared" si="41"/>
        <v>Muestra actitud de respeto hacia la diversidad cuktural, social y de pensamiento</v>
      </c>
      <c r="EU7" s="5">
        <f t="shared" si="41"/>
        <v>0</v>
      </c>
      <c r="EV7" s="5">
        <f t="shared" si="41"/>
        <v>0</v>
      </c>
      <c r="EW7" s="5">
        <f t="shared" si="41"/>
        <v>0</v>
      </c>
      <c r="EX7" s="5">
        <f t="shared" si="41"/>
        <v>0</v>
      </c>
      <c r="EY7" s="5">
        <f t="shared" si="41"/>
        <v>0</v>
      </c>
      <c r="EZ7" s="5">
        <f t="shared" si="41"/>
        <v>0</v>
      </c>
      <c r="FA7" s="5">
        <f t="shared" si="41"/>
        <v>0</v>
      </c>
      <c r="FB7" s="5">
        <f t="shared" si="41"/>
        <v>0</v>
      </c>
      <c r="FC7" s="5">
        <f t="shared" si="41"/>
        <v>0</v>
      </c>
      <c r="FD7" s="5" t="str">
        <f t="shared" si="41"/>
        <v xml:space="preserve"> Identifica las expresiones motrices relacionadas con el juego del voleibol,  como una oportunidad para mejorar la salud, la estética y las relaciones con los demás.</v>
      </c>
      <c r="FE7" s="5" t="str">
        <f t="shared" si="41"/>
        <v>Pone en práctica los fundamentos básicos del voleibol.</v>
      </c>
      <c r="FF7" s="5" t="str">
        <f t="shared" si="41"/>
        <v>Muestra  responsabilidad y buena actitud al realizar el juego de voleibol.</v>
      </c>
      <c r="FG7" s="5" t="str">
        <f t="shared" si="41"/>
        <v>Comprende el concepto de variable como espacio de almacenamiento de datos y reconoce el uso de estructuras condicionales (si, si-no) para la toma de decisiones en un programa.</v>
      </c>
      <c r="FH7" s="5" t="str">
        <f t="shared" si="41"/>
        <v>Diseña y desarrolla programas que utilizan variables y estructuras condicionales para resolver problemas, evaluando condiciones y generando respuestas según diferentes situaciones.</v>
      </c>
      <c r="FI7" s="5" t="str">
        <f t="shared" si="41"/>
        <v>Muestra pensamiento lógico, perseverancia y actitud crítica al analizar errores y proponer soluciones en la construcción de programas con variables y condicionales.</v>
      </c>
      <c r="FJ7" s="5" t="str">
        <f t="shared" si="41"/>
        <v>Identifica y reconoce sus pricipales deberes y derechos dentro y fuera  de la Institución educativa.</v>
      </c>
    </row>
    <row r="8" spans="1:166">
      <c r="A8" s="5">
        <v>7</v>
      </c>
      <c r="B8" s="5" t="s">
        <v>141</v>
      </c>
      <c r="C8" s="6">
        <v>1043460424</v>
      </c>
      <c r="D8" s="5" t="s">
        <v>134</v>
      </c>
      <c r="E8" s="5" t="s">
        <v>135</v>
      </c>
      <c r="F8" s="5" t="s">
        <v>70</v>
      </c>
      <c r="G8" s="5" t="s">
        <v>71</v>
      </c>
      <c r="H8" s="5">
        <v>2026</v>
      </c>
      <c r="I8" s="5">
        <v>4</v>
      </c>
      <c r="J8" s="7">
        <v>3</v>
      </c>
      <c r="K8" s="7">
        <v>3.2</v>
      </c>
      <c r="L8" s="7">
        <v>3.4</v>
      </c>
      <c r="M8" s="5">
        <f t="shared" si="0"/>
        <v>3.2</v>
      </c>
      <c r="N8" s="5" t="str">
        <f t="shared" si="1"/>
        <v>BASICO</v>
      </c>
      <c r="O8" s="5">
        <v>1</v>
      </c>
      <c r="P8" s="7">
        <v>4.3</v>
      </c>
      <c r="Q8" s="7">
        <v>4.3</v>
      </c>
      <c r="R8" s="7">
        <v>4.3</v>
      </c>
      <c r="S8" s="5">
        <f t="shared" si="2"/>
        <v>4.3</v>
      </c>
      <c r="T8" s="5" t="str">
        <f t="shared" si="3"/>
        <v>ALTO</v>
      </c>
      <c r="U8" s="5">
        <v>4</v>
      </c>
      <c r="V8" s="7"/>
      <c r="W8" s="7"/>
      <c r="X8" s="7"/>
      <c r="Y8" s="5">
        <f t="shared" si="4"/>
        <v>0</v>
      </c>
      <c r="Z8" s="5" t="str">
        <f t="shared" si="5"/>
        <v>BAJO</v>
      </c>
      <c r="AA8" s="5">
        <v>1</v>
      </c>
      <c r="AB8" s="7">
        <v>4</v>
      </c>
      <c r="AC8" s="7">
        <v>4</v>
      </c>
      <c r="AD8" s="7">
        <v>4</v>
      </c>
      <c r="AE8" s="5">
        <f t="shared" si="6"/>
        <v>4</v>
      </c>
      <c r="AF8" s="5" t="str">
        <f t="shared" si="7"/>
        <v>ALTO</v>
      </c>
      <c r="AG8" s="5">
        <v>2</v>
      </c>
      <c r="AH8" s="8">
        <v>4</v>
      </c>
      <c r="AI8" s="8">
        <v>4</v>
      </c>
      <c r="AJ8" s="8">
        <v>4</v>
      </c>
      <c r="AK8" s="5">
        <f t="shared" si="8"/>
        <v>4</v>
      </c>
      <c r="AL8" s="5" t="str">
        <f t="shared" si="9"/>
        <v>ALTO</v>
      </c>
      <c r="AM8" s="5">
        <v>1</v>
      </c>
      <c r="AN8" s="8">
        <v>4</v>
      </c>
      <c r="AO8" s="8">
        <v>4</v>
      </c>
      <c r="AP8" s="8">
        <v>4</v>
      </c>
      <c r="AQ8" s="5">
        <f t="shared" si="10"/>
        <v>4</v>
      </c>
      <c r="AR8" s="5" t="str">
        <f t="shared" si="11"/>
        <v>ALTO</v>
      </c>
      <c r="AS8" s="5">
        <v>4</v>
      </c>
      <c r="AT8" s="7">
        <v>2.8</v>
      </c>
      <c r="AU8" s="7">
        <v>2.8</v>
      </c>
      <c r="AV8" s="7">
        <v>2.8</v>
      </c>
      <c r="AW8" s="5">
        <f t="shared" si="34"/>
        <v>2.8</v>
      </c>
      <c r="AX8" s="5" t="str">
        <f t="shared" si="12"/>
        <v>BAJO</v>
      </c>
      <c r="AY8" s="5">
        <v>1</v>
      </c>
      <c r="AZ8" s="7">
        <v>4</v>
      </c>
      <c r="BA8" s="7">
        <v>3</v>
      </c>
      <c r="BB8" s="7">
        <v>3</v>
      </c>
      <c r="BC8" s="5">
        <f t="shared" si="13"/>
        <v>3.3000000000000003</v>
      </c>
      <c r="BD8" s="5" t="str">
        <f t="shared" si="14"/>
        <v>BASICO</v>
      </c>
      <c r="BE8" s="7">
        <v>2</v>
      </c>
      <c r="BF8" s="7">
        <v>3.5</v>
      </c>
      <c r="BG8" s="7">
        <v>3.4</v>
      </c>
      <c r="BH8" s="7">
        <v>3.3</v>
      </c>
      <c r="BI8" s="5">
        <f t="shared" si="35"/>
        <v>3.4</v>
      </c>
      <c r="BJ8" s="5" t="str">
        <f t="shared" si="15"/>
        <v>BASICO</v>
      </c>
      <c r="BK8" s="5">
        <v>1</v>
      </c>
      <c r="BL8" s="7">
        <v>3.3</v>
      </c>
      <c r="BM8" s="7">
        <v>3.5</v>
      </c>
      <c r="BN8" s="7">
        <v>3.4</v>
      </c>
      <c r="BO8" s="5">
        <f t="shared" si="16"/>
        <v>3.41</v>
      </c>
      <c r="BP8" s="5" t="str">
        <f t="shared" si="17"/>
        <v>BASICO</v>
      </c>
      <c r="BQ8" s="5">
        <v>1</v>
      </c>
      <c r="BR8" s="7">
        <v>3.3</v>
      </c>
      <c r="BS8" s="7">
        <v>3.4</v>
      </c>
      <c r="BT8" s="7">
        <v>3.5</v>
      </c>
      <c r="BU8" s="5">
        <f t="shared" si="18"/>
        <v>3.4000000000000004</v>
      </c>
      <c r="BV8" s="5" t="str">
        <f t="shared" si="19"/>
        <v>BASICO</v>
      </c>
      <c r="BW8" s="5">
        <v>1</v>
      </c>
      <c r="BX8" s="7">
        <v>3.3</v>
      </c>
      <c r="BY8" s="7">
        <v>3.5</v>
      </c>
      <c r="BZ8" s="7">
        <v>3.3</v>
      </c>
      <c r="CA8" s="5">
        <f t="shared" si="20"/>
        <v>3.38</v>
      </c>
      <c r="CB8" s="5" t="str">
        <f t="shared" si="21"/>
        <v>BASICO</v>
      </c>
      <c r="CC8" s="5">
        <v>1</v>
      </c>
      <c r="CD8" s="7">
        <v>3.7</v>
      </c>
      <c r="CE8" s="7">
        <v>3.6</v>
      </c>
      <c r="CF8" s="7">
        <v>3.6</v>
      </c>
      <c r="CG8" s="5">
        <f t="shared" si="22"/>
        <v>3.6300000000000003</v>
      </c>
      <c r="CH8" s="5" t="str">
        <f t="shared" si="23"/>
        <v>BASICO</v>
      </c>
      <c r="CI8" s="5">
        <v>1</v>
      </c>
      <c r="CJ8" s="7">
        <v>4.5</v>
      </c>
      <c r="CK8" s="7">
        <v>4.4000000000000004</v>
      </c>
      <c r="CL8" s="7">
        <v>4.4000000000000004</v>
      </c>
      <c r="CM8" s="5">
        <f t="shared" si="24"/>
        <v>4.4300000000000006</v>
      </c>
      <c r="CN8" s="5" t="str">
        <f t="shared" si="25"/>
        <v>ALTO</v>
      </c>
      <c r="CO8" s="5">
        <v>1</v>
      </c>
      <c r="CP8" s="7">
        <v>5</v>
      </c>
      <c r="CQ8" s="7">
        <v>5</v>
      </c>
      <c r="CR8" s="7">
        <v>5</v>
      </c>
      <c r="CS8" s="5">
        <f t="shared" si="26"/>
        <v>5</v>
      </c>
      <c r="CT8" s="5" t="str">
        <f t="shared" si="27"/>
        <v>SUPERIOR</v>
      </c>
      <c r="CU8" s="5">
        <v>2</v>
      </c>
      <c r="CV8" s="7">
        <v>4</v>
      </c>
      <c r="CW8" s="7">
        <v>4</v>
      </c>
      <c r="CX8" s="7">
        <v>4</v>
      </c>
      <c r="CY8" s="5">
        <f t="shared" si="28"/>
        <v>4</v>
      </c>
      <c r="CZ8" s="5" t="str">
        <f t="shared" si="29"/>
        <v>ALTO</v>
      </c>
      <c r="DA8" s="5">
        <v>2</v>
      </c>
      <c r="DB8" s="7">
        <v>4</v>
      </c>
      <c r="DC8" s="7">
        <v>4</v>
      </c>
      <c r="DD8" s="7">
        <v>3.5</v>
      </c>
      <c r="DE8" s="5">
        <f t="shared" si="30"/>
        <v>3.8499999999999996</v>
      </c>
      <c r="DF8" s="5" t="str">
        <f t="shared" si="31"/>
        <v>BASICO</v>
      </c>
      <c r="DG8" s="5">
        <v>0</v>
      </c>
      <c r="DH8" s="7">
        <v>3.5</v>
      </c>
      <c r="DI8" s="5" t="str">
        <f t="shared" si="32"/>
        <v>BASICO</v>
      </c>
      <c r="DJ8" s="5">
        <f t="shared" si="33"/>
        <v>3.5411764705882351</v>
      </c>
      <c r="DK8" s="5" t="str">
        <f t="shared" si="36"/>
        <v>Comprende el concepto de números reales, su relación de orden y las propiedades de sus operaciones, así como las relaciones de semejanza y congruencia de distintas figuras geométricas.</v>
      </c>
      <c r="DL8" s="5" t="str">
        <f t="shared" ref="DL8:FJ8" si="42">DL7</f>
        <v>Aplica correctamente las propiedades de las operaciones de números reales y expresiones algebraicas en la resolución de problemas.</v>
      </c>
      <c r="DM8" s="5" t="str">
        <f t="shared" si="42"/>
        <v>Valora el uso del pensamiento lógico a la hora de plantear y resolver problemas de las matemáticas y de la vida cotidiana.</v>
      </c>
      <c r="DN8" s="5" t="str">
        <f t="shared" si="4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8" s="5" t="str">
        <f t="shared" si="42"/>
        <v>Organiza y analiza datos mediante la construcción de tablas de frecuencias y diagramas estadísticos, identificando variables aleatorias y utilizando estas representaciones para resolver situaciones problema.</v>
      </c>
      <c r="DP8" s="5" t="str">
        <f t="shared" si="42"/>
        <v>Muestra disposición y responsabilidad en el manejo y análisis de datos, participando activamente en actividades individuales y colaborativas, y comunicando información estadística con claridad y sentido crítico.</v>
      </c>
      <c r="DQ8" s="5" t="str">
        <f t="shared" si="42"/>
        <v>Analiza las características de la literatura prehispánica y la literatura del descubrimiento y la conquista en Colombia identificando sus elementos fundamentales y su impacto en la cultura y el lenguaje actual.</v>
      </c>
      <c r="DR8" s="5" t="str">
        <f t="shared" si="42"/>
        <v>Realiza comprensión lectora cuando analiza un texto desde el discurso de la Enunciación e identifica la función de cada uno de sus componentes.
Responde preguntas en los tres niveles de lectura a una leyenda del Caribe.</v>
      </c>
      <c r="DS8" s="5" t="str">
        <f t="shared" si="42"/>
        <v>Muestra disposición para participar activamente en las clases, promoviendo el respeto por las ideas ajenas y reconociendo la importancia de la precisión como una herramienta clave para una comunicación</v>
      </c>
      <c r="DT8" s="5" t="str">
        <f t="shared" si="42"/>
        <v>Comprende el contenido del cuento A la deriva, identificando su tema central, la secuencia de los hechos, los personajes y las ideas explícitas e implícitas del texto.</v>
      </c>
      <c r="DU8" s="5" t="str">
        <f t="shared" si="42"/>
        <v>Analiza críticamente el cuento A la deriva mediante la identificación de información literal, inferencial y crítica, sustentando sus respuestas de forma oral y escrita.</v>
      </c>
      <c r="DV8" s="5" t="str">
        <f t="shared" si="42"/>
        <v>Valora la lectura literaria como una oportunidad para reflexionar sobre la vida, la naturaleza y la condición humana, participando con interés, respeto y sentido crítico en las actividades propuestas.</v>
      </c>
      <c r="DW8" s="5" t="str">
        <f t="shared" si="42"/>
        <v>Comprende y reconoce vocabulario y estructuras basicas del ingles para interpretar textos cortos y conversaciones sobre temas cotidianos de la vida diaria.</v>
      </c>
      <c r="DX8" s="5" t="str">
        <f t="shared" si="42"/>
        <v>Produce de forma oral y escrita frases y parrafos cortos en Ingles, utilizando correctamente las estructuras conocidas para describir rutinas, narrar experiencias y participar en conversaciones.</v>
      </c>
      <c r="DY8" s="5" t="str">
        <f t="shared" si="42"/>
        <v>Muestra disposicion positiva hacia el aprendizaje del Ingles participando activamente en clase.</v>
      </c>
      <c r="DZ8" s="5" t="str">
        <f t="shared" si="42"/>
        <v>Identifica vocabulario en Ingles  de situaciones cotidianas.</v>
      </c>
      <c r="EA8" s="5" t="str">
        <f t="shared" si="42"/>
        <v>Participa en actividades utilizando vocabulario aprendido para expresar gustos,emociones y necesidades.</v>
      </c>
      <c r="EB8" s="5" t="str">
        <f t="shared" si="42"/>
        <v>Respeta la opinion de los demas, muestra disposicion para participar en actividades orales.</v>
      </c>
      <c r="EC8" s="5" t="str">
        <f t="shared" si="42"/>
        <v>Identifica la conformación y funcionamiento del sistema inmunolófico y diferencia las característics de los estados de la materia.</v>
      </c>
      <c r="ED8" s="5" t="str">
        <f t="shared" si="42"/>
        <v>Reconoce experimentalmente las características de materiales en los diferentes estados de la materia.</v>
      </c>
      <c r="EE8" s="5" t="str">
        <f t="shared" si="42"/>
        <v xml:space="preserve">Valora la importancia de tener habitos saludables, para lograr el mantenimiento saludable del sistema inmune. </v>
      </c>
      <c r="EF8" s="5" t="str">
        <f t="shared" si="42"/>
        <v>Describe correctamente la secuencia de eventos biologicos de la fecundacion,incluyendo las recciones acrosomicas,la funcion de gametos y la formacion de gametos.</v>
      </c>
      <c r="EG8" s="5" t="str">
        <f t="shared" si="42"/>
        <v>Mide la capacidad del labolatrio para lograr la fecundacion exitosa de los ovulos con el espermatozoide.</v>
      </c>
      <c r="EH8" s="5" t="str">
        <f t="shared" si="42"/>
        <v>Valora la importancia del cuidado del cuerpo y de la salud reproductiva como la base para una fecundacion saludable.</v>
      </c>
      <c r="EI8" s="5" t="str">
        <f t="shared" si="42"/>
        <v>Explico las principales caracteristicas de algunas revoluciones de los siglos XVIII y XIX (Revolucion francesa, Industrial...)</v>
      </c>
      <c r="EJ8" s="5" t="str">
        <f t="shared" si="42"/>
        <v>Analiza las causas y consecuencias de procesos historicos como la Revolucion Industrial y Francesa.</v>
      </c>
      <c r="EK8" s="5" t="str">
        <f t="shared" si="42"/>
        <v>Muestra interes y curiosidad por comprender los procesos historicos y su impacto en la sociedad.</v>
      </c>
      <c r="EL8" s="5" t="str">
        <f t="shared" si="42"/>
        <v xml:space="preserve">Identifica los procesos historicos de algunas revoluciones de los siglos XVIII y XIX </v>
      </c>
      <c r="EM8" s="5">
        <f t="shared" si="42"/>
        <v>0</v>
      </c>
      <c r="EN8" s="5">
        <f t="shared" si="42"/>
        <v>0</v>
      </c>
      <c r="EO8" s="5" t="str">
        <f t="shared" si="42"/>
        <v xml:space="preserve">Comprende la distribucion espacial de la poblacion antes y despues de las revoluciones </v>
      </c>
      <c r="EP8" s="5" t="str">
        <f t="shared" si="42"/>
        <v xml:space="preserve">Ubica en mapas las regiones donde se desarrollaron las principales revoluciones y explica sus caracteristicas geograficas </v>
      </c>
      <c r="EQ8" s="5" t="str">
        <f t="shared" si="42"/>
        <v>Muestra interes por comprender la relacion entre sociedad, economia y territorio</v>
      </c>
      <c r="ER8" s="5" t="str">
        <f t="shared" si="42"/>
        <v>Comprende el concepto de cultura de paz y su importancia en la sociedad</v>
      </c>
      <c r="ES8" s="5" t="str">
        <f t="shared" si="42"/>
        <v>Practica normas de convivencia en diferentes espacios( aula, hogar, comunidad)</v>
      </c>
      <c r="ET8" s="5" t="str">
        <f t="shared" si="42"/>
        <v>Muestra actitud de respeto hacia la diversidad cuktural, social y de pensamiento</v>
      </c>
      <c r="EU8" s="5">
        <f t="shared" si="42"/>
        <v>0</v>
      </c>
      <c r="EV8" s="5">
        <f t="shared" si="42"/>
        <v>0</v>
      </c>
      <c r="EW8" s="5">
        <f t="shared" si="42"/>
        <v>0</v>
      </c>
      <c r="EX8" s="5">
        <f t="shared" si="42"/>
        <v>0</v>
      </c>
      <c r="EY8" s="5">
        <f t="shared" si="42"/>
        <v>0</v>
      </c>
      <c r="EZ8" s="5">
        <f t="shared" si="42"/>
        <v>0</v>
      </c>
      <c r="FA8" s="5">
        <f t="shared" si="42"/>
        <v>0</v>
      </c>
      <c r="FB8" s="5">
        <f t="shared" si="42"/>
        <v>0</v>
      </c>
      <c r="FC8" s="5">
        <f t="shared" si="42"/>
        <v>0</v>
      </c>
      <c r="FD8" s="5" t="str">
        <f t="shared" si="42"/>
        <v xml:space="preserve"> Identifica las expresiones motrices relacionadas con el juego del voleibol,  como una oportunidad para mejorar la salud, la estética y las relaciones con los demás.</v>
      </c>
      <c r="FE8" s="5" t="str">
        <f t="shared" si="42"/>
        <v>Pone en práctica los fundamentos básicos del voleibol.</v>
      </c>
      <c r="FF8" s="5" t="str">
        <f t="shared" si="42"/>
        <v>Muestra  responsabilidad y buena actitud al realizar el juego de voleibol.</v>
      </c>
      <c r="FG8" s="5" t="str">
        <f t="shared" si="42"/>
        <v>Comprende el concepto de variable como espacio de almacenamiento de datos y reconoce el uso de estructuras condicionales (si, si-no) para la toma de decisiones en un programa.</v>
      </c>
      <c r="FH8" s="5" t="str">
        <f t="shared" si="42"/>
        <v>Diseña y desarrolla programas que utilizan variables y estructuras condicionales para resolver problemas, evaluando condiciones y generando respuestas según diferentes situaciones.</v>
      </c>
      <c r="FI8" s="5" t="str">
        <f t="shared" si="42"/>
        <v>Muestra pensamiento lógico, perseverancia y actitud crítica al analizar errores y proponer soluciones en la construcción de programas con variables y condicionales.</v>
      </c>
      <c r="FJ8" s="5" t="str">
        <f t="shared" si="42"/>
        <v>Identifica y reconoce sus pricipales deberes y derechos dentro y fuera  de la Institución educativa.</v>
      </c>
    </row>
    <row r="9" spans="1:166">
      <c r="A9" s="5">
        <v>8</v>
      </c>
      <c r="B9" s="5" t="s">
        <v>142</v>
      </c>
      <c r="C9" s="6">
        <v>1140859613</v>
      </c>
      <c r="D9" s="5" t="s">
        <v>134</v>
      </c>
      <c r="E9" s="5" t="s">
        <v>135</v>
      </c>
      <c r="F9" s="5" t="s">
        <v>70</v>
      </c>
      <c r="G9" s="5" t="s">
        <v>71</v>
      </c>
      <c r="H9" s="5">
        <v>2026</v>
      </c>
      <c r="I9" s="5">
        <v>4</v>
      </c>
      <c r="J9" s="7">
        <v>3.6</v>
      </c>
      <c r="K9" s="7">
        <v>3.8</v>
      </c>
      <c r="L9" s="7">
        <v>4</v>
      </c>
      <c r="M9" s="5">
        <f t="shared" si="0"/>
        <v>3.8</v>
      </c>
      <c r="N9" s="5" t="str">
        <f t="shared" si="1"/>
        <v>BASICO</v>
      </c>
      <c r="O9" s="5">
        <v>1</v>
      </c>
      <c r="P9" s="7">
        <v>4.4000000000000004</v>
      </c>
      <c r="Q9" s="7">
        <v>4.4000000000000004</v>
      </c>
      <c r="R9" s="7">
        <v>4.4000000000000004</v>
      </c>
      <c r="S9" s="5">
        <f t="shared" si="2"/>
        <v>4.4000000000000004</v>
      </c>
      <c r="T9" s="5" t="str">
        <f t="shared" si="3"/>
        <v>ALTO</v>
      </c>
      <c r="U9" s="5">
        <v>4</v>
      </c>
      <c r="V9" s="7"/>
      <c r="W9" s="7"/>
      <c r="X9" s="7"/>
      <c r="Y9" s="5">
        <f t="shared" si="4"/>
        <v>0</v>
      </c>
      <c r="Z9" s="5" t="str">
        <f t="shared" si="5"/>
        <v>BAJO</v>
      </c>
      <c r="AA9" s="5">
        <v>1</v>
      </c>
      <c r="AB9" s="7">
        <v>4.8</v>
      </c>
      <c r="AC9" s="7">
        <v>4.8</v>
      </c>
      <c r="AD9" s="7">
        <v>4.8</v>
      </c>
      <c r="AE9" s="5">
        <f t="shared" si="6"/>
        <v>4.8</v>
      </c>
      <c r="AF9" s="5" t="str">
        <f t="shared" si="7"/>
        <v>SUPERIOR</v>
      </c>
      <c r="AG9" s="5">
        <v>2</v>
      </c>
      <c r="AH9" s="8">
        <v>4</v>
      </c>
      <c r="AI9" s="8">
        <v>4</v>
      </c>
      <c r="AJ9" s="8">
        <v>4</v>
      </c>
      <c r="AK9" s="5">
        <f t="shared" si="8"/>
        <v>4</v>
      </c>
      <c r="AL9" s="5" t="str">
        <f t="shared" si="9"/>
        <v>ALTO</v>
      </c>
      <c r="AM9" s="5">
        <v>1</v>
      </c>
      <c r="AN9" s="8">
        <v>4</v>
      </c>
      <c r="AO9" s="8">
        <v>4</v>
      </c>
      <c r="AP9" s="8">
        <v>4</v>
      </c>
      <c r="AQ9" s="5">
        <f t="shared" si="10"/>
        <v>4</v>
      </c>
      <c r="AR9" s="5" t="str">
        <f t="shared" si="11"/>
        <v>ALTO</v>
      </c>
      <c r="AS9" s="5">
        <v>4</v>
      </c>
      <c r="AT9" s="7">
        <v>4</v>
      </c>
      <c r="AU9" s="7">
        <v>4</v>
      </c>
      <c r="AV9" s="7">
        <v>4</v>
      </c>
      <c r="AW9" s="5">
        <f t="shared" si="34"/>
        <v>4</v>
      </c>
      <c r="AX9" s="5" t="str">
        <f t="shared" si="12"/>
        <v>ALTO</v>
      </c>
      <c r="AY9" s="5">
        <v>1</v>
      </c>
      <c r="AZ9" s="7">
        <v>3.8</v>
      </c>
      <c r="BA9" s="7">
        <v>3.5</v>
      </c>
      <c r="BB9" s="7">
        <v>3.5</v>
      </c>
      <c r="BC9" s="5">
        <f t="shared" si="13"/>
        <v>3.59</v>
      </c>
      <c r="BD9" s="5" t="str">
        <f t="shared" si="14"/>
        <v>BASICO</v>
      </c>
      <c r="BE9" s="7">
        <v>2</v>
      </c>
      <c r="BF9" s="7">
        <v>3.4</v>
      </c>
      <c r="BG9" s="7">
        <v>3.3</v>
      </c>
      <c r="BH9" s="7">
        <v>3.3</v>
      </c>
      <c r="BI9" s="5">
        <f t="shared" si="35"/>
        <v>3.3299999999999996</v>
      </c>
      <c r="BJ9" s="5" t="str">
        <f t="shared" si="15"/>
        <v>BASICO</v>
      </c>
      <c r="BK9" s="5">
        <v>1</v>
      </c>
      <c r="BL9" s="7">
        <v>3.5</v>
      </c>
      <c r="BM9" s="7">
        <v>3.4</v>
      </c>
      <c r="BN9" s="7">
        <v>3.3</v>
      </c>
      <c r="BO9" s="5">
        <f t="shared" si="16"/>
        <v>3.4</v>
      </c>
      <c r="BP9" s="5" t="str">
        <f t="shared" si="17"/>
        <v>BASICO</v>
      </c>
      <c r="BQ9" s="5">
        <v>1</v>
      </c>
      <c r="BR9" s="7">
        <v>3.3</v>
      </c>
      <c r="BS9" s="7">
        <v>3.4</v>
      </c>
      <c r="BT9" s="7">
        <v>3.5</v>
      </c>
      <c r="BU9" s="5">
        <f t="shared" si="18"/>
        <v>3.4000000000000004</v>
      </c>
      <c r="BV9" s="5" t="str">
        <f t="shared" si="19"/>
        <v>BASICO</v>
      </c>
      <c r="BW9" s="5">
        <v>1</v>
      </c>
      <c r="BX9" s="7">
        <v>3.3</v>
      </c>
      <c r="BY9" s="7">
        <v>3.5</v>
      </c>
      <c r="BZ9" s="7">
        <v>3.3</v>
      </c>
      <c r="CA9" s="5">
        <f t="shared" si="20"/>
        <v>3.38</v>
      </c>
      <c r="CB9" s="5" t="str">
        <f t="shared" si="21"/>
        <v>BASICO</v>
      </c>
      <c r="CC9" s="5">
        <v>1</v>
      </c>
      <c r="CD9" s="7">
        <v>4.2</v>
      </c>
      <c r="CE9" s="7">
        <v>4</v>
      </c>
      <c r="CF9" s="7">
        <v>4</v>
      </c>
      <c r="CG9" s="5">
        <f t="shared" si="22"/>
        <v>4.0600000000000005</v>
      </c>
      <c r="CH9" s="5" t="str">
        <f t="shared" si="23"/>
        <v>ALTO</v>
      </c>
      <c r="CI9" s="5">
        <v>1</v>
      </c>
      <c r="CJ9" s="7">
        <v>4.5</v>
      </c>
      <c r="CK9" s="7">
        <v>4.5</v>
      </c>
      <c r="CL9" s="7">
        <v>4.5</v>
      </c>
      <c r="CM9" s="5">
        <f t="shared" si="24"/>
        <v>4.5</v>
      </c>
      <c r="CN9" s="5" t="str">
        <f t="shared" si="25"/>
        <v>SUPERIOR</v>
      </c>
      <c r="CO9" s="5">
        <v>1</v>
      </c>
      <c r="CP9" s="7">
        <v>5</v>
      </c>
      <c r="CQ9" s="7">
        <v>5</v>
      </c>
      <c r="CR9" s="7">
        <v>5</v>
      </c>
      <c r="CS9" s="5">
        <f t="shared" si="26"/>
        <v>5</v>
      </c>
      <c r="CT9" s="5" t="str">
        <f t="shared" si="27"/>
        <v>SUPERIOR</v>
      </c>
      <c r="CU9" s="5">
        <v>2</v>
      </c>
      <c r="CV9" s="7">
        <v>4.5</v>
      </c>
      <c r="CW9" s="7">
        <v>4.5</v>
      </c>
      <c r="CX9" s="7">
        <v>4.5</v>
      </c>
      <c r="CY9" s="5">
        <f t="shared" si="28"/>
        <v>4.5</v>
      </c>
      <c r="CZ9" s="5" t="str">
        <f t="shared" si="29"/>
        <v>SUPERIOR</v>
      </c>
      <c r="DA9" s="5">
        <v>2</v>
      </c>
      <c r="DB9" s="7">
        <v>4.3</v>
      </c>
      <c r="DC9" s="7">
        <v>4.3</v>
      </c>
      <c r="DD9" s="7">
        <v>3.8</v>
      </c>
      <c r="DE9" s="5">
        <f t="shared" si="30"/>
        <v>4.1499999999999995</v>
      </c>
      <c r="DF9" s="5" t="str">
        <f t="shared" si="31"/>
        <v>ALTO</v>
      </c>
      <c r="DG9" s="5">
        <v>0</v>
      </c>
      <c r="DH9" s="7">
        <v>3.8</v>
      </c>
      <c r="DI9" s="5" t="str">
        <f t="shared" si="32"/>
        <v>BASICO</v>
      </c>
      <c r="DJ9" s="5">
        <f t="shared" si="33"/>
        <v>3.8064705882352938</v>
      </c>
      <c r="DK9" s="5" t="str">
        <f t="shared" si="36"/>
        <v>Comprende el concepto de números reales, su relación de orden y las propiedades de sus operaciones, así como las relaciones de semejanza y congruencia de distintas figuras geométricas.</v>
      </c>
      <c r="DL9" s="5" t="str">
        <f t="shared" ref="DL9:FJ9" si="43">DL8</f>
        <v>Aplica correctamente las propiedades de las operaciones de números reales y expresiones algebraicas en la resolución de problemas.</v>
      </c>
      <c r="DM9" s="5" t="str">
        <f t="shared" si="43"/>
        <v>Valora el uso del pensamiento lógico a la hora de plantear y resolver problemas de las matemáticas y de la vida cotidiana.</v>
      </c>
      <c r="DN9" s="5" t="str">
        <f t="shared" si="4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9" s="5" t="str">
        <f t="shared" si="43"/>
        <v>Organiza y analiza datos mediante la construcción de tablas de frecuencias y diagramas estadísticos, identificando variables aleatorias y utilizando estas representaciones para resolver situaciones problema.</v>
      </c>
      <c r="DP9" s="5" t="str">
        <f t="shared" si="43"/>
        <v>Muestra disposición y responsabilidad en el manejo y análisis de datos, participando activamente en actividades individuales y colaborativas, y comunicando información estadística con claridad y sentido crítico.</v>
      </c>
      <c r="DQ9" s="5" t="str">
        <f t="shared" si="43"/>
        <v>Analiza las características de la literatura prehispánica y la literatura del descubrimiento y la conquista en Colombia identificando sus elementos fundamentales y su impacto en la cultura y el lenguaje actual.</v>
      </c>
      <c r="DR9" s="5" t="str">
        <f t="shared" si="43"/>
        <v>Realiza comprensión lectora cuando analiza un texto desde el discurso de la Enunciación e identifica la función de cada uno de sus componentes.
Responde preguntas en los tres niveles de lectura a una leyenda del Caribe.</v>
      </c>
      <c r="DS9" s="5" t="str">
        <f t="shared" si="43"/>
        <v>Muestra disposición para participar activamente en las clases, promoviendo el respeto por las ideas ajenas y reconociendo la importancia de la precisión como una herramienta clave para una comunicación</v>
      </c>
      <c r="DT9" s="5" t="str">
        <f t="shared" si="43"/>
        <v>Comprende el contenido del cuento A la deriva, identificando su tema central, la secuencia de los hechos, los personajes y las ideas explícitas e implícitas del texto.</v>
      </c>
      <c r="DU9" s="5" t="str">
        <f t="shared" si="43"/>
        <v>Analiza críticamente el cuento A la deriva mediante la identificación de información literal, inferencial y crítica, sustentando sus respuestas de forma oral y escrita.</v>
      </c>
      <c r="DV9" s="5" t="str">
        <f t="shared" si="43"/>
        <v>Valora la lectura literaria como una oportunidad para reflexionar sobre la vida, la naturaleza y la condición humana, participando con interés, respeto y sentido crítico en las actividades propuestas.</v>
      </c>
      <c r="DW9" s="5" t="str">
        <f t="shared" si="43"/>
        <v>Comprende y reconoce vocabulario y estructuras basicas del ingles para interpretar textos cortos y conversaciones sobre temas cotidianos de la vida diaria.</v>
      </c>
      <c r="DX9" s="5" t="str">
        <f t="shared" si="43"/>
        <v>Produce de forma oral y escrita frases y parrafos cortos en Ingles, utilizando correctamente las estructuras conocidas para describir rutinas, narrar experiencias y participar en conversaciones.</v>
      </c>
      <c r="DY9" s="5" t="str">
        <f t="shared" si="43"/>
        <v>Muestra disposicion positiva hacia el aprendizaje del Ingles participando activamente en clase.</v>
      </c>
      <c r="DZ9" s="5" t="str">
        <f t="shared" si="43"/>
        <v>Identifica vocabulario en Ingles  de situaciones cotidianas.</v>
      </c>
      <c r="EA9" s="5" t="str">
        <f t="shared" si="43"/>
        <v>Participa en actividades utilizando vocabulario aprendido para expresar gustos,emociones y necesidades.</v>
      </c>
      <c r="EB9" s="5" t="str">
        <f t="shared" si="43"/>
        <v>Respeta la opinion de los demas, muestra disposicion para participar en actividades orales.</v>
      </c>
      <c r="EC9" s="5" t="str">
        <f t="shared" si="43"/>
        <v>Identifica la conformación y funcionamiento del sistema inmunolófico y diferencia las característics de los estados de la materia.</v>
      </c>
      <c r="ED9" s="5" t="str">
        <f t="shared" si="43"/>
        <v>Reconoce experimentalmente las características de materiales en los diferentes estados de la materia.</v>
      </c>
      <c r="EE9" s="5" t="str">
        <f t="shared" si="43"/>
        <v xml:space="preserve">Valora la importancia de tener habitos saludables, para lograr el mantenimiento saludable del sistema inmune. </v>
      </c>
      <c r="EF9" s="5" t="str">
        <f t="shared" si="43"/>
        <v>Describe correctamente la secuencia de eventos biologicos de la fecundacion,incluyendo las recciones acrosomicas,la funcion de gametos y la formacion de gametos.</v>
      </c>
      <c r="EG9" s="5" t="str">
        <f t="shared" si="43"/>
        <v>Mide la capacidad del labolatrio para lograr la fecundacion exitosa de los ovulos con el espermatozoide.</v>
      </c>
      <c r="EH9" s="5" t="str">
        <f t="shared" si="43"/>
        <v>Valora la importancia del cuidado del cuerpo y de la salud reproductiva como la base para una fecundacion saludable.</v>
      </c>
      <c r="EI9" s="5" t="str">
        <f t="shared" si="43"/>
        <v>Explico las principales caracteristicas de algunas revoluciones de los siglos XVIII y XIX (Revolucion francesa, Industrial...)</v>
      </c>
      <c r="EJ9" s="5" t="str">
        <f t="shared" si="43"/>
        <v>Analiza las causas y consecuencias de procesos historicos como la Revolucion Industrial y Francesa.</v>
      </c>
      <c r="EK9" s="5" t="str">
        <f t="shared" si="43"/>
        <v>Muestra interes y curiosidad por comprender los procesos historicos y su impacto en la sociedad.</v>
      </c>
      <c r="EL9" s="5" t="str">
        <f t="shared" si="43"/>
        <v xml:space="preserve">Identifica los procesos historicos de algunas revoluciones de los siglos XVIII y XIX </v>
      </c>
      <c r="EM9" s="5">
        <f t="shared" si="43"/>
        <v>0</v>
      </c>
      <c r="EN9" s="5">
        <f t="shared" si="43"/>
        <v>0</v>
      </c>
      <c r="EO9" s="5" t="str">
        <f t="shared" si="43"/>
        <v xml:space="preserve">Comprende la distribucion espacial de la poblacion antes y despues de las revoluciones </v>
      </c>
      <c r="EP9" s="5" t="str">
        <f t="shared" si="43"/>
        <v xml:space="preserve">Ubica en mapas las regiones donde se desarrollaron las principales revoluciones y explica sus caracteristicas geograficas </v>
      </c>
      <c r="EQ9" s="5" t="str">
        <f t="shared" si="43"/>
        <v>Muestra interes por comprender la relacion entre sociedad, economia y territorio</v>
      </c>
      <c r="ER9" s="5" t="str">
        <f t="shared" si="43"/>
        <v>Comprende el concepto de cultura de paz y su importancia en la sociedad</v>
      </c>
      <c r="ES9" s="5" t="str">
        <f t="shared" si="43"/>
        <v>Practica normas de convivencia en diferentes espacios( aula, hogar, comunidad)</v>
      </c>
      <c r="ET9" s="5" t="str">
        <f t="shared" si="43"/>
        <v>Muestra actitud de respeto hacia la diversidad cuktural, social y de pensamiento</v>
      </c>
      <c r="EU9" s="5">
        <f t="shared" si="43"/>
        <v>0</v>
      </c>
      <c r="EV9" s="5">
        <f t="shared" si="43"/>
        <v>0</v>
      </c>
      <c r="EW9" s="5">
        <f t="shared" si="43"/>
        <v>0</v>
      </c>
      <c r="EX9" s="5">
        <f t="shared" si="43"/>
        <v>0</v>
      </c>
      <c r="EY9" s="5">
        <f t="shared" si="43"/>
        <v>0</v>
      </c>
      <c r="EZ9" s="5">
        <f t="shared" si="43"/>
        <v>0</v>
      </c>
      <c r="FA9" s="5">
        <f t="shared" si="43"/>
        <v>0</v>
      </c>
      <c r="FB9" s="5">
        <f t="shared" si="43"/>
        <v>0</v>
      </c>
      <c r="FC9" s="5">
        <f t="shared" si="43"/>
        <v>0</v>
      </c>
      <c r="FD9" s="5" t="str">
        <f t="shared" si="43"/>
        <v xml:space="preserve"> Identifica las expresiones motrices relacionadas con el juego del voleibol,  como una oportunidad para mejorar la salud, la estética y las relaciones con los demás.</v>
      </c>
      <c r="FE9" s="5" t="str">
        <f t="shared" si="43"/>
        <v>Pone en práctica los fundamentos básicos del voleibol.</v>
      </c>
      <c r="FF9" s="5" t="str">
        <f t="shared" si="43"/>
        <v>Muestra  responsabilidad y buena actitud al realizar el juego de voleibol.</v>
      </c>
      <c r="FG9" s="5" t="str">
        <f t="shared" si="43"/>
        <v>Comprende el concepto de variable como espacio de almacenamiento de datos y reconoce el uso de estructuras condicionales (si, si-no) para la toma de decisiones en un programa.</v>
      </c>
      <c r="FH9" s="5" t="str">
        <f t="shared" si="43"/>
        <v>Diseña y desarrolla programas que utilizan variables y estructuras condicionales para resolver problemas, evaluando condiciones y generando respuestas según diferentes situaciones.</v>
      </c>
      <c r="FI9" s="5" t="str">
        <f t="shared" si="43"/>
        <v>Muestra pensamiento lógico, perseverancia y actitud crítica al analizar errores y proponer soluciones en la construcción de programas con variables y condicionales.</v>
      </c>
      <c r="FJ9" s="5" t="str">
        <f t="shared" si="43"/>
        <v>Identifica y reconoce sus pricipales deberes y derechos dentro y fuera  de la Institución educativa.</v>
      </c>
    </row>
    <row r="10" spans="1:166">
      <c r="A10" s="5">
        <v>9</v>
      </c>
      <c r="B10" s="5" t="s">
        <v>143</v>
      </c>
      <c r="C10" s="6">
        <v>1044647636</v>
      </c>
      <c r="D10" s="5" t="s">
        <v>134</v>
      </c>
      <c r="E10" s="5" t="s">
        <v>135</v>
      </c>
      <c r="F10" s="5" t="s">
        <v>70</v>
      </c>
      <c r="G10" s="5" t="s">
        <v>71</v>
      </c>
      <c r="H10" s="5">
        <v>2026</v>
      </c>
      <c r="I10" s="5">
        <v>4</v>
      </c>
      <c r="J10" s="7">
        <v>3</v>
      </c>
      <c r="K10" s="7">
        <v>3.2</v>
      </c>
      <c r="L10" s="7">
        <v>3.4</v>
      </c>
      <c r="M10" s="5">
        <f t="shared" si="0"/>
        <v>3.2</v>
      </c>
      <c r="N10" s="5" t="str">
        <f t="shared" si="1"/>
        <v>BASICO</v>
      </c>
      <c r="O10" s="5">
        <v>1</v>
      </c>
      <c r="P10" s="7">
        <v>3</v>
      </c>
      <c r="Q10" s="7">
        <v>3</v>
      </c>
      <c r="R10" s="7">
        <v>3</v>
      </c>
      <c r="S10" s="5">
        <f t="shared" si="2"/>
        <v>3</v>
      </c>
      <c r="T10" s="5" t="str">
        <f t="shared" si="3"/>
        <v>BASICO</v>
      </c>
      <c r="U10" s="5">
        <v>4</v>
      </c>
      <c r="V10" s="7"/>
      <c r="W10" s="7"/>
      <c r="X10" s="7"/>
      <c r="Y10" s="5">
        <f t="shared" si="4"/>
        <v>0</v>
      </c>
      <c r="Z10" s="5" t="str">
        <f t="shared" si="5"/>
        <v>BAJO</v>
      </c>
      <c r="AA10" s="5">
        <v>1</v>
      </c>
      <c r="AB10" s="7">
        <v>3.5</v>
      </c>
      <c r="AC10" s="7">
        <v>3.5</v>
      </c>
      <c r="AD10" s="7">
        <v>3.5</v>
      </c>
      <c r="AE10" s="5">
        <f t="shared" si="6"/>
        <v>3.5</v>
      </c>
      <c r="AF10" s="5" t="str">
        <f t="shared" si="7"/>
        <v>BASICO</v>
      </c>
      <c r="AG10" s="5">
        <v>2</v>
      </c>
      <c r="AH10" s="8">
        <v>3.8</v>
      </c>
      <c r="AI10" s="8">
        <v>3.8</v>
      </c>
      <c r="AJ10" s="8">
        <v>3.8</v>
      </c>
      <c r="AK10" s="5">
        <f t="shared" si="8"/>
        <v>3.8</v>
      </c>
      <c r="AL10" s="5" t="str">
        <f t="shared" si="9"/>
        <v>BASICO</v>
      </c>
      <c r="AM10" s="5">
        <v>1</v>
      </c>
      <c r="AN10" s="8">
        <v>3.8</v>
      </c>
      <c r="AO10" s="8">
        <v>3.8</v>
      </c>
      <c r="AP10" s="8">
        <v>3.8</v>
      </c>
      <c r="AQ10" s="5">
        <f t="shared" si="10"/>
        <v>3.8</v>
      </c>
      <c r="AR10" s="5" t="str">
        <f t="shared" si="11"/>
        <v>BASICO</v>
      </c>
      <c r="AS10" s="5">
        <v>4</v>
      </c>
      <c r="AT10" s="7">
        <v>3.5</v>
      </c>
      <c r="AU10" s="7">
        <v>3.5</v>
      </c>
      <c r="AV10" s="7">
        <v>3.5</v>
      </c>
      <c r="AW10" s="5">
        <f t="shared" si="34"/>
        <v>3.5</v>
      </c>
      <c r="AX10" s="5" t="str">
        <f t="shared" si="12"/>
        <v>BASICO</v>
      </c>
      <c r="AY10" s="5">
        <v>1</v>
      </c>
      <c r="AZ10" s="7">
        <v>4</v>
      </c>
      <c r="BA10" s="7">
        <v>4</v>
      </c>
      <c r="BB10" s="7">
        <v>4</v>
      </c>
      <c r="BC10" s="5">
        <f t="shared" si="13"/>
        <v>4</v>
      </c>
      <c r="BD10" s="5" t="str">
        <f t="shared" si="14"/>
        <v>ALTO</v>
      </c>
      <c r="BE10" s="7">
        <v>2</v>
      </c>
      <c r="BF10" s="7">
        <v>3.4</v>
      </c>
      <c r="BG10" s="7">
        <v>3.3</v>
      </c>
      <c r="BH10" s="7">
        <v>3.2</v>
      </c>
      <c r="BI10" s="5">
        <f t="shared" si="35"/>
        <v>3.3</v>
      </c>
      <c r="BJ10" s="5" t="str">
        <f t="shared" si="15"/>
        <v>BASICO</v>
      </c>
      <c r="BK10" s="5">
        <v>1</v>
      </c>
      <c r="BL10" s="7">
        <v>3.2</v>
      </c>
      <c r="BM10" s="7">
        <v>3</v>
      </c>
      <c r="BN10" s="7">
        <v>3.4</v>
      </c>
      <c r="BO10" s="5">
        <f t="shared" si="16"/>
        <v>3.18</v>
      </c>
      <c r="BP10" s="5" t="str">
        <f t="shared" si="17"/>
        <v>BASICO</v>
      </c>
      <c r="BQ10" s="5">
        <v>1</v>
      </c>
      <c r="BR10" s="7">
        <v>3.3</v>
      </c>
      <c r="BS10" s="7">
        <v>3.2</v>
      </c>
      <c r="BT10" s="7">
        <v>3.4</v>
      </c>
      <c r="BU10" s="5">
        <f t="shared" si="18"/>
        <v>3.29</v>
      </c>
      <c r="BV10" s="5" t="str">
        <f t="shared" si="19"/>
        <v>BASICO</v>
      </c>
      <c r="BW10" s="5">
        <v>1</v>
      </c>
      <c r="BX10" s="7">
        <v>3.3</v>
      </c>
      <c r="BY10" s="7">
        <v>3.2</v>
      </c>
      <c r="BZ10" s="7">
        <v>3.4</v>
      </c>
      <c r="CA10" s="5">
        <f t="shared" si="20"/>
        <v>3.29</v>
      </c>
      <c r="CB10" s="5" t="str">
        <f t="shared" si="21"/>
        <v>BASICO</v>
      </c>
      <c r="CC10" s="5">
        <v>1</v>
      </c>
      <c r="CD10" s="7">
        <v>3.8</v>
      </c>
      <c r="CE10" s="7">
        <v>3.7</v>
      </c>
      <c r="CF10" s="7">
        <v>3.7</v>
      </c>
      <c r="CG10" s="5">
        <f t="shared" si="22"/>
        <v>3.7300000000000004</v>
      </c>
      <c r="CH10" s="5" t="str">
        <f t="shared" si="23"/>
        <v>BASICO</v>
      </c>
      <c r="CI10" s="5">
        <v>1</v>
      </c>
      <c r="CJ10" s="7">
        <v>4.5</v>
      </c>
      <c r="CK10" s="7">
        <v>4.5</v>
      </c>
      <c r="CL10" s="7">
        <v>4.5</v>
      </c>
      <c r="CM10" s="5">
        <f t="shared" si="24"/>
        <v>4.5</v>
      </c>
      <c r="CN10" s="5" t="str">
        <f t="shared" si="25"/>
        <v>SUPERIOR</v>
      </c>
      <c r="CO10" s="5">
        <v>1</v>
      </c>
      <c r="CP10" s="7">
        <v>5</v>
      </c>
      <c r="CQ10" s="7">
        <v>5</v>
      </c>
      <c r="CR10" s="7">
        <v>5</v>
      </c>
      <c r="CS10" s="5">
        <f t="shared" si="26"/>
        <v>5</v>
      </c>
      <c r="CT10" s="5" t="str">
        <f t="shared" si="27"/>
        <v>SUPERIOR</v>
      </c>
      <c r="CU10" s="5">
        <v>2</v>
      </c>
      <c r="CV10" s="7">
        <v>3</v>
      </c>
      <c r="CW10" s="7">
        <v>3</v>
      </c>
      <c r="CX10" s="7">
        <v>3</v>
      </c>
      <c r="CY10" s="5">
        <f t="shared" si="28"/>
        <v>3</v>
      </c>
      <c r="CZ10" s="5" t="str">
        <f t="shared" si="29"/>
        <v>BASICO</v>
      </c>
      <c r="DA10" s="5">
        <v>2</v>
      </c>
      <c r="DB10" s="7">
        <v>3.5</v>
      </c>
      <c r="DC10" s="7">
        <v>3.5</v>
      </c>
      <c r="DD10" s="7">
        <v>4</v>
      </c>
      <c r="DE10" s="5">
        <f t="shared" si="30"/>
        <v>3.6500000000000004</v>
      </c>
      <c r="DF10" s="5" t="str">
        <f t="shared" si="31"/>
        <v>BASICO</v>
      </c>
      <c r="DG10" s="5">
        <v>0</v>
      </c>
      <c r="DH10" s="7">
        <v>4</v>
      </c>
      <c r="DI10" s="5" t="str">
        <f t="shared" si="32"/>
        <v>ALTO</v>
      </c>
      <c r="DJ10" s="5">
        <f t="shared" si="33"/>
        <v>3.4382352941176473</v>
      </c>
      <c r="DK10" s="5" t="str">
        <f t="shared" si="36"/>
        <v>Comprende el concepto de números reales, su relación de orden y las propiedades de sus operaciones, así como las relaciones de semejanza y congruencia de distintas figuras geométricas.</v>
      </c>
      <c r="DL10" s="5" t="str">
        <f t="shared" ref="DL10:FJ10" si="44">DL9</f>
        <v>Aplica correctamente las propiedades de las operaciones de números reales y expresiones algebraicas en la resolución de problemas.</v>
      </c>
      <c r="DM10" s="5" t="str">
        <f t="shared" si="44"/>
        <v>Valora el uso del pensamiento lógico a la hora de plantear y resolver problemas de las matemáticas y de la vida cotidiana.</v>
      </c>
      <c r="DN10" s="5" t="str">
        <f t="shared" si="4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0" s="5" t="str">
        <f t="shared" si="44"/>
        <v>Organiza y analiza datos mediante la construcción de tablas de frecuencias y diagramas estadísticos, identificando variables aleatorias y utilizando estas representaciones para resolver situaciones problema.</v>
      </c>
      <c r="DP10" s="5" t="str">
        <f t="shared" si="44"/>
        <v>Muestra disposición y responsabilidad en el manejo y análisis de datos, participando activamente en actividades individuales y colaborativas, y comunicando información estadística con claridad y sentido crítico.</v>
      </c>
      <c r="DQ10" s="5" t="str">
        <f t="shared" si="44"/>
        <v>Analiza las características de la literatura prehispánica y la literatura del descubrimiento y la conquista en Colombia identificando sus elementos fundamentales y su impacto en la cultura y el lenguaje actual.</v>
      </c>
      <c r="DR10" s="5" t="str">
        <f t="shared" si="44"/>
        <v>Realiza comprensión lectora cuando analiza un texto desde el discurso de la Enunciación e identifica la función de cada uno de sus componentes.
Responde preguntas en los tres niveles de lectura a una leyenda del Caribe.</v>
      </c>
      <c r="DS10" s="5" t="str">
        <f t="shared" si="44"/>
        <v>Muestra disposición para participar activamente en las clases, promoviendo el respeto por las ideas ajenas y reconociendo la importancia de la precisión como una herramienta clave para una comunicación</v>
      </c>
      <c r="DT10" s="5" t="str">
        <f t="shared" si="44"/>
        <v>Comprende el contenido del cuento A la deriva, identificando su tema central, la secuencia de los hechos, los personajes y las ideas explícitas e implícitas del texto.</v>
      </c>
      <c r="DU10" s="5" t="str">
        <f t="shared" si="44"/>
        <v>Analiza críticamente el cuento A la deriva mediante la identificación de información literal, inferencial y crítica, sustentando sus respuestas de forma oral y escrita.</v>
      </c>
      <c r="DV10" s="5" t="str">
        <f t="shared" si="44"/>
        <v>Valora la lectura literaria como una oportunidad para reflexionar sobre la vida, la naturaleza y la condición humana, participando con interés, respeto y sentido crítico en las actividades propuestas.</v>
      </c>
      <c r="DW10" s="5" t="str">
        <f t="shared" si="44"/>
        <v>Comprende y reconoce vocabulario y estructuras basicas del ingles para interpretar textos cortos y conversaciones sobre temas cotidianos de la vida diaria.</v>
      </c>
      <c r="DX10" s="5" t="str">
        <f t="shared" si="44"/>
        <v>Produce de forma oral y escrita frases y parrafos cortos en Ingles, utilizando correctamente las estructuras conocidas para describir rutinas, narrar experiencias y participar en conversaciones.</v>
      </c>
      <c r="DY10" s="5" t="str">
        <f t="shared" si="44"/>
        <v>Muestra disposicion positiva hacia el aprendizaje del Ingles participando activamente en clase.</v>
      </c>
      <c r="DZ10" s="5" t="str">
        <f t="shared" si="44"/>
        <v>Identifica vocabulario en Ingles  de situaciones cotidianas.</v>
      </c>
      <c r="EA10" s="5" t="str">
        <f t="shared" si="44"/>
        <v>Participa en actividades utilizando vocabulario aprendido para expresar gustos,emociones y necesidades.</v>
      </c>
      <c r="EB10" s="5" t="str">
        <f t="shared" si="44"/>
        <v>Respeta la opinion de los demas, muestra disposicion para participar en actividades orales.</v>
      </c>
      <c r="EC10" s="5" t="str">
        <f t="shared" si="44"/>
        <v>Identifica la conformación y funcionamiento del sistema inmunolófico y diferencia las característics de los estados de la materia.</v>
      </c>
      <c r="ED10" s="5" t="str">
        <f t="shared" si="44"/>
        <v>Reconoce experimentalmente las características de materiales en los diferentes estados de la materia.</v>
      </c>
      <c r="EE10" s="5" t="str">
        <f t="shared" si="44"/>
        <v xml:space="preserve">Valora la importancia de tener habitos saludables, para lograr el mantenimiento saludable del sistema inmune. </v>
      </c>
      <c r="EF10" s="5" t="str">
        <f t="shared" si="44"/>
        <v>Describe correctamente la secuencia de eventos biologicos de la fecundacion,incluyendo las recciones acrosomicas,la funcion de gametos y la formacion de gametos.</v>
      </c>
      <c r="EG10" s="5" t="str">
        <f t="shared" si="44"/>
        <v>Mide la capacidad del labolatrio para lograr la fecundacion exitosa de los ovulos con el espermatozoide.</v>
      </c>
      <c r="EH10" s="5" t="str">
        <f t="shared" si="44"/>
        <v>Valora la importancia del cuidado del cuerpo y de la salud reproductiva como la base para una fecundacion saludable.</v>
      </c>
      <c r="EI10" s="5" t="str">
        <f t="shared" si="44"/>
        <v>Explico las principales caracteristicas de algunas revoluciones de los siglos XVIII y XIX (Revolucion francesa, Industrial...)</v>
      </c>
      <c r="EJ10" s="5" t="str">
        <f t="shared" si="44"/>
        <v>Analiza las causas y consecuencias de procesos historicos como la Revolucion Industrial y Francesa.</v>
      </c>
      <c r="EK10" s="5" t="str">
        <f t="shared" si="44"/>
        <v>Muestra interes y curiosidad por comprender los procesos historicos y su impacto en la sociedad.</v>
      </c>
      <c r="EL10" s="5" t="str">
        <f t="shared" si="44"/>
        <v xml:space="preserve">Identifica los procesos historicos de algunas revoluciones de los siglos XVIII y XIX </v>
      </c>
      <c r="EM10" s="5">
        <f t="shared" si="44"/>
        <v>0</v>
      </c>
      <c r="EN10" s="5">
        <f t="shared" si="44"/>
        <v>0</v>
      </c>
      <c r="EO10" s="5" t="str">
        <f t="shared" si="44"/>
        <v xml:space="preserve">Comprende la distribucion espacial de la poblacion antes y despues de las revoluciones </v>
      </c>
      <c r="EP10" s="5" t="str">
        <f t="shared" si="44"/>
        <v xml:space="preserve">Ubica en mapas las regiones donde se desarrollaron las principales revoluciones y explica sus caracteristicas geograficas </v>
      </c>
      <c r="EQ10" s="5" t="str">
        <f t="shared" si="44"/>
        <v>Muestra interes por comprender la relacion entre sociedad, economia y territorio</v>
      </c>
      <c r="ER10" s="5" t="str">
        <f t="shared" si="44"/>
        <v>Comprende el concepto de cultura de paz y su importancia en la sociedad</v>
      </c>
      <c r="ES10" s="5" t="str">
        <f t="shared" si="44"/>
        <v>Practica normas de convivencia en diferentes espacios( aula, hogar, comunidad)</v>
      </c>
      <c r="ET10" s="5" t="str">
        <f t="shared" si="44"/>
        <v>Muestra actitud de respeto hacia la diversidad cuktural, social y de pensamiento</v>
      </c>
      <c r="EU10" s="5">
        <f t="shared" si="44"/>
        <v>0</v>
      </c>
      <c r="EV10" s="5">
        <f t="shared" si="44"/>
        <v>0</v>
      </c>
      <c r="EW10" s="5">
        <f t="shared" si="44"/>
        <v>0</v>
      </c>
      <c r="EX10" s="5">
        <f t="shared" si="44"/>
        <v>0</v>
      </c>
      <c r="EY10" s="5">
        <f t="shared" si="44"/>
        <v>0</v>
      </c>
      <c r="EZ10" s="5">
        <f t="shared" si="44"/>
        <v>0</v>
      </c>
      <c r="FA10" s="5">
        <f t="shared" si="44"/>
        <v>0</v>
      </c>
      <c r="FB10" s="5">
        <f t="shared" si="44"/>
        <v>0</v>
      </c>
      <c r="FC10" s="5">
        <f t="shared" si="44"/>
        <v>0</v>
      </c>
      <c r="FD10" s="5" t="str">
        <f t="shared" si="44"/>
        <v xml:space="preserve"> Identifica las expresiones motrices relacionadas con el juego del voleibol,  como una oportunidad para mejorar la salud, la estética y las relaciones con los demás.</v>
      </c>
      <c r="FE10" s="5" t="str">
        <f t="shared" si="44"/>
        <v>Pone en práctica los fundamentos básicos del voleibol.</v>
      </c>
      <c r="FF10" s="5" t="str">
        <f t="shared" si="44"/>
        <v>Muestra  responsabilidad y buena actitud al realizar el juego de voleibol.</v>
      </c>
      <c r="FG10" s="5" t="str">
        <f t="shared" si="44"/>
        <v>Comprende el concepto de variable como espacio de almacenamiento de datos y reconoce el uso de estructuras condicionales (si, si-no) para la toma de decisiones en un programa.</v>
      </c>
      <c r="FH10" s="5" t="str">
        <f t="shared" si="44"/>
        <v>Diseña y desarrolla programas que utilizan variables y estructuras condicionales para resolver problemas, evaluando condiciones y generando respuestas según diferentes situaciones.</v>
      </c>
      <c r="FI10" s="5" t="str">
        <f t="shared" si="44"/>
        <v>Muestra pensamiento lógico, perseverancia y actitud crítica al analizar errores y proponer soluciones en la construcción de programas con variables y condicionales.</v>
      </c>
      <c r="FJ10" s="5" t="str">
        <f t="shared" si="44"/>
        <v>Identifica y reconoce sus pricipales deberes y derechos dentro y fuera  de la Institución educativa.</v>
      </c>
    </row>
    <row r="11" spans="1:166">
      <c r="A11" s="5">
        <v>10</v>
      </c>
      <c r="B11" s="5" t="s">
        <v>144</v>
      </c>
      <c r="C11" s="6">
        <v>1046715631</v>
      </c>
      <c r="D11" s="5" t="s">
        <v>134</v>
      </c>
      <c r="E11" s="5" t="s">
        <v>135</v>
      </c>
      <c r="F11" s="5" t="s">
        <v>70</v>
      </c>
      <c r="G11" s="5" t="s">
        <v>71</v>
      </c>
      <c r="H11" s="5">
        <v>2026</v>
      </c>
      <c r="I11" s="5">
        <v>4</v>
      </c>
      <c r="J11" s="7">
        <v>3</v>
      </c>
      <c r="K11" s="7">
        <v>3</v>
      </c>
      <c r="L11" s="7">
        <v>3</v>
      </c>
      <c r="M11" s="5">
        <f t="shared" si="0"/>
        <v>3</v>
      </c>
      <c r="N11" s="5" t="str">
        <f t="shared" si="1"/>
        <v>BASICO</v>
      </c>
      <c r="O11" s="5">
        <v>1</v>
      </c>
      <c r="P11" s="7">
        <v>3.6</v>
      </c>
      <c r="Q11" s="7">
        <v>3.6</v>
      </c>
      <c r="R11" s="7">
        <v>3.6</v>
      </c>
      <c r="S11" s="5">
        <f t="shared" si="2"/>
        <v>3.6000000000000005</v>
      </c>
      <c r="T11" s="5" t="str">
        <f t="shared" si="3"/>
        <v>BASICO</v>
      </c>
      <c r="U11" s="5">
        <v>4</v>
      </c>
      <c r="V11" s="7"/>
      <c r="W11" s="7"/>
      <c r="X11" s="7"/>
      <c r="Y11" s="5">
        <f t="shared" si="4"/>
        <v>0</v>
      </c>
      <c r="Z11" s="5" t="str">
        <f t="shared" si="5"/>
        <v>BAJO</v>
      </c>
      <c r="AA11" s="5">
        <v>1</v>
      </c>
      <c r="AB11" s="7">
        <v>3.6</v>
      </c>
      <c r="AC11" s="7">
        <v>3.6</v>
      </c>
      <c r="AD11" s="7">
        <v>3.6</v>
      </c>
      <c r="AE11" s="5">
        <f t="shared" si="6"/>
        <v>3.6000000000000005</v>
      </c>
      <c r="AF11" s="5" t="str">
        <f t="shared" si="7"/>
        <v>BASICO</v>
      </c>
      <c r="AG11" s="5">
        <v>2</v>
      </c>
      <c r="AH11" s="8">
        <v>4</v>
      </c>
      <c r="AI11" s="8">
        <v>4</v>
      </c>
      <c r="AJ11" s="8">
        <v>4</v>
      </c>
      <c r="AK11" s="5">
        <f t="shared" si="8"/>
        <v>4</v>
      </c>
      <c r="AL11" s="5" t="str">
        <f t="shared" si="9"/>
        <v>ALTO</v>
      </c>
      <c r="AM11" s="5">
        <v>1</v>
      </c>
      <c r="AN11" s="8">
        <v>4</v>
      </c>
      <c r="AO11" s="8">
        <v>4</v>
      </c>
      <c r="AP11" s="8">
        <v>4</v>
      </c>
      <c r="AQ11" s="5">
        <f t="shared" si="10"/>
        <v>4</v>
      </c>
      <c r="AR11" s="5" t="str">
        <f t="shared" si="11"/>
        <v>ALTO</v>
      </c>
      <c r="AS11" s="5">
        <v>4</v>
      </c>
      <c r="AT11" s="7">
        <v>3.8</v>
      </c>
      <c r="AU11" s="7">
        <v>3.8</v>
      </c>
      <c r="AV11" s="7">
        <v>3.8</v>
      </c>
      <c r="AW11" s="5">
        <f t="shared" si="34"/>
        <v>3.8</v>
      </c>
      <c r="AX11" s="5" t="str">
        <f t="shared" si="12"/>
        <v>BASICO</v>
      </c>
      <c r="AY11" s="5">
        <v>1</v>
      </c>
      <c r="AZ11" s="7">
        <v>3.4</v>
      </c>
      <c r="BA11" s="7">
        <v>3.4</v>
      </c>
      <c r="BB11" s="7">
        <v>3.2</v>
      </c>
      <c r="BC11" s="5">
        <f t="shared" si="13"/>
        <v>3.34</v>
      </c>
      <c r="BD11" s="5" t="str">
        <f t="shared" si="14"/>
        <v>BASICO</v>
      </c>
      <c r="BE11" s="7">
        <v>2</v>
      </c>
      <c r="BF11" s="7">
        <v>4</v>
      </c>
      <c r="BG11" s="7">
        <v>3.2</v>
      </c>
      <c r="BH11" s="7">
        <v>3.5</v>
      </c>
      <c r="BI11" s="5">
        <f t="shared" si="35"/>
        <v>3.5300000000000002</v>
      </c>
      <c r="BJ11" s="5" t="str">
        <f t="shared" si="15"/>
        <v>BASICO</v>
      </c>
      <c r="BK11" s="5">
        <v>1</v>
      </c>
      <c r="BL11" s="7">
        <v>3.3</v>
      </c>
      <c r="BM11" s="7">
        <v>3</v>
      </c>
      <c r="BN11" s="7">
        <v>3.6</v>
      </c>
      <c r="BO11" s="5">
        <f t="shared" si="16"/>
        <v>3.27</v>
      </c>
      <c r="BP11" s="5" t="str">
        <f t="shared" si="17"/>
        <v>BASICO</v>
      </c>
      <c r="BQ11" s="5">
        <v>1</v>
      </c>
      <c r="BR11" s="7">
        <v>3.3</v>
      </c>
      <c r="BS11" s="7">
        <v>3.2</v>
      </c>
      <c r="BT11" s="7">
        <v>4</v>
      </c>
      <c r="BU11" s="5">
        <f t="shared" si="18"/>
        <v>3.4699999999999998</v>
      </c>
      <c r="BV11" s="5" t="str">
        <f t="shared" si="19"/>
        <v>BASICO</v>
      </c>
      <c r="BW11" s="5">
        <v>1</v>
      </c>
      <c r="BX11" s="7">
        <v>3.3</v>
      </c>
      <c r="BY11" s="7">
        <v>3.5</v>
      </c>
      <c r="BZ11" s="22">
        <v>46176</v>
      </c>
      <c r="CA11" s="23">
        <f t="shared" si="20"/>
        <v>13855.189999999999</v>
      </c>
      <c r="CB11" s="5" t="b">
        <f t="shared" si="21"/>
        <v>0</v>
      </c>
      <c r="CC11" s="5">
        <v>1</v>
      </c>
      <c r="CD11" s="7">
        <v>4</v>
      </c>
      <c r="CE11" s="7">
        <v>3.9</v>
      </c>
      <c r="CF11" s="7">
        <v>3.9</v>
      </c>
      <c r="CG11" s="5">
        <f t="shared" si="22"/>
        <v>3.9299999999999997</v>
      </c>
      <c r="CH11" s="5" t="str">
        <f t="shared" si="23"/>
        <v>BASICO</v>
      </c>
      <c r="CI11" s="5">
        <v>1</v>
      </c>
      <c r="CJ11" s="7">
        <v>4.5999999999999996</v>
      </c>
      <c r="CK11" s="7">
        <v>4.5</v>
      </c>
      <c r="CL11" s="7">
        <v>4.5</v>
      </c>
      <c r="CM11" s="5">
        <f t="shared" si="24"/>
        <v>4.5299999999999994</v>
      </c>
      <c r="CN11" s="5" t="str">
        <f t="shared" si="25"/>
        <v>SUPERIOR</v>
      </c>
      <c r="CO11" s="5">
        <v>1</v>
      </c>
      <c r="CP11" s="7">
        <v>5</v>
      </c>
      <c r="CQ11" s="7">
        <v>5</v>
      </c>
      <c r="CR11" s="7">
        <v>5</v>
      </c>
      <c r="CS11" s="5">
        <f t="shared" si="26"/>
        <v>5</v>
      </c>
      <c r="CT11" s="5" t="str">
        <f t="shared" si="27"/>
        <v>SUPERIOR</v>
      </c>
      <c r="CU11" s="5">
        <v>2</v>
      </c>
      <c r="CV11" s="7">
        <v>3.5</v>
      </c>
      <c r="CW11" s="7">
        <v>3.5</v>
      </c>
      <c r="CX11" s="7">
        <v>3.5</v>
      </c>
      <c r="CY11" s="5">
        <f t="shared" si="28"/>
        <v>3.5</v>
      </c>
      <c r="CZ11" s="5" t="str">
        <f t="shared" si="29"/>
        <v>BASICO</v>
      </c>
      <c r="DA11" s="5">
        <v>2</v>
      </c>
      <c r="DB11" s="7">
        <v>3.8</v>
      </c>
      <c r="DC11" s="7">
        <v>3.8</v>
      </c>
      <c r="DD11" s="7">
        <v>4.5</v>
      </c>
      <c r="DE11" s="5">
        <f t="shared" si="30"/>
        <v>4.01</v>
      </c>
      <c r="DF11" s="5" t="str">
        <f t="shared" si="31"/>
        <v>ALTO</v>
      </c>
      <c r="DG11" s="5">
        <v>0</v>
      </c>
      <c r="DH11" s="7">
        <v>4.5</v>
      </c>
      <c r="DI11" s="5" t="str">
        <f t="shared" si="32"/>
        <v>SUPERIOR</v>
      </c>
      <c r="DJ11" s="5">
        <f t="shared" si="33"/>
        <v>818.40000000000009</v>
      </c>
      <c r="DK11" s="5" t="str">
        <f t="shared" si="36"/>
        <v>Comprende el concepto de números reales, su relación de orden y las propiedades de sus operaciones, así como las relaciones de semejanza y congruencia de distintas figuras geométricas.</v>
      </c>
      <c r="DL11" s="5" t="str">
        <f t="shared" ref="DL11:FJ11" si="45">DL10</f>
        <v>Aplica correctamente las propiedades de las operaciones de números reales y expresiones algebraicas en la resolución de problemas.</v>
      </c>
      <c r="DM11" s="5" t="str">
        <f t="shared" si="45"/>
        <v>Valora el uso del pensamiento lógico a la hora de plantear y resolver problemas de las matemáticas y de la vida cotidiana.</v>
      </c>
      <c r="DN11" s="5" t="str">
        <f t="shared" si="4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1" s="5" t="str">
        <f t="shared" si="45"/>
        <v>Organiza y analiza datos mediante la construcción de tablas de frecuencias y diagramas estadísticos, identificando variables aleatorias y utilizando estas representaciones para resolver situaciones problema.</v>
      </c>
      <c r="DP11" s="5" t="str">
        <f t="shared" si="45"/>
        <v>Muestra disposición y responsabilidad en el manejo y análisis de datos, participando activamente en actividades individuales y colaborativas, y comunicando información estadística con claridad y sentido crítico.</v>
      </c>
      <c r="DQ11" s="5" t="str">
        <f t="shared" si="45"/>
        <v>Analiza las características de la literatura prehispánica y la literatura del descubrimiento y la conquista en Colombia identificando sus elementos fundamentales y su impacto en la cultura y el lenguaje actual.</v>
      </c>
      <c r="DR11" s="5" t="str">
        <f t="shared" si="45"/>
        <v>Realiza comprensión lectora cuando analiza un texto desde el discurso de la Enunciación e identifica la función de cada uno de sus componentes.
Responde preguntas en los tres niveles de lectura a una leyenda del Caribe.</v>
      </c>
      <c r="DS11" s="5" t="str">
        <f t="shared" si="45"/>
        <v>Muestra disposición para participar activamente en las clases, promoviendo el respeto por las ideas ajenas y reconociendo la importancia de la precisión como una herramienta clave para una comunicación</v>
      </c>
      <c r="DT11" s="5" t="str">
        <f t="shared" si="45"/>
        <v>Comprende el contenido del cuento A la deriva, identificando su tema central, la secuencia de los hechos, los personajes y las ideas explícitas e implícitas del texto.</v>
      </c>
      <c r="DU11" s="5" t="str">
        <f t="shared" si="45"/>
        <v>Analiza críticamente el cuento A la deriva mediante la identificación de información literal, inferencial y crítica, sustentando sus respuestas de forma oral y escrita.</v>
      </c>
      <c r="DV11" s="5" t="str">
        <f t="shared" si="45"/>
        <v>Valora la lectura literaria como una oportunidad para reflexionar sobre la vida, la naturaleza y la condición humana, participando con interés, respeto y sentido crítico en las actividades propuestas.</v>
      </c>
      <c r="DW11" s="5" t="str">
        <f t="shared" si="45"/>
        <v>Comprende y reconoce vocabulario y estructuras basicas del ingles para interpretar textos cortos y conversaciones sobre temas cotidianos de la vida diaria.</v>
      </c>
      <c r="DX11" s="5" t="str">
        <f t="shared" si="45"/>
        <v>Produce de forma oral y escrita frases y parrafos cortos en Ingles, utilizando correctamente las estructuras conocidas para describir rutinas, narrar experiencias y participar en conversaciones.</v>
      </c>
      <c r="DY11" s="5" t="str">
        <f t="shared" si="45"/>
        <v>Muestra disposicion positiva hacia el aprendizaje del Ingles participando activamente en clase.</v>
      </c>
      <c r="DZ11" s="5" t="str">
        <f t="shared" si="45"/>
        <v>Identifica vocabulario en Ingles  de situaciones cotidianas.</v>
      </c>
      <c r="EA11" s="5" t="str">
        <f t="shared" si="45"/>
        <v>Participa en actividades utilizando vocabulario aprendido para expresar gustos,emociones y necesidades.</v>
      </c>
      <c r="EB11" s="5" t="str">
        <f t="shared" si="45"/>
        <v>Respeta la opinion de los demas, muestra disposicion para participar en actividades orales.</v>
      </c>
      <c r="EC11" s="5" t="str">
        <f t="shared" si="45"/>
        <v>Identifica la conformación y funcionamiento del sistema inmunolófico y diferencia las característics de los estados de la materia.</v>
      </c>
      <c r="ED11" s="5" t="str">
        <f t="shared" si="45"/>
        <v>Reconoce experimentalmente las características de materiales en los diferentes estados de la materia.</v>
      </c>
      <c r="EE11" s="5" t="str">
        <f t="shared" si="45"/>
        <v xml:space="preserve">Valora la importancia de tener habitos saludables, para lograr el mantenimiento saludable del sistema inmune. </v>
      </c>
      <c r="EF11" s="5" t="str">
        <f t="shared" si="45"/>
        <v>Describe correctamente la secuencia de eventos biologicos de la fecundacion,incluyendo las recciones acrosomicas,la funcion de gametos y la formacion de gametos.</v>
      </c>
      <c r="EG11" s="5" t="str">
        <f t="shared" si="45"/>
        <v>Mide la capacidad del labolatrio para lograr la fecundacion exitosa de los ovulos con el espermatozoide.</v>
      </c>
      <c r="EH11" s="5" t="str">
        <f t="shared" si="45"/>
        <v>Valora la importancia del cuidado del cuerpo y de la salud reproductiva como la base para una fecundacion saludable.</v>
      </c>
      <c r="EI11" s="5" t="str">
        <f t="shared" si="45"/>
        <v>Explico las principales caracteristicas de algunas revoluciones de los siglos XVIII y XIX (Revolucion francesa, Industrial...)</v>
      </c>
      <c r="EJ11" s="5" t="str">
        <f t="shared" si="45"/>
        <v>Analiza las causas y consecuencias de procesos historicos como la Revolucion Industrial y Francesa.</v>
      </c>
      <c r="EK11" s="5" t="str">
        <f t="shared" si="45"/>
        <v>Muestra interes y curiosidad por comprender los procesos historicos y su impacto en la sociedad.</v>
      </c>
      <c r="EL11" s="5" t="str">
        <f t="shared" si="45"/>
        <v xml:space="preserve">Identifica los procesos historicos de algunas revoluciones de los siglos XVIII y XIX </v>
      </c>
      <c r="EM11" s="5">
        <f t="shared" si="45"/>
        <v>0</v>
      </c>
      <c r="EN11" s="5">
        <f t="shared" si="45"/>
        <v>0</v>
      </c>
      <c r="EO11" s="5" t="str">
        <f t="shared" si="45"/>
        <v xml:space="preserve">Comprende la distribucion espacial de la poblacion antes y despues de las revoluciones </v>
      </c>
      <c r="EP11" s="5" t="str">
        <f t="shared" si="45"/>
        <v xml:space="preserve">Ubica en mapas las regiones donde se desarrollaron las principales revoluciones y explica sus caracteristicas geograficas </v>
      </c>
      <c r="EQ11" s="5" t="str">
        <f t="shared" si="45"/>
        <v>Muestra interes por comprender la relacion entre sociedad, economia y territorio</v>
      </c>
      <c r="ER11" s="5" t="str">
        <f t="shared" si="45"/>
        <v>Comprende el concepto de cultura de paz y su importancia en la sociedad</v>
      </c>
      <c r="ES11" s="5" t="str">
        <f t="shared" si="45"/>
        <v>Practica normas de convivencia en diferentes espacios( aula, hogar, comunidad)</v>
      </c>
      <c r="ET11" s="5" t="str">
        <f t="shared" si="45"/>
        <v>Muestra actitud de respeto hacia la diversidad cuktural, social y de pensamiento</v>
      </c>
      <c r="EU11" s="5">
        <f t="shared" si="45"/>
        <v>0</v>
      </c>
      <c r="EV11" s="5">
        <f t="shared" si="45"/>
        <v>0</v>
      </c>
      <c r="EW11" s="5">
        <f t="shared" si="45"/>
        <v>0</v>
      </c>
      <c r="EX11" s="5">
        <f t="shared" si="45"/>
        <v>0</v>
      </c>
      <c r="EY11" s="5">
        <f t="shared" si="45"/>
        <v>0</v>
      </c>
      <c r="EZ11" s="5">
        <f t="shared" si="45"/>
        <v>0</v>
      </c>
      <c r="FA11" s="5">
        <f t="shared" si="45"/>
        <v>0</v>
      </c>
      <c r="FB11" s="5">
        <f t="shared" si="45"/>
        <v>0</v>
      </c>
      <c r="FC11" s="5">
        <f t="shared" si="45"/>
        <v>0</v>
      </c>
      <c r="FD11" s="5" t="str">
        <f t="shared" si="45"/>
        <v xml:space="preserve"> Identifica las expresiones motrices relacionadas con el juego del voleibol,  como una oportunidad para mejorar la salud, la estética y las relaciones con los demás.</v>
      </c>
      <c r="FE11" s="5" t="str">
        <f t="shared" si="45"/>
        <v>Pone en práctica los fundamentos básicos del voleibol.</v>
      </c>
      <c r="FF11" s="5" t="str">
        <f t="shared" si="45"/>
        <v>Muestra  responsabilidad y buena actitud al realizar el juego de voleibol.</v>
      </c>
      <c r="FG11" s="5" t="str">
        <f t="shared" si="45"/>
        <v>Comprende el concepto de variable como espacio de almacenamiento de datos y reconoce el uso de estructuras condicionales (si, si-no) para la toma de decisiones en un programa.</v>
      </c>
      <c r="FH11" s="5" t="str">
        <f t="shared" si="45"/>
        <v>Diseña y desarrolla programas que utilizan variables y estructuras condicionales para resolver problemas, evaluando condiciones y generando respuestas según diferentes situaciones.</v>
      </c>
      <c r="FI11" s="5" t="str">
        <f t="shared" si="45"/>
        <v>Muestra pensamiento lógico, perseverancia y actitud crítica al analizar errores y proponer soluciones en la construcción de programas con variables y condicionales.</v>
      </c>
      <c r="FJ11" s="5" t="str">
        <f t="shared" si="45"/>
        <v>Identifica y reconoce sus pricipales deberes y derechos dentro y fuera  de la Institución educativa.</v>
      </c>
    </row>
    <row r="12" spans="1:166">
      <c r="A12" s="5">
        <v>11</v>
      </c>
      <c r="B12" s="5" t="s">
        <v>145</v>
      </c>
      <c r="C12" s="6">
        <v>1044643516</v>
      </c>
      <c r="D12" s="5" t="s">
        <v>134</v>
      </c>
      <c r="E12" s="5" t="s">
        <v>135</v>
      </c>
      <c r="F12" s="5" t="s">
        <v>70</v>
      </c>
      <c r="G12" s="5" t="s">
        <v>71</v>
      </c>
      <c r="H12" s="5">
        <v>2026</v>
      </c>
      <c r="I12" s="5">
        <v>4</v>
      </c>
      <c r="J12" s="7">
        <v>3</v>
      </c>
      <c r="K12" s="7">
        <v>3.1</v>
      </c>
      <c r="L12" s="7">
        <v>3.2</v>
      </c>
      <c r="M12" s="5">
        <f t="shared" si="0"/>
        <v>3.1</v>
      </c>
      <c r="N12" s="5" t="str">
        <f t="shared" si="1"/>
        <v>BASICO</v>
      </c>
      <c r="O12" s="5">
        <v>1</v>
      </c>
      <c r="P12" s="7">
        <v>4.2</v>
      </c>
      <c r="Q12" s="7">
        <v>4.2</v>
      </c>
      <c r="R12" s="7">
        <v>4.2</v>
      </c>
      <c r="S12" s="5">
        <f t="shared" si="2"/>
        <v>4.2</v>
      </c>
      <c r="T12" s="5" t="str">
        <f t="shared" si="3"/>
        <v>ALTO</v>
      </c>
      <c r="U12" s="5">
        <v>4</v>
      </c>
      <c r="V12" s="7"/>
      <c r="W12" s="7"/>
      <c r="X12" s="7"/>
      <c r="Y12" s="5">
        <f t="shared" si="4"/>
        <v>0</v>
      </c>
      <c r="Z12" s="5" t="str">
        <f t="shared" si="5"/>
        <v>BAJO</v>
      </c>
      <c r="AA12" s="5">
        <v>1</v>
      </c>
      <c r="AB12" s="7">
        <v>2.4</v>
      </c>
      <c r="AC12" s="7">
        <v>2.4</v>
      </c>
      <c r="AD12" s="7">
        <v>2.4</v>
      </c>
      <c r="AE12" s="5">
        <f t="shared" si="6"/>
        <v>2.4</v>
      </c>
      <c r="AF12" s="5" t="str">
        <f t="shared" si="7"/>
        <v>BAJO</v>
      </c>
      <c r="AG12" s="5">
        <v>2</v>
      </c>
      <c r="AH12" s="8">
        <v>3</v>
      </c>
      <c r="AI12" s="8">
        <v>3.5</v>
      </c>
      <c r="AJ12" s="8">
        <v>3.5</v>
      </c>
      <c r="AK12" s="5">
        <f t="shared" si="8"/>
        <v>3.3499999999999996</v>
      </c>
      <c r="AL12" s="5" t="str">
        <f t="shared" si="9"/>
        <v>BASICO</v>
      </c>
      <c r="AM12" s="5">
        <v>1</v>
      </c>
      <c r="AN12" s="8">
        <v>3</v>
      </c>
      <c r="AO12" s="8">
        <v>3.5</v>
      </c>
      <c r="AP12" s="8">
        <v>3.5</v>
      </c>
      <c r="AQ12" s="5">
        <f t="shared" si="10"/>
        <v>3.3499999999999996</v>
      </c>
      <c r="AR12" s="5" t="str">
        <f t="shared" si="11"/>
        <v>BASICO</v>
      </c>
      <c r="AS12" s="5">
        <v>4</v>
      </c>
      <c r="AT12" s="7">
        <v>4.2</v>
      </c>
      <c r="AU12" s="7">
        <v>4.2</v>
      </c>
      <c r="AV12" s="7">
        <v>4.2</v>
      </c>
      <c r="AW12" s="5">
        <f t="shared" si="34"/>
        <v>4.2</v>
      </c>
      <c r="AX12" s="5" t="str">
        <f t="shared" si="12"/>
        <v>ALTO</v>
      </c>
      <c r="AY12" s="5">
        <v>1</v>
      </c>
      <c r="AZ12" s="7">
        <v>4</v>
      </c>
      <c r="BA12" s="7">
        <v>4</v>
      </c>
      <c r="BB12" s="7">
        <v>4</v>
      </c>
      <c r="BC12" s="5">
        <f t="shared" si="13"/>
        <v>4</v>
      </c>
      <c r="BD12" s="5" t="str">
        <f t="shared" si="14"/>
        <v>ALTO</v>
      </c>
      <c r="BE12" s="7">
        <v>2</v>
      </c>
      <c r="BF12" s="7">
        <v>3.5</v>
      </c>
      <c r="BG12" s="7">
        <v>3.6</v>
      </c>
      <c r="BH12" s="7">
        <v>3.3</v>
      </c>
      <c r="BI12" s="5">
        <f t="shared" si="35"/>
        <v>3.48</v>
      </c>
      <c r="BJ12" s="5" t="str">
        <f t="shared" si="15"/>
        <v>BASICO</v>
      </c>
      <c r="BK12" s="5">
        <v>1</v>
      </c>
      <c r="BL12" s="7">
        <v>3.3</v>
      </c>
      <c r="BM12" s="7">
        <v>3</v>
      </c>
      <c r="BN12" s="7">
        <v>3.6</v>
      </c>
      <c r="BO12" s="5">
        <f t="shared" si="16"/>
        <v>3.27</v>
      </c>
      <c r="BP12" s="5" t="str">
        <f t="shared" si="17"/>
        <v>BASICO</v>
      </c>
      <c r="BQ12" s="5">
        <v>1</v>
      </c>
      <c r="BR12" s="7">
        <v>3.3</v>
      </c>
      <c r="BS12" s="7">
        <v>3.6</v>
      </c>
      <c r="BT12" s="7">
        <v>3</v>
      </c>
      <c r="BU12" s="5">
        <f t="shared" si="18"/>
        <v>3.33</v>
      </c>
      <c r="BV12" s="5" t="str">
        <f t="shared" si="19"/>
        <v>BASICO</v>
      </c>
      <c r="BW12" s="5">
        <v>1</v>
      </c>
      <c r="BX12" s="7">
        <v>3.5</v>
      </c>
      <c r="BY12" s="7">
        <v>3.4</v>
      </c>
      <c r="BZ12" s="7">
        <v>3.3</v>
      </c>
      <c r="CA12" s="5">
        <f t="shared" si="20"/>
        <v>3.4</v>
      </c>
      <c r="CB12" s="5" t="str">
        <f t="shared" si="21"/>
        <v>BASICO</v>
      </c>
      <c r="CC12" s="5">
        <v>1</v>
      </c>
      <c r="CD12" s="7">
        <v>3.8</v>
      </c>
      <c r="CE12" s="7">
        <v>3.7</v>
      </c>
      <c r="CF12" s="7">
        <v>3.7</v>
      </c>
      <c r="CG12" s="5">
        <f t="shared" si="22"/>
        <v>3.7300000000000004</v>
      </c>
      <c r="CH12" s="5" t="str">
        <f t="shared" si="23"/>
        <v>BASICO</v>
      </c>
      <c r="CI12" s="5">
        <v>1</v>
      </c>
      <c r="CJ12" s="7">
        <v>4</v>
      </c>
      <c r="CK12" s="7">
        <v>4</v>
      </c>
      <c r="CL12" s="7">
        <v>4</v>
      </c>
      <c r="CM12" s="5">
        <f t="shared" si="24"/>
        <v>4</v>
      </c>
      <c r="CN12" s="5" t="str">
        <f t="shared" si="25"/>
        <v>ALTO</v>
      </c>
      <c r="CO12" s="5">
        <v>1</v>
      </c>
      <c r="CP12" s="7">
        <v>5</v>
      </c>
      <c r="CQ12" s="7">
        <v>5</v>
      </c>
      <c r="CR12" s="7">
        <v>5</v>
      </c>
      <c r="CS12" s="5">
        <f t="shared" si="26"/>
        <v>5</v>
      </c>
      <c r="CT12" s="5" t="str">
        <f t="shared" si="27"/>
        <v>SUPERIOR</v>
      </c>
      <c r="CU12" s="5">
        <v>2</v>
      </c>
      <c r="CV12" s="7">
        <v>3.5</v>
      </c>
      <c r="CW12" s="7">
        <v>3.5</v>
      </c>
      <c r="CX12" s="7">
        <v>3.5</v>
      </c>
      <c r="CY12" s="5">
        <f t="shared" si="28"/>
        <v>3.5</v>
      </c>
      <c r="CZ12" s="5" t="str">
        <f t="shared" si="29"/>
        <v>BASICO</v>
      </c>
      <c r="DA12" s="5">
        <v>2</v>
      </c>
      <c r="DB12" s="7">
        <v>4</v>
      </c>
      <c r="DC12" s="7">
        <v>4</v>
      </c>
      <c r="DD12" s="7">
        <v>3.8</v>
      </c>
      <c r="DE12" s="5">
        <f t="shared" si="30"/>
        <v>3.9399999999999995</v>
      </c>
      <c r="DF12" s="5" t="str">
        <f t="shared" si="31"/>
        <v>BASICO</v>
      </c>
      <c r="DG12" s="5">
        <v>0</v>
      </c>
      <c r="DH12" s="7">
        <v>3.8</v>
      </c>
      <c r="DI12" s="5" t="str">
        <f t="shared" si="32"/>
        <v>BASICO</v>
      </c>
      <c r="DJ12" s="5">
        <f t="shared" si="33"/>
        <v>3.454117647058824</v>
      </c>
      <c r="DK12" s="5" t="str">
        <f t="shared" si="36"/>
        <v>Comprende el concepto de números reales, su relación de orden y las propiedades de sus operaciones, así como las relaciones de semejanza y congruencia de distintas figuras geométricas.</v>
      </c>
      <c r="DL12" s="5" t="str">
        <f t="shared" ref="DL12:FJ12" si="46">DL11</f>
        <v>Aplica correctamente las propiedades de las operaciones de números reales y expresiones algebraicas en la resolución de problemas.</v>
      </c>
      <c r="DM12" s="5" t="str">
        <f t="shared" si="46"/>
        <v>Valora el uso del pensamiento lógico a la hora de plantear y resolver problemas de las matemáticas y de la vida cotidiana.</v>
      </c>
      <c r="DN12" s="5" t="str">
        <f t="shared" si="4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2" s="5" t="str">
        <f t="shared" si="46"/>
        <v>Organiza y analiza datos mediante la construcción de tablas de frecuencias y diagramas estadísticos, identificando variables aleatorias y utilizando estas representaciones para resolver situaciones problema.</v>
      </c>
      <c r="DP12" s="5" t="str">
        <f t="shared" si="46"/>
        <v>Muestra disposición y responsabilidad en el manejo y análisis de datos, participando activamente en actividades individuales y colaborativas, y comunicando información estadística con claridad y sentido crítico.</v>
      </c>
      <c r="DQ12" s="5" t="str">
        <f t="shared" si="46"/>
        <v>Analiza las características de la literatura prehispánica y la literatura del descubrimiento y la conquista en Colombia identificando sus elementos fundamentales y su impacto en la cultura y el lenguaje actual.</v>
      </c>
      <c r="DR12" s="5" t="str">
        <f t="shared" si="46"/>
        <v>Realiza comprensión lectora cuando analiza un texto desde el discurso de la Enunciación e identifica la función de cada uno de sus componentes.
Responde preguntas en los tres niveles de lectura a una leyenda del Caribe.</v>
      </c>
      <c r="DS12" s="5" t="str">
        <f t="shared" si="46"/>
        <v>Muestra disposición para participar activamente en las clases, promoviendo el respeto por las ideas ajenas y reconociendo la importancia de la precisión como una herramienta clave para una comunicación</v>
      </c>
      <c r="DT12" s="5" t="str">
        <f t="shared" si="46"/>
        <v>Comprende el contenido del cuento A la deriva, identificando su tema central, la secuencia de los hechos, los personajes y las ideas explícitas e implícitas del texto.</v>
      </c>
      <c r="DU12" s="5" t="str">
        <f t="shared" si="46"/>
        <v>Analiza críticamente el cuento A la deriva mediante la identificación de información literal, inferencial y crítica, sustentando sus respuestas de forma oral y escrita.</v>
      </c>
      <c r="DV12" s="5" t="str">
        <f t="shared" si="46"/>
        <v>Valora la lectura literaria como una oportunidad para reflexionar sobre la vida, la naturaleza y la condición humana, participando con interés, respeto y sentido crítico en las actividades propuestas.</v>
      </c>
      <c r="DW12" s="5" t="str">
        <f t="shared" si="46"/>
        <v>Comprende y reconoce vocabulario y estructuras basicas del ingles para interpretar textos cortos y conversaciones sobre temas cotidianos de la vida diaria.</v>
      </c>
      <c r="DX12" s="5" t="str">
        <f t="shared" si="46"/>
        <v>Produce de forma oral y escrita frases y parrafos cortos en Ingles, utilizando correctamente las estructuras conocidas para describir rutinas, narrar experiencias y participar en conversaciones.</v>
      </c>
      <c r="DY12" s="5" t="str">
        <f t="shared" si="46"/>
        <v>Muestra disposicion positiva hacia el aprendizaje del Ingles participando activamente en clase.</v>
      </c>
      <c r="DZ12" s="5" t="str">
        <f t="shared" si="46"/>
        <v>Identifica vocabulario en Ingles  de situaciones cotidianas.</v>
      </c>
      <c r="EA12" s="5" t="str">
        <f t="shared" si="46"/>
        <v>Participa en actividades utilizando vocabulario aprendido para expresar gustos,emociones y necesidades.</v>
      </c>
      <c r="EB12" s="5" t="str">
        <f t="shared" si="46"/>
        <v>Respeta la opinion de los demas, muestra disposicion para participar en actividades orales.</v>
      </c>
      <c r="EC12" s="5" t="str">
        <f t="shared" si="46"/>
        <v>Identifica la conformación y funcionamiento del sistema inmunolófico y diferencia las característics de los estados de la materia.</v>
      </c>
      <c r="ED12" s="5" t="str">
        <f t="shared" si="46"/>
        <v>Reconoce experimentalmente las características de materiales en los diferentes estados de la materia.</v>
      </c>
      <c r="EE12" s="5" t="str">
        <f t="shared" si="46"/>
        <v xml:space="preserve">Valora la importancia de tener habitos saludables, para lograr el mantenimiento saludable del sistema inmune. </v>
      </c>
      <c r="EF12" s="5" t="str">
        <f t="shared" si="46"/>
        <v>Describe correctamente la secuencia de eventos biologicos de la fecundacion,incluyendo las recciones acrosomicas,la funcion de gametos y la formacion de gametos.</v>
      </c>
      <c r="EG12" s="5" t="str">
        <f t="shared" si="46"/>
        <v>Mide la capacidad del labolatrio para lograr la fecundacion exitosa de los ovulos con el espermatozoide.</v>
      </c>
      <c r="EH12" s="5" t="str">
        <f t="shared" si="46"/>
        <v>Valora la importancia del cuidado del cuerpo y de la salud reproductiva como la base para una fecundacion saludable.</v>
      </c>
      <c r="EI12" s="5" t="str">
        <f t="shared" si="46"/>
        <v>Explico las principales caracteristicas de algunas revoluciones de los siglos XVIII y XIX (Revolucion francesa, Industrial...)</v>
      </c>
      <c r="EJ12" s="5" t="str">
        <f t="shared" si="46"/>
        <v>Analiza las causas y consecuencias de procesos historicos como la Revolucion Industrial y Francesa.</v>
      </c>
      <c r="EK12" s="5" t="str">
        <f t="shared" si="46"/>
        <v>Muestra interes y curiosidad por comprender los procesos historicos y su impacto en la sociedad.</v>
      </c>
      <c r="EL12" s="5" t="str">
        <f t="shared" si="46"/>
        <v xml:space="preserve">Identifica los procesos historicos de algunas revoluciones de los siglos XVIII y XIX </v>
      </c>
      <c r="EM12" s="5">
        <f t="shared" si="46"/>
        <v>0</v>
      </c>
      <c r="EN12" s="5">
        <f t="shared" si="46"/>
        <v>0</v>
      </c>
      <c r="EO12" s="5" t="str">
        <f t="shared" si="46"/>
        <v xml:space="preserve">Comprende la distribucion espacial de la poblacion antes y despues de las revoluciones </v>
      </c>
      <c r="EP12" s="5" t="str">
        <f t="shared" si="46"/>
        <v xml:space="preserve">Ubica en mapas las regiones donde se desarrollaron las principales revoluciones y explica sus caracteristicas geograficas </v>
      </c>
      <c r="EQ12" s="5" t="str">
        <f t="shared" si="46"/>
        <v>Muestra interes por comprender la relacion entre sociedad, economia y territorio</v>
      </c>
      <c r="ER12" s="5" t="str">
        <f t="shared" si="46"/>
        <v>Comprende el concepto de cultura de paz y su importancia en la sociedad</v>
      </c>
      <c r="ES12" s="5" t="str">
        <f t="shared" si="46"/>
        <v>Practica normas de convivencia en diferentes espacios( aula, hogar, comunidad)</v>
      </c>
      <c r="ET12" s="5" t="str">
        <f t="shared" si="46"/>
        <v>Muestra actitud de respeto hacia la diversidad cuktural, social y de pensamiento</v>
      </c>
      <c r="EU12" s="5">
        <f t="shared" si="46"/>
        <v>0</v>
      </c>
      <c r="EV12" s="5">
        <f t="shared" si="46"/>
        <v>0</v>
      </c>
      <c r="EW12" s="5">
        <f t="shared" si="46"/>
        <v>0</v>
      </c>
      <c r="EX12" s="5">
        <f t="shared" si="46"/>
        <v>0</v>
      </c>
      <c r="EY12" s="5">
        <f t="shared" si="46"/>
        <v>0</v>
      </c>
      <c r="EZ12" s="5">
        <f t="shared" si="46"/>
        <v>0</v>
      </c>
      <c r="FA12" s="5">
        <f t="shared" si="46"/>
        <v>0</v>
      </c>
      <c r="FB12" s="5">
        <f t="shared" si="46"/>
        <v>0</v>
      </c>
      <c r="FC12" s="5">
        <f t="shared" si="46"/>
        <v>0</v>
      </c>
      <c r="FD12" s="5" t="str">
        <f t="shared" si="46"/>
        <v xml:space="preserve"> Identifica las expresiones motrices relacionadas con el juego del voleibol,  como una oportunidad para mejorar la salud, la estética y las relaciones con los demás.</v>
      </c>
      <c r="FE12" s="5" t="str">
        <f t="shared" si="46"/>
        <v>Pone en práctica los fundamentos básicos del voleibol.</v>
      </c>
      <c r="FF12" s="5" t="str">
        <f t="shared" si="46"/>
        <v>Muestra  responsabilidad y buena actitud al realizar el juego de voleibol.</v>
      </c>
      <c r="FG12" s="5" t="str">
        <f t="shared" si="46"/>
        <v>Comprende el concepto de variable como espacio de almacenamiento de datos y reconoce el uso de estructuras condicionales (si, si-no) para la toma de decisiones en un programa.</v>
      </c>
      <c r="FH12" s="5" t="str">
        <f t="shared" si="46"/>
        <v>Diseña y desarrolla programas que utilizan variables y estructuras condicionales para resolver problemas, evaluando condiciones y generando respuestas según diferentes situaciones.</v>
      </c>
      <c r="FI12" s="5" t="str">
        <f t="shared" si="46"/>
        <v>Muestra pensamiento lógico, perseverancia y actitud crítica al analizar errores y proponer soluciones en la construcción de programas con variables y condicionales.</v>
      </c>
      <c r="FJ12" s="5" t="str">
        <f t="shared" si="46"/>
        <v>Identifica y reconoce sus pricipales deberes y derechos dentro y fuera  de la Institución educativa.</v>
      </c>
    </row>
    <row r="13" spans="1:166">
      <c r="A13" s="5">
        <v>12</v>
      </c>
      <c r="B13" s="5" t="s">
        <v>146</v>
      </c>
      <c r="C13" s="6">
        <v>1122817493</v>
      </c>
      <c r="D13" s="5" t="s">
        <v>134</v>
      </c>
      <c r="E13" s="5" t="s">
        <v>135</v>
      </c>
      <c r="F13" s="5" t="s">
        <v>70</v>
      </c>
      <c r="G13" s="5" t="s">
        <v>71</v>
      </c>
      <c r="H13" s="5">
        <v>2026</v>
      </c>
      <c r="I13" s="5">
        <v>4</v>
      </c>
      <c r="J13" s="7">
        <v>3</v>
      </c>
      <c r="K13" s="7">
        <v>3.2</v>
      </c>
      <c r="L13" s="7">
        <v>3.4</v>
      </c>
      <c r="M13" s="5">
        <f t="shared" si="0"/>
        <v>3.2</v>
      </c>
      <c r="N13" s="5" t="str">
        <f t="shared" si="1"/>
        <v>BASICO</v>
      </c>
      <c r="O13" s="5">
        <v>1</v>
      </c>
      <c r="P13" s="7">
        <v>3</v>
      </c>
      <c r="Q13" s="7">
        <v>3</v>
      </c>
      <c r="R13" s="7">
        <v>3</v>
      </c>
      <c r="S13" s="5">
        <f t="shared" si="2"/>
        <v>3</v>
      </c>
      <c r="T13" s="5" t="str">
        <f t="shared" si="3"/>
        <v>BASICO</v>
      </c>
      <c r="U13" s="5">
        <v>4</v>
      </c>
      <c r="V13" s="7"/>
      <c r="W13" s="7"/>
      <c r="X13" s="7"/>
      <c r="Y13" s="5">
        <f t="shared" si="4"/>
        <v>0</v>
      </c>
      <c r="Z13" s="5" t="str">
        <f t="shared" si="5"/>
        <v>BAJO</v>
      </c>
      <c r="AA13" s="5">
        <v>1</v>
      </c>
      <c r="AB13" s="7">
        <v>2.6</v>
      </c>
      <c r="AC13" s="7">
        <v>2.6</v>
      </c>
      <c r="AD13" s="7">
        <v>2.6</v>
      </c>
      <c r="AE13" s="5">
        <f t="shared" si="6"/>
        <v>2.6</v>
      </c>
      <c r="AF13" s="5" t="str">
        <f t="shared" si="7"/>
        <v>BAJO</v>
      </c>
      <c r="AG13" s="5">
        <v>2</v>
      </c>
      <c r="AH13" s="8">
        <v>3.5</v>
      </c>
      <c r="AI13" s="8">
        <v>3</v>
      </c>
      <c r="AJ13" s="8">
        <v>3</v>
      </c>
      <c r="AK13" s="5">
        <f t="shared" si="8"/>
        <v>3.15</v>
      </c>
      <c r="AL13" s="5" t="str">
        <f t="shared" si="9"/>
        <v>BASICO</v>
      </c>
      <c r="AM13" s="5">
        <v>1</v>
      </c>
      <c r="AN13" s="8">
        <v>3.5</v>
      </c>
      <c r="AO13" s="8">
        <v>3</v>
      </c>
      <c r="AP13" s="8">
        <v>3</v>
      </c>
      <c r="AQ13" s="5">
        <f t="shared" si="10"/>
        <v>3.15</v>
      </c>
      <c r="AR13" s="5" t="str">
        <f t="shared" si="11"/>
        <v>BASICO</v>
      </c>
      <c r="AS13" s="5">
        <v>4</v>
      </c>
      <c r="AT13" s="7">
        <v>3</v>
      </c>
      <c r="AU13" s="7">
        <v>3</v>
      </c>
      <c r="AV13" s="7">
        <v>3</v>
      </c>
      <c r="AW13" s="5">
        <f t="shared" si="34"/>
        <v>3</v>
      </c>
      <c r="AX13" s="5" t="str">
        <f t="shared" si="12"/>
        <v>BASICO</v>
      </c>
      <c r="AY13" s="5">
        <v>1</v>
      </c>
      <c r="AZ13" s="7">
        <v>4</v>
      </c>
      <c r="BA13" s="7">
        <v>4</v>
      </c>
      <c r="BB13" s="7">
        <v>4</v>
      </c>
      <c r="BC13" s="5">
        <f t="shared" si="13"/>
        <v>4</v>
      </c>
      <c r="BD13" s="5" t="str">
        <f t="shared" si="14"/>
        <v>ALTO</v>
      </c>
      <c r="BE13" s="7">
        <v>2</v>
      </c>
      <c r="BF13" s="7">
        <v>2</v>
      </c>
      <c r="BG13" s="7">
        <v>2.5</v>
      </c>
      <c r="BH13" s="7">
        <v>2.8</v>
      </c>
      <c r="BI13" s="5">
        <f t="shared" si="35"/>
        <v>2.44</v>
      </c>
      <c r="BJ13" s="5" t="str">
        <f t="shared" si="15"/>
        <v>BAJO</v>
      </c>
      <c r="BK13" s="5">
        <v>1</v>
      </c>
      <c r="BL13" s="7">
        <v>2.6</v>
      </c>
      <c r="BM13" s="7">
        <v>2.5</v>
      </c>
      <c r="BN13" s="7">
        <v>2.8</v>
      </c>
      <c r="BO13" s="5">
        <f t="shared" si="16"/>
        <v>2.62</v>
      </c>
      <c r="BP13" s="5" t="str">
        <f t="shared" si="17"/>
        <v>BAJO</v>
      </c>
      <c r="BQ13" s="5">
        <v>1</v>
      </c>
      <c r="BR13" s="7">
        <v>2.2000000000000002</v>
      </c>
      <c r="BS13" s="7">
        <v>2.5</v>
      </c>
      <c r="BT13" s="7">
        <v>2.8</v>
      </c>
      <c r="BU13" s="5">
        <f t="shared" si="18"/>
        <v>2.5</v>
      </c>
      <c r="BV13" s="5" t="str">
        <f t="shared" si="19"/>
        <v>BAJO</v>
      </c>
      <c r="BW13" s="5">
        <v>1</v>
      </c>
      <c r="BX13" s="7">
        <v>3.3</v>
      </c>
      <c r="BY13" s="7">
        <v>3.2</v>
      </c>
      <c r="BZ13" s="7">
        <v>3.5</v>
      </c>
      <c r="CA13" s="5">
        <f t="shared" si="20"/>
        <v>3.3200000000000003</v>
      </c>
      <c r="CB13" s="5" t="str">
        <f t="shared" si="21"/>
        <v>BASICO</v>
      </c>
      <c r="CC13" s="5">
        <v>1</v>
      </c>
      <c r="CD13" s="7">
        <v>3</v>
      </c>
      <c r="CE13" s="7">
        <v>3</v>
      </c>
      <c r="CF13" s="7">
        <v>3</v>
      </c>
      <c r="CG13" s="5">
        <f t="shared" si="22"/>
        <v>3</v>
      </c>
      <c r="CH13" s="5" t="str">
        <f t="shared" si="23"/>
        <v>BASICO</v>
      </c>
      <c r="CI13" s="5">
        <v>1</v>
      </c>
      <c r="CJ13" s="7">
        <v>4.5</v>
      </c>
      <c r="CK13" s="7">
        <v>4.5999999999999996</v>
      </c>
      <c r="CL13" s="7">
        <v>4.5</v>
      </c>
      <c r="CM13" s="5">
        <f t="shared" si="24"/>
        <v>4.5399999999999991</v>
      </c>
      <c r="CN13" s="5" t="str">
        <f t="shared" si="25"/>
        <v>SUPERIOR</v>
      </c>
      <c r="CO13" s="5">
        <v>1</v>
      </c>
      <c r="CP13" s="7">
        <v>4</v>
      </c>
      <c r="CQ13" s="7">
        <v>4</v>
      </c>
      <c r="CR13" s="7">
        <v>4</v>
      </c>
      <c r="CS13" s="5">
        <f t="shared" si="26"/>
        <v>4</v>
      </c>
      <c r="CT13" s="5" t="str">
        <f t="shared" si="27"/>
        <v>ALTO</v>
      </c>
      <c r="CU13" s="5">
        <v>2</v>
      </c>
      <c r="CV13" s="7">
        <v>3.5</v>
      </c>
      <c r="CW13" s="7">
        <v>3.5</v>
      </c>
      <c r="CX13" s="7">
        <v>3.5</v>
      </c>
      <c r="CY13" s="5">
        <f t="shared" si="28"/>
        <v>3.5</v>
      </c>
      <c r="CZ13" s="5" t="str">
        <f t="shared" si="29"/>
        <v>BASICO</v>
      </c>
      <c r="DA13" s="5">
        <v>2</v>
      </c>
      <c r="DB13" s="7">
        <v>4</v>
      </c>
      <c r="DC13" s="7">
        <v>4</v>
      </c>
      <c r="DD13" s="7">
        <v>3.5</v>
      </c>
      <c r="DE13" s="5">
        <f t="shared" si="30"/>
        <v>3.8499999999999996</v>
      </c>
      <c r="DF13" s="5" t="str">
        <f t="shared" si="31"/>
        <v>BASICO</v>
      </c>
      <c r="DG13" s="5">
        <v>0</v>
      </c>
      <c r="DH13" s="7">
        <v>3.5</v>
      </c>
      <c r="DI13" s="5" t="str">
        <f t="shared" si="32"/>
        <v>BASICO</v>
      </c>
      <c r="DJ13" s="5">
        <f t="shared" si="33"/>
        <v>3.11</v>
      </c>
      <c r="DK13" s="5" t="str">
        <f t="shared" si="36"/>
        <v>Comprende el concepto de números reales, su relación de orden y las propiedades de sus operaciones, así como las relaciones de semejanza y congruencia de distintas figuras geométricas.</v>
      </c>
      <c r="DL13" s="5" t="str">
        <f t="shared" ref="DL13:FJ13" si="47">DL12</f>
        <v>Aplica correctamente las propiedades de las operaciones de números reales y expresiones algebraicas en la resolución de problemas.</v>
      </c>
      <c r="DM13" s="5" t="str">
        <f t="shared" si="47"/>
        <v>Valora el uso del pensamiento lógico a la hora de plantear y resolver problemas de las matemáticas y de la vida cotidiana.</v>
      </c>
      <c r="DN13" s="5" t="str">
        <f t="shared" si="4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3" s="5" t="str">
        <f t="shared" si="47"/>
        <v>Organiza y analiza datos mediante la construcción de tablas de frecuencias y diagramas estadísticos, identificando variables aleatorias y utilizando estas representaciones para resolver situaciones problema.</v>
      </c>
      <c r="DP13" s="5" t="str">
        <f t="shared" si="47"/>
        <v>Muestra disposición y responsabilidad en el manejo y análisis de datos, participando activamente en actividades individuales y colaborativas, y comunicando información estadística con claridad y sentido crítico.</v>
      </c>
      <c r="DQ13" s="5" t="str">
        <f t="shared" si="47"/>
        <v>Analiza las características de la literatura prehispánica y la literatura del descubrimiento y la conquista en Colombia identificando sus elementos fundamentales y su impacto en la cultura y el lenguaje actual.</v>
      </c>
      <c r="DR13" s="5" t="str">
        <f t="shared" si="47"/>
        <v>Realiza comprensión lectora cuando analiza un texto desde el discurso de la Enunciación e identifica la función de cada uno de sus componentes.
Responde preguntas en los tres niveles de lectura a una leyenda del Caribe.</v>
      </c>
      <c r="DS13" s="5" t="str">
        <f t="shared" si="47"/>
        <v>Muestra disposición para participar activamente en las clases, promoviendo el respeto por las ideas ajenas y reconociendo la importancia de la precisión como una herramienta clave para una comunicación</v>
      </c>
      <c r="DT13" s="5" t="str">
        <f t="shared" si="47"/>
        <v>Comprende el contenido del cuento A la deriva, identificando su tema central, la secuencia de los hechos, los personajes y las ideas explícitas e implícitas del texto.</v>
      </c>
      <c r="DU13" s="5" t="str">
        <f t="shared" si="47"/>
        <v>Analiza críticamente el cuento A la deriva mediante la identificación de información literal, inferencial y crítica, sustentando sus respuestas de forma oral y escrita.</v>
      </c>
      <c r="DV13" s="5" t="str">
        <f t="shared" si="47"/>
        <v>Valora la lectura literaria como una oportunidad para reflexionar sobre la vida, la naturaleza y la condición humana, participando con interés, respeto y sentido crítico en las actividades propuestas.</v>
      </c>
      <c r="DW13" s="5" t="str">
        <f t="shared" si="47"/>
        <v>Comprende y reconoce vocabulario y estructuras basicas del ingles para interpretar textos cortos y conversaciones sobre temas cotidianos de la vida diaria.</v>
      </c>
      <c r="DX13" s="5" t="str">
        <f t="shared" si="47"/>
        <v>Produce de forma oral y escrita frases y parrafos cortos en Ingles, utilizando correctamente las estructuras conocidas para describir rutinas, narrar experiencias y participar en conversaciones.</v>
      </c>
      <c r="DY13" s="5" t="str">
        <f t="shared" si="47"/>
        <v>Muestra disposicion positiva hacia el aprendizaje del Ingles participando activamente en clase.</v>
      </c>
      <c r="DZ13" s="5" t="str">
        <f t="shared" si="47"/>
        <v>Identifica vocabulario en Ingles  de situaciones cotidianas.</v>
      </c>
      <c r="EA13" s="5" t="str">
        <f t="shared" si="47"/>
        <v>Participa en actividades utilizando vocabulario aprendido para expresar gustos,emociones y necesidades.</v>
      </c>
      <c r="EB13" s="5" t="str">
        <f t="shared" si="47"/>
        <v>Respeta la opinion de los demas, muestra disposicion para participar en actividades orales.</v>
      </c>
      <c r="EC13" s="5" t="str">
        <f t="shared" si="47"/>
        <v>Identifica la conformación y funcionamiento del sistema inmunolófico y diferencia las característics de los estados de la materia.</v>
      </c>
      <c r="ED13" s="5" t="str">
        <f t="shared" si="47"/>
        <v>Reconoce experimentalmente las características de materiales en los diferentes estados de la materia.</v>
      </c>
      <c r="EE13" s="5" t="str">
        <f t="shared" si="47"/>
        <v xml:space="preserve">Valora la importancia de tener habitos saludables, para lograr el mantenimiento saludable del sistema inmune. </v>
      </c>
      <c r="EF13" s="5" t="str">
        <f t="shared" si="47"/>
        <v>Describe correctamente la secuencia de eventos biologicos de la fecundacion,incluyendo las recciones acrosomicas,la funcion de gametos y la formacion de gametos.</v>
      </c>
      <c r="EG13" s="5" t="str">
        <f t="shared" si="47"/>
        <v>Mide la capacidad del labolatrio para lograr la fecundacion exitosa de los ovulos con el espermatozoide.</v>
      </c>
      <c r="EH13" s="5" t="str">
        <f t="shared" si="47"/>
        <v>Valora la importancia del cuidado del cuerpo y de la salud reproductiva como la base para una fecundacion saludable.</v>
      </c>
      <c r="EI13" s="5" t="str">
        <f t="shared" si="47"/>
        <v>Explico las principales caracteristicas de algunas revoluciones de los siglos XVIII y XIX (Revolucion francesa, Industrial...)</v>
      </c>
      <c r="EJ13" s="5" t="str">
        <f t="shared" si="47"/>
        <v>Analiza las causas y consecuencias de procesos historicos como la Revolucion Industrial y Francesa.</v>
      </c>
      <c r="EK13" s="5" t="str">
        <f t="shared" si="47"/>
        <v>Muestra interes y curiosidad por comprender los procesos historicos y su impacto en la sociedad.</v>
      </c>
      <c r="EL13" s="5" t="str">
        <f t="shared" si="47"/>
        <v xml:space="preserve">Identifica los procesos historicos de algunas revoluciones de los siglos XVIII y XIX </v>
      </c>
      <c r="EM13" s="5">
        <f t="shared" si="47"/>
        <v>0</v>
      </c>
      <c r="EN13" s="5">
        <f t="shared" si="47"/>
        <v>0</v>
      </c>
      <c r="EO13" s="5" t="str">
        <f t="shared" si="47"/>
        <v xml:space="preserve">Comprende la distribucion espacial de la poblacion antes y despues de las revoluciones </v>
      </c>
      <c r="EP13" s="5" t="str">
        <f t="shared" si="47"/>
        <v xml:space="preserve">Ubica en mapas las regiones donde se desarrollaron las principales revoluciones y explica sus caracteristicas geograficas </v>
      </c>
      <c r="EQ13" s="5" t="str">
        <f t="shared" si="47"/>
        <v>Muestra interes por comprender la relacion entre sociedad, economia y territorio</v>
      </c>
      <c r="ER13" s="5" t="str">
        <f t="shared" si="47"/>
        <v>Comprende el concepto de cultura de paz y su importancia en la sociedad</v>
      </c>
      <c r="ES13" s="5" t="str">
        <f t="shared" si="47"/>
        <v>Practica normas de convivencia en diferentes espacios( aula, hogar, comunidad)</v>
      </c>
      <c r="ET13" s="5" t="str">
        <f t="shared" si="47"/>
        <v>Muestra actitud de respeto hacia la diversidad cuktural, social y de pensamiento</v>
      </c>
      <c r="EU13" s="5">
        <f t="shared" si="47"/>
        <v>0</v>
      </c>
      <c r="EV13" s="5">
        <f t="shared" si="47"/>
        <v>0</v>
      </c>
      <c r="EW13" s="5">
        <f t="shared" si="47"/>
        <v>0</v>
      </c>
      <c r="EX13" s="5">
        <f t="shared" si="47"/>
        <v>0</v>
      </c>
      <c r="EY13" s="5">
        <f t="shared" si="47"/>
        <v>0</v>
      </c>
      <c r="EZ13" s="5">
        <f t="shared" si="47"/>
        <v>0</v>
      </c>
      <c r="FA13" s="5">
        <f t="shared" si="47"/>
        <v>0</v>
      </c>
      <c r="FB13" s="5">
        <f t="shared" si="47"/>
        <v>0</v>
      </c>
      <c r="FC13" s="5">
        <f t="shared" si="47"/>
        <v>0</v>
      </c>
      <c r="FD13" s="5" t="str">
        <f t="shared" si="47"/>
        <v xml:space="preserve"> Identifica las expresiones motrices relacionadas con el juego del voleibol,  como una oportunidad para mejorar la salud, la estética y las relaciones con los demás.</v>
      </c>
      <c r="FE13" s="5" t="str">
        <f t="shared" si="47"/>
        <v>Pone en práctica los fundamentos básicos del voleibol.</v>
      </c>
      <c r="FF13" s="5" t="str">
        <f t="shared" si="47"/>
        <v>Muestra  responsabilidad y buena actitud al realizar el juego de voleibol.</v>
      </c>
      <c r="FG13" s="5" t="str">
        <f t="shared" si="47"/>
        <v>Comprende el concepto de variable como espacio de almacenamiento de datos y reconoce el uso de estructuras condicionales (si, si-no) para la toma de decisiones en un programa.</v>
      </c>
      <c r="FH13" s="5" t="str">
        <f t="shared" si="47"/>
        <v>Diseña y desarrolla programas que utilizan variables y estructuras condicionales para resolver problemas, evaluando condiciones y generando respuestas según diferentes situaciones.</v>
      </c>
      <c r="FI13" s="5" t="str">
        <f t="shared" si="47"/>
        <v>Muestra pensamiento lógico, perseverancia y actitud crítica al analizar errores y proponer soluciones en la construcción de programas con variables y condicionales.</v>
      </c>
      <c r="FJ13" s="5" t="str">
        <f t="shared" si="47"/>
        <v>Identifica y reconoce sus pricipales deberes y derechos dentro y fuera  de la Institución educativa.</v>
      </c>
    </row>
    <row r="14" spans="1:166">
      <c r="A14" s="5">
        <v>13</v>
      </c>
      <c r="B14" s="5" t="s">
        <v>147</v>
      </c>
      <c r="C14" s="6">
        <v>1044647942</v>
      </c>
      <c r="D14" s="5" t="s">
        <v>134</v>
      </c>
      <c r="E14" s="5" t="s">
        <v>135</v>
      </c>
      <c r="F14" s="5" t="s">
        <v>70</v>
      </c>
      <c r="G14" s="5" t="s">
        <v>71</v>
      </c>
      <c r="H14" s="5">
        <v>2026</v>
      </c>
      <c r="I14" s="5">
        <v>4</v>
      </c>
      <c r="J14" s="7">
        <v>2.8</v>
      </c>
      <c r="K14" s="7">
        <v>3.2</v>
      </c>
      <c r="L14" s="7">
        <v>3.6</v>
      </c>
      <c r="M14" s="5">
        <f t="shared" si="0"/>
        <v>3.2</v>
      </c>
      <c r="N14" s="5" t="str">
        <f t="shared" si="1"/>
        <v>BASICO</v>
      </c>
      <c r="O14" s="5">
        <v>1</v>
      </c>
      <c r="P14" s="7">
        <v>3.4</v>
      </c>
      <c r="Q14" s="7">
        <v>3.4</v>
      </c>
      <c r="R14" s="7">
        <v>3.4</v>
      </c>
      <c r="S14" s="5">
        <f t="shared" si="2"/>
        <v>3.4</v>
      </c>
      <c r="T14" s="5" t="str">
        <f t="shared" si="3"/>
        <v>BASICO</v>
      </c>
      <c r="U14" s="5">
        <v>4</v>
      </c>
      <c r="V14" s="7"/>
      <c r="W14" s="7"/>
      <c r="X14" s="7"/>
      <c r="Y14" s="5">
        <f t="shared" si="4"/>
        <v>0</v>
      </c>
      <c r="Z14" s="5" t="str">
        <f t="shared" si="5"/>
        <v>BAJO</v>
      </c>
      <c r="AA14" s="5">
        <v>1</v>
      </c>
      <c r="AB14" s="7">
        <v>3.9</v>
      </c>
      <c r="AC14" s="7">
        <v>3.9</v>
      </c>
      <c r="AD14" s="7">
        <v>3.9</v>
      </c>
      <c r="AE14" s="5">
        <f t="shared" si="6"/>
        <v>3.9</v>
      </c>
      <c r="AF14" s="5" t="str">
        <f t="shared" si="7"/>
        <v>BASICO</v>
      </c>
      <c r="AG14" s="5">
        <v>2</v>
      </c>
      <c r="AH14" s="8">
        <v>4</v>
      </c>
      <c r="AI14" s="8">
        <v>4</v>
      </c>
      <c r="AJ14" s="8">
        <v>4</v>
      </c>
      <c r="AK14" s="5">
        <f t="shared" si="8"/>
        <v>4</v>
      </c>
      <c r="AL14" s="5" t="str">
        <f t="shared" si="9"/>
        <v>ALTO</v>
      </c>
      <c r="AM14" s="5">
        <v>1</v>
      </c>
      <c r="AN14" s="8">
        <v>4</v>
      </c>
      <c r="AO14" s="8">
        <v>4</v>
      </c>
      <c r="AP14" s="8">
        <v>4</v>
      </c>
      <c r="AQ14" s="5">
        <f t="shared" si="10"/>
        <v>4</v>
      </c>
      <c r="AR14" s="5" t="str">
        <f t="shared" si="11"/>
        <v>ALTO</v>
      </c>
      <c r="AS14" s="5">
        <v>4</v>
      </c>
      <c r="AT14" s="7">
        <v>3.6</v>
      </c>
      <c r="AU14" s="7">
        <v>3.6</v>
      </c>
      <c r="AV14" s="7">
        <v>3.6</v>
      </c>
      <c r="AW14" s="5">
        <f t="shared" si="34"/>
        <v>3.6000000000000005</v>
      </c>
      <c r="AX14" s="5" t="str">
        <f t="shared" si="12"/>
        <v>BASICO</v>
      </c>
      <c r="AY14" s="5">
        <v>1</v>
      </c>
      <c r="AZ14" s="7">
        <v>4.5</v>
      </c>
      <c r="BA14" s="7">
        <v>4</v>
      </c>
      <c r="BB14" s="7">
        <v>4.5</v>
      </c>
      <c r="BC14" s="5">
        <f t="shared" si="13"/>
        <v>4.3</v>
      </c>
      <c r="BD14" s="5" t="str">
        <f t="shared" si="14"/>
        <v>ALTO</v>
      </c>
      <c r="BE14" s="7">
        <v>2</v>
      </c>
      <c r="BF14" s="7">
        <v>3.3</v>
      </c>
      <c r="BG14" s="7">
        <v>3.5</v>
      </c>
      <c r="BH14" s="7">
        <v>3.6</v>
      </c>
      <c r="BI14" s="5">
        <f t="shared" si="35"/>
        <v>3.47</v>
      </c>
      <c r="BJ14" s="5" t="str">
        <f t="shared" si="15"/>
        <v>BASICO</v>
      </c>
      <c r="BK14" s="5">
        <v>1</v>
      </c>
      <c r="BL14" s="7">
        <v>3.3</v>
      </c>
      <c r="BM14" s="7">
        <v>3.7</v>
      </c>
      <c r="BN14" s="7">
        <v>3.8</v>
      </c>
      <c r="BO14" s="5">
        <f t="shared" si="16"/>
        <v>3.6100000000000003</v>
      </c>
      <c r="BP14" s="5" t="str">
        <f t="shared" si="17"/>
        <v>BASICO</v>
      </c>
      <c r="BQ14" s="5">
        <v>1</v>
      </c>
      <c r="BR14" s="7">
        <v>3.2</v>
      </c>
      <c r="BS14" s="7">
        <v>3.8</v>
      </c>
      <c r="BT14" s="7">
        <v>3.6</v>
      </c>
      <c r="BU14" s="5">
        <f t="shared" si="18"/>
        <v>3.56</v>
      </c>
      <c r="BV14" s="5" t="str">
        <f t="shared" si="19"/>
        <v>BASICO</v>
      </c>
      <c r="BW14" s="5">
        <v>1</v>
      </c>
      <c r="BX14" s="7">
        <v>3.3</v>
      </c>
      <c r="BY14" s="7">
        <v>3.6</v>
      </c>
      <c r="BZ14" s="7">
        <v>3.9</v>
      </c>
      <c r="CA14" s="5">
        <f t="shared" si="20"/>
        <v>3.6</v>
      </c>
      <c r="CB14" s="5" t="str">
        <f t="shared" si="21"/>
        <v>BASICO</v>
      </c>
      <c r="CC14" s="5">
        <v>1</v>
      </c>
      <c r="CD14" s="7">
        <v>4</v>
      </c>
      <c r="CE14" s="7">
        <v>3.8</v>
      </c>
      <c r="CF14" s="7">
        <v>3.8</v>
      </c>
      <c r="CG14" s="5">
        <f t="shared" si="22"/>
        <v>3.8599999999999994</v>
      </c>
      <c r="CH14" s="5" t="str">
        <f t="shared" si="23"/>
        <v>BASICO</v>
      </c>
      <c r="CI14" s="5">
        <v>1</v>
      </c>
      <c r="CJ14" s="7">
        <v>4.5</v>
      </c>
      <c r="CK14" s="7">
        <v>4.5</v>
      </c>
      <c r="CL14" s="7">
        <v>4.5</v>
      </c>
      <c r="CM14" s="5">
        <f t="shared" si="24"/>
        <v>4.5</v>
      </c>
      <c r="CN14" s="5" t="str">
        <f t="shared" si="25"/>
        <v>SUPERIOR</v>
      </c>
      <c r="CO14" s="5">
        <v>1</v>
      </c>
      <c r="CP14" s="7">
        <v>5</v>
      </c>
      <c r="CQ14" s="7">
        <v>5</v>
      </c>
      <c r="CR14" s="7">
        <v>5</v>
      </c>
      <c r="CS14" s="5">
        <f t="shared" si="26"/>
        <v>5</v>
      </c>
      <c r="CT14" s="5" t="str">
        <f t="shared" si="27"/>
        <v>SUPERIOR</v>
      </c>
      <c r="CU14" s="5">
        <v>2</v>
      </c>
      <c r="CV14" s="7">
        <v>4.5</v>
      </c>
      <c r="CW14" s="7">
        <v>4.5</v>
      </c>
      <c r="CX14" s="7">
        <v>4.5</v>
      </c>
      <c r="CY14" s="5">
        <f t="shared" si="28"/>
        <v>4.5</v>
      </c>
      <c r="CZ14" s="5" t="str">
        <f t="shared" si="29"/>
        <v>SUPERIOR</v>
      </c>
      <c r="DA14" s="5">
        <v>2</v>
      </c>
      <c r="DB14" s="7">
        <v>3.5</v>
      </c>
      <c r="DC14" s="7">
        <v>3.5</v>
      </c>
      <c r="DD14" s="7">
        <v>3.5</v>
      </c>
      <c r="DE14" s="5">
        <f t="shared" si="30"/>
        <v>3.5</v>
      </c>
      <c r="DF14" s="5" t="str">
        <f t="shared" si="31"/>
        <v>BASICO</v>
      </c>
      <c r="DG14" s="5">
        <v>0</v>
      </c>
      <c r="DH14" s="7">
        <v>3.5</v>
      </c>
      <c r="DI14" s="5" t="str">
        <f t="shared" si="32"/>
        <v>BASICO</v>
      </c>
      <c r="DJ14" s="5">
        <f t="shared" si="33"/>
        <v>3.6435294117647059</v>
      </c>
      <c r="DK14" s="5" t="str">
        <f t="shared" si="36"/>
        <v>Comprende el concepto de números reales, su relación de orden y las propiedades de sus operaciones, así como las relaciones de semejanza y congruencia de distintas figuras geométricas.</v>
      </c>
      <c r="DL14" s="5" t="str">
        <f t="shared" ref="DL14:FJ14" si="48">DL13</f>
        <v>Aplica correctamente las propiedades de las operaciones de números reales y expresiones algebraicas en la resolución de problemas.</v>
      </c>
      <c r="DM14" s="5" t="str">
        <f t="shared" si="48"/>
        <v>Valora el uso del pensamiento lógico a la hora de plantear y resolver problemas de las matemáticas y de la vida cotidiana.</v>
      </c>
      <c r="DN14" s="5" t="str">
        <f t="shared" si="4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4" s="5" t="str">
        <f t="shared" si="48"/>
        <v>Organiza y analiza datos mediante la construcción de tablas de frecuencias y diagramas estadísticos, identificando variables aleatorias y utilizando estas representaciones para resolver situaciones problema.</v>
      </c>
      <c r="DP14" s="5" t="str">
        <f t="shared" si="48"/>
        <v>Muestra disposición y responsabilidad en el manejo y análisis de datos, participando activamente en actividades individuales y colaborativas, y comunicando información estadística con claridad y sentido crítico.</v>
      </c>
      <c r="DQ14" s="5" t="str">
        <f t="shared" si="48"/>
        <v>Analiza las características de la literatura prehispánica y la literatura del descubrimiento y la conquista en Colombia identificando sus elementos fundamentales y su impacto en la cultura y el lenguaje actual.</v>
      </c>
      <c r="DR14" s="5" t="str">
        <f t="shared" si="48"/>
        <v>Realiza comprensión lectora cuando analiza un texto desde el discurso de la Enunciación e identifica la función de cada uno de sus componentes.
Responde preguntas en los tres niveles de lectura a una leyenda del Caribe.</v>
      </c>
      <c r="DS14" s="5" t="str">
        <f t="shared" si="48"/>
        <v>Muestra disposición para participar activamente en las clases, promoviendo el respeto por las ideas ajenas y reconociendo la importancia de la precisión como una herramienta clave para una comunicación</v>
      </c>
      <c r="DT14" s="5" t="str">
        <f t="shared" si="48"/>
        <v>Comprende el contenido del cuento A la deriva, identificando su tema central, la secuencia de los hechos, los personajes y las ideas explícitas e implícitas del texto.</v>
      </c>
      <c r="DU14" s="5" t="str">
        <f t="shared" si="48"/>
        <v>Analiza críticamente el cuento A la deriva mediante la identificación de información literal, inferencial y crítica, sustentando sus respuestas de forma oral y escrita.</v>
      </c>
      <c r="DV14" s="5" t="str">
        <f t="shared" si="48"/>
        <v>Valora la lectura literaria como una oportunidad para reflexionar sobre la vida, la naturaleza y la condición humana, participando con interés, respeto y sentido crítico en las actividades propuestas.</v>
      </c>
      <c r="DW14" s="5" t="str">
        <f t="shared" si="48"/>
        <v>Comprende y reconoce vocabulario y estructuras basicas del ingles para interpretar textos cortos y conversaciones sobre temas cotidianos de la vida diaria.</v>
      </c>
      <c r="DX14" s="5" t="str">
        <f t="shared" si="48"/>
        <v>Produce de forma oral y escrita frases y parrafos cortos en Ingles, utilizando correctamente las estructuras conocidas para describir rutinas, narrar experiencias y participar en conversaciones.</v>
      </c>
      <c r="DY14" s="5" t="str">
        <f t="shared" si="48"/>
        <v>Muestra disposicion positiva hacia el aprendizaje del Ingles participando activamente en clase.</v>
      </c>
      <c r="DZ14" s="5" t="str">
        <f t="shared" si="48"/>
        <v>Identifica vocabulario en Ingles  de situaciones cotidianas.</v>
      </c>
      <c r="EA14" s="5" t="str">
        <f t="shared" si="48"/>
        <v>Participa en actividades utilizando vocabulario aprendido para expresar gustos,emociones y necesidades.</v>
      </c>
      <c r="EB14" s="5" t="str">
        <f t="shared" si="48"/>
        <v>Respeta la opinion de los demas, muestra disposicion para participar en actividades orales.</v>
      </c>
      <c r="EC14" s="5" t="str">
        <f t="shared" si="48"/>
        <v>Identifica la conformación y funcionamiento del sistema inmunolófico y diferencia las característics de los estados de la materia.</v>
      </c>
      <c r="ED14" s="5" t="str">
        <f t="shared" si="48"/>
        <v>Reconoce experimentalmente las características de materiales en los diferentes estados de la materia.</v>
      </c>
      <c r="EE14" s="5" t="str">
        <f t="shared" si="48"/>
        <v xml:space="preserve">Valora la importancia de tener habitos saludables, para lograr el mantenimiento saludable del sistema inmune. </v>
      </c>
      <c r="EF14" s="5" t="str">
        <f t="shared" si="48"/>
        <v>Describe correctamente la secuencia de eventos biologicos de la fecundacion,incluyendo las recciones acrosomicas,la funcion de gametos y la formacion de gametos.</v>
      </c>
      <c r="EG14" s="5" t="str">
        <f t="shared" si="48"/>
        <v>Mide la capacidad del labolatrio para lograr la fecundacion exitosa de los ovulos con el espermatozoide.</v>
      </c>
      <c r="EH14" s="5" t="str">
        <f t="shared" si="48"/>
        <v>Valora la importancia del cuidado del cuerpo y de la salud reproductiva como la base para una fecundacion saludable.</v>
      </c>
      <c r="EI14" s="5" t="str">
        <f t="shared" si="48"/>
        <v>Explico las principales caracteristicas de algunas revoluciones de los siglos XVIII y XIX (Revolucion francesa, Industrial...)</v>
      </c>
      <c r="EJ14" s="5" t="str">
        <f t="shared" si="48"/>
        <v>Analiza las causas y consecuencias de procesos historicos como la Revolucion Industrial y Francesa.</v>
      </c>
      <c r="EK14" s="5" t="str">
        <f t="shared" si="48"/>
        <v>Muestra interes y curiosidad por comprender los procesos historicos y su impacto en la sociedad.</v>
      </c>
      <c r="EL14" s="5" t="str">
        <f t="shared" si="48"/>
        <v xml:space="preserve">Identifica los procesos historicos de algunas revoluciones de los siglos XVIII y XIX </v>
      </c>
      <c r="EM14" s="5">
        <f t="shared" si="48"/>
        <v>0</v>
      </c>
      <c r="EN14" s="5">
        <f t="shared" si="48"/>
        <v>0</v>
      </c>
      <c r="EO14" s="5" t="str">
        <f t="shared" si="48"/>
        <v xml:space="preserve">Comprende la distribucion espacial de la poblacion antes y despues de las revoluciones </v>
      </c>
      <c r="EP14" s="5" t="str">
        <f t="shared" si="48"/>
        <v xml:space="preserve">Ubica en mapas las regiones donde se desarrollaron las principales revoluciones y explica sus caracteristicas geograficas </v>
      </c>
      <c r="EQ14" s="5" t="str">
        <f t="shared" si="48"/>
        <v>Muestra interes por comprender la relacion entre sociedad, economia y territorio</v>
      </c>
      <c r="ER14" s="5" t="str">
        <f t="shared" si="48"/>
        <v>Comprende el concepto de cultura de paz y su importancia en la sociedad</v>
      </c>
      <c r="ES14" s="5" t="str">
        <f t="shared" si="48"/>
        <v>Practica normas de convivencia en diferentes espacios( aula, hogar, comunidad)</v>
      </c>
      <c r="ET14" s="5" t="str">
        <f t="shared" si="48"/>
        <v>Muestra actitud de respeto hacia la diversidad cuktural, social y de pensamiento</v>
      </c>
      <c r="EU14" s="5">
        <f t="shared" si="48"/>
        <v>0</v>
      </c>
      <c r="EV14" s="5">
        <f t="shared" si="48"/>
        <v>0</v>
      </c>
      <c r="EW14" s="5">
        <f t="shared" si="48"/>
        <v>0</v>
      </c>
      <c r="EX14" s="5">
        <f t="shared" si="48"/>
        <v>0</v>
      </c>
      <c r="EY14" s="5">
        <f t="shared" si="48"/>
        <v>0</v>
      </c>
      <c r="EZ14" s="5">
        <f t="shared" si="48"/>
        <v>0</v>
      </c>
      <c r="FA14" s="5">
        <f t="shared" si="48"/>
        <v>0</v>
      </c>
      <c r="FB14" s="5">
        <f t="shared" si="48"/>
        <v>0</v>
      </c>
      <c r="FC14" s="5">
        <f t="shared" si="48"/>
        <v>0</v>
      </c>
      <c r="FD14" s="5" t="str">
        <f t="shared" si="48"/>
        <v xml:space="preserve"> Identifica las expresiones motrices relacionadas con el juego del voleibol,  como una oportunidad para mejorar la salud, la estética y las relaciones con los demás.</v>
      </c>
      <c r="FE14" s="5" t="str">
        <f t="shared" si="48"/>
        <v>Pone en práctica los fundamentos básicos del voleibol.</v>
      </c>
      <c r="FF14" s="5" t="str">
        <f t="shared" si="48"/>
        <v>Muestra  responsabilidad y buena actitud al realizar el juego de voleibol.</v>
      </c>
      <c r="FG14" s="5" t="str">
        <f t="shared" si="48"/>
        <v>Comprende el concepto de variable como espacio de almacenamiento de datos y reconoce el uso de estructuras condicionales (si, si-no) para la toma de decisiones en un programa.</v>
      </c>
      <c r="FH14" s="5" t="str">
        <f t="shared" si="48"/>
        <v>Diseña y desarrolla programas que utilizan variables y estructuras condicionales para resolver problemas, evaluando condiciones y generando respuestas según diferentes situaciones.</v>
      </c>
      <c r="FI14" s="5" t="str">
        <f t="shared" si="48"/>
        <v>Muestra pensamiento lógico, perseverancia y actitud crítica al analizar errores y proponer soluciones en la construcción de programas con variables y condicionales.</v>
      </c>
      <c r="FJ14" s="5" t="str">
        <f t="shared" si="48"/>
        <v>Identifica y reconoce sus pricipales deberes y derechos dentro y fuera  de la Institución educativa.</v>
      </c>
    </row>
    <row r="15" spans="1:166">
      <c r="A15" s="5">
        <v>14</v>
      </c>
      <c r="B15" s="5" t="s">
        <v>148</v>
      </c>
      <c r="C15" s="6">
        <v>1043183654</v>
      </c>
      <c r="D15" s="5" t="s">
        <v>134</v>
      </c>
      <c r="E15" s="5" t="s">
        <v>135</v>
      </c>
      <c r="F15" s="5" t="s">
        <v>70</v>
      </c>
      <c r="G15" s="5" t="s">
        <v>71</v>
      </c>
      <c r="H15" s="5">
        <v>2026</v>
      </c>
      <c r="I15" s="5">
        <v>4</v>
      </c>
      <c r="J15" s="7">
        <v>3</v>
      </c>
      <c r="K15" s="7">
        <v>3.1</v>
      </c>
      <c r="L15" s="7">
        <v>3.2</v>
      </c>
      <c r="M15" s="5">
        <f t="shared" si="0"/>
        <v>3.1</v>
      </c>
      <c r="N15" s="5" t="str">
        <f t="shared" si="1"/>
        <v>BASICO</v>
      </c>
      <c r="O15" s="5">
        <v>1</v>
      </c>
      <c r="P15" s="7">
        <v>4</v>
      </c>
      <c r="Q15" s="7">
        <v>4</v>
      </c>
      <c r="R15" s="7">
        <v>4</v>
      </c>
      <c r="S15" s="5">
        <f t="shared" si="2"/>
        <v>4</v>
      </c>
      <c r="T15" s="5" t="str">
        <f t="shared" si="3"/>
        <v>ALTO</v>
      </c>
      <c r="U15" s="5">
        <v>4</v>
      </c>
      <c r="V15" s="7"/>
      <c r="W15" s="7"/>
      <c r="X15" s="7"/>
      <c r="Y15" s="5">
        <f t="shared" si="4"/>
        <v>0</v>
      </c>
      <c r="Z15" s="5" t="str">
        <f t="shared" si="5"/>
        <v>BAJO</v>
      </c>
      <c r="AA15" s="5">
        <v>1</v>
      </c>
      <c r="AB15" s="7">
        <v>3.8</v>
      </c>
      <c r="AC15" s="7">
        <v>3.8</v>
      </c>
      <c r="AD15" s="7">
        <v>3.8</v>
      </c>
      <c r="AE15" s="5">
        <f t="shared" si="6"/>
        <v>3.8</v>
      </c>
      <c r="AF15" s="5" t="str">
        <f t="shared" si="7"/>
        <v>BASICO</v>
      </c>
      <c r="AG15" s="5">
        <v>2</v>
      </c>
      <c r="AH15" s="8">
        <v>3.8</v>
      </c>
      <c r="AI15" s="8">
        <v>3.8</v>
      </c>
      <c r="AJ15" s="8">
        <v>3.8</v>
      </c>
      <c r="AK15" s="5">
        <f t="shared" si="8"/>
        <v>3.8</v>
      </c>
      <c r="AL15" s="5" t="str">
        <f t="shared" si="9"/>
        <v>BASICO</v>
      </c>
      <c r="AM15" s="5">
        <v>1</v>
      </c>
      <c r="AN15" s="8">
        <v>3.8</v>
      </c>
      <c r="AO15" s="8">
        <v>3.8</v>
      </c>
      <c r="AP15" s="8">
        <v>3.8</v>
      </c>
      <c r="AQ15" s="5">
        <f t="shared" si="10"/>
        <v>3.8</v>
      </c>
      <c r="AR15" s="5" t="str">
        <f t="shared" si="11"/>
        <v>BASICO</v>
      </c>
      <c r="AS15" s="5">
        <v>4</v>
      </c>
      <c r="AT15" s="7">
        <v>3.5</v>
      </c>
      <c r="AU15" s="7">
        <v>3.5</v>
      </c>
      <c r="AV15" s="7">
        <v>3.5</v>
      </c>
      <c r="AW15" s="5">
        <f t="shared" si="34"/>
        <v>3.5</v>
      </c>
      <c r="AX15" s="5" t="str">
        <f t="shared" si="12"/>
        <v>BASICO</v>
      </c>
      <c r="AY15" s="5">
        <v>1</v>
      </c>
      <c r="AZ15" s="7">
        <v>4.5</v>
      </c>
      <c r="BA15" s="7">
        <v>4.5</v>
      </c>
      <c r="BB15" s="7">
        <v>4.5</v>
      </c>
      <c r="BC15" s="5">
        <f t="shared" si="13"/>
        <v>4.5</v>
      </c>
      <c r="BD15" s="5" t="str">
        <f t="shared" si="14"/>
        <v>SUPERIOR</v>
      </c>
      <c r="BE15" s="7">
        <v>2</v>
      </c>
      <c r="BF15" s="7">
        <v>3.4</v>
      </c>
      <c r="BG15" s="7">
        <v>3.3</v>
      </c>
      <c r="BH15" s="7">
        <v>3.6</v>
      </c>
      <c r="BI15" s="5">
        <f t="shared" si="35"/>
        <v>3.42</v>
      </c>
      <c r="BJ15" s="5" t="str">
        <f t="shared" si="15"/>
        <v>BASICO</v>
      </c>
      <c r="BK15" s="5">
        <v>1</v>
      </c>
      <c r="BL15" s="7">
        <v>3.3</v>
      </c>
      <c r="BM15" s="7">
        <v>3.6</v>
      </c>
      <c r="BN15" s="7">
        <v>3.6</v>
      </c>
      <c r="BO15" s="5">
        <f t="shared" si="16"/>
        <v>3.5100000000000002</v>
      </c>
      <c r="BP15" s="5" t="str">
        <f t="shared" si="17"/>
        <v>BASICO</v>
      </c>
      <c r="BQ15" s="5">
        <v>1</v>
      </c>
      <c r="BR15" s="7">
        <v>3.8</v>
      </c>
      <c r="BS15" s="7">
        <v>3.3</v>
      </c>
      <c r="BT15" s="7">
        <v>3.5</v>
      </c>
      <c r="BU15" s="5">
        <f t="shared" si="18"/>
        <v>3.51</v>
      </c>
      <c r="BV15" s="5" t="str">
        <f t="shared" si="19"/>
        <v>BASICO</v>
      </c>
      <c r="BW15" s="5">
        <v>1</v>
      </c>
      <c r="BX15" s="7">
        <v>3.3</v>
      </c>
      <c r="BY15" s="7">
        <v>3.8</v>
      </c>
      <c r="BZ15" s="7">
        <v>3.7</v>
      </c>
      <c r="CA15" s="5">
        <f t="shared" si="20"/>
        <v>3.62</v>
      </c>
      <c r="CB15" s="5" t="str">
        <f t="shared" si="21"/>
        <v>BASICO</v>
      </c>
      <c r="CC15" s="5">
        <v>1</v>
      </c>
      <c r="CD15" s="7">
        <v>4.5</v>
      </c>
      <c r="CE15" s="7">
        <v>4.5</v>
      </c>
      <c r="CF15" s="7">
        <v>4.5</v>
      </c>
      <c r="CG15" s="5">
        <f t="shared" si="22"/>
        <v>4.5</v>
      </c>
      <c r="CH15" s="5" t="str">
        <f t="shared" si="23"/>
        <v>SUPERIOR</v>
      </c>
      <c r="CI15" s="5">
        <v>1</v>
      </c>
      <c r="CJ15" s="7">
        <v>4</v>
      </c>
      <c r="CK15" s="7">
        <v>4</v>
      </c>
      <c r="CL15" s="7">
        <v>4</v>
      </c>
      <c r="CM15" s="5">
        <f t="shared" si="24"/>
        <v>4</v>
      </c>
      <c r="CN15" s="5" t="str">
        <f t="shared" si="25"/>
        <v>ALTO</v>
      </c>
      <c r="CO15" s="5">
        <v>1</v>
      </c>
      <c r="CP15" s="7">
        <v>5</v>
      </c>
      <c r="CQ15" s="7">
        <v>5</v>
      </c>
      <c r="CR15" s="7">
        <v>5</v>
      </c>
      <c r="CS15" s="5">
        <f t="shared" si="26"/>
        <v>5</v>
      </c>
      <c r="CT15" s="5" t="str">
        <f t="shared" si="27"/>
        <v>SUPERIOR</v>
      </c>
      <c r="CU15" s="5">
        <v>2</v>
      </c>
      <c r="CV15" s="7">
        <v>3.5</v>
      </c>
      <c r="CW15" s="7">
        <v>3.5</v>
      </c>
      <c r="CX15" s="7">
        <v>3.5</v>
      </c>
      <c r="CY15" s="5">
        <f t="shared" si="28"/>
        <v>3.5</v>
      </c>
      <c r="CZ15" s="5" t="str">
        <f t="shared" si="29"/>
        <v>BASICO</v>
      </c>
      <c r="DA15" s="5">
        <v>2</v>
      </c>
      <c r="DB15" s="7">
        <v>3.5</v>
      </c>
      <c r="DC15" s="7">
        <v>3.5</v>
      </c>
      <c r="DD15" s="7">
        <v>3.5</v>
      </c>
      <c r="DE15" s="5">
        <f t="shared" si="30"/>
        <v>3.5</v>
      </c>
      <c r="DF15" s="5" t="str">
        <f t="shared" si="31"/>
        <v>BASICO</v>
      </c>
      <c r="DG15" s="5">
        <v>0</v>
      </c>
      <c r="DH15" s="7">
        <v>3.5</v>
      </c>
      <c r="DI15" s="5" t="str">
        <f t="shared" si="32"/>
        <v>BASICO</v>
      </c>
      <c r="DJ15" s="5">
        <f t="shared" si="33"/>
        <v>3.591176470588235</v>
      </c>
      <c r="DK15" s="5" t="str">
        <f t="shared" si="36"/>
        <v>Comprende el concepto de números reales, su relación de orden y las propiedades de sus operaciones, así como las relaciones de semejanza y congruencia de distintas figuras geométricas.</v>
      </c>
      <c r="DL15" s="5" t="str">
        <f t="shared" ref="DL15:FJ15" si="49">DL14</f>
        <v>Aplica correctamente las propiedades de las operaciones de números reales y expresiones algebraicas en la resolución de problemas.</v>
      </c>
      <c r="DM15" s="5" t="str">
        <f t="shared" si="49"/>
        <v>Valora el uso del pensamiento lógico a la hora de plantear y resolver problemas de las matemáticas y de la vida cotidiana.</v>
      </c>
      <c r="DN15" s="5" t="str">
        <f t="shared" si="4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5" s="5" t="str">
        <f t="shared" si="49"/>
        <v>Organiza y analiza datos mediante la construcción de tablas de frecuencias y diagramas estadísticos, identificando variables aleatorias y utilizando estas representaciones para resolver situaciones problema.</v>
      </c>
      <c r="DP15" s="5" t="str">
        <f t="shared" si="49"/>
        <v>Muestra disposición y responsabilidad en el manejo y análisis de datos, participando activamente en actividades individuales y colaborativas, y comunicando información estadística con claridad y sentido crítico.</v>
      </c>
      <c r="DQ15" s="5" t="str">
        <f t="shared" si="49"/>
        <v>Analiza las características de la literatura prehispánica y la literatura del descubrimiento y la conquista en Colombia identificando sus elementos fundamentales y su impacto en la cultura y el lenguaje actual.</v>
      </c>
      <c r="DR15" s="5" t="str">
        <f t="shared" si="49"/>
        <v>Realiza comprensión lectora cuando analiza un texto desde el discurso de la Enunciación e identifica la función de cada uno de sus componentes.
Responde preguntas en los tres niveles de lectura a una leyenda del Caribe.</v>
      </c>
      <c r="DS15" s="5" t="str">
        <f t="shared" si="49"/>
        <v>Muestra disposición para participar activamente en las clases, promoviendo el respeto por las ideas ajenas y reconociendo la importancia de la precisión como una herramienta clave para una comunicación</v>
      </c>
      <c r="DT15" s="5" t="str">
        <f t="shared" si="49"/>
        <v>Comprende el contenido del cuento A la deriva, identificando su tema central, la secuencia de los hechos, los personajes y las ideas explícitas e implícitas del texto.</v>
      </c>
      <c r="DU15" s="5" t="str">
        <f t="shared" si="49"/>
        <v>Analiza críticamente el cuento A la deriva mediante la identificación de información literal, inferencial y crítica, sustentando sus respuestas de forma oral y escrita.</v>
      </c>
      <c r="DV15" s="5" t="str">
        <f t="shared" si="49"/>
        <v>Valora la lectura literaria como una oportunidad para reflexionar sobre la vida, la naturaleza y la condición humana, participando con interés, respeto y sentido crítico en las actividades propuestas.</v>
      </c>
      <c r="DW15" s="5" t="str">
        <f t="shared" si="49"/>
        <v>Comprende y reconoce vocabulario y estructuras basicas del ingles para interpretar textos cortos y conversaciones sobre temas cotidianos de la vida diaria.</v>
      </c>
      <c r="DX15" s="5" t="str">
        <f t="shared" si="49"/>
        <v>Produce de forma oral y escrita frases y parrafos cortos en Ingles, utilizando correctamente las estructuras conocidas para describir rutinas, narrar experiencias y participar en conversaciones.</v>
      </c>
      <c r="DY15" s="5" t="str">
        <f t="shared" si="49"/>
        <v>Muestra disposicion positiva hacia el aprendizaje del Ingles participando activamente en clase.</v>
      </c>
      <c r="DZ15" s="5" t="str">
        <f t="shared" si="49"/>
        <v>Identifica vocabulario en Ingles  de situaciones cotidianas.</v>
      </c>
      <c r="EA15" s="5" t="str">
        <f t="shared" si="49"/>
        <v>Participa en actividades utilizando vocabulario aprendido para expresar gustos,emociones y necesidades.</v>
      </c>
      <c r="EB15" s="5" t="str">
        <f t="shared" si="49"/>
        <v>Respeta la opinion de los demas, muestra disposicion para participar en actividades orales.</v>
      </c>
      <c r="EC15" s="5" t="str">
        <f t="shared" si="49"/>
        <v>Identifica la conformación y funcionamiento del sistema inmunolófico y diferencia las característics de los estados de la materia.</v>
      </c>
      <c r="ED15" s="5" t="str">
        <f t="shared" si="49"/>
        <v>Reconoce experimentalmente las características de materiales en los diferentes estados de la materia.</v>
      </c>
      <c r="EE15" s="5" t="str">
        <f t="shared" si="49"/>
        <v xml:space="preserve">Valora la importancia de tener habitos saludables, para lograr el mantenimiento saludable del sistema inmune. </v>
      </c>
      <c r="EF15" s="5" t="str">
        <f t="shared" si="49"/>
        <v>Describe correctamente la secuencia de eventos biologicos de la fecundacion,incluyendo las recciones acrosomicas,la funcion de gametos y la formacion de gametos.</v>
      </c>
      <c r="EG15" s="5" t="str">
        <f t="shared" si="49"/>
        <v>Mide la capacidad del labolatrio para lograr la fecundacion exitosa de los ovulos con el espermatozoide.</v>
      </c>
      <c r="EH15" s="5" t="str">
        <f t="shared" si="49"/>
        <v>Valora la importancia del cuidado del cuerpo y de la salud reproductiva como la base para una fecundacion saludable.</v>
      </c>
      <c r="EI15" s="5" t="str">
        <f t="shared" si="49"/>
        <v>Explico las principales caracteristicas de algunas revoluciones de los siglos XVIII y XIX (Revolucion francesa, Industrial...)</v>
      </c>
      <c r="EJ15" s="5" t="str">
        <f t="shared" si="49"/>
        <v>Analiza las causas y consecuencias de procesos historicos como la Revolucion Industrial y Francesa.</v>
      </c>
      <c r="EK15" s="5" t="str">
        <f t="shared" si="49"/>
        <v>Muestra interes y curiosidad por comprender los procesos historicos y su impacto en la sociedad.</v>
      </c>
      <c r="EL15" s="5" t="str">
        <f t="shared" si="49"/>
        <v xml:space="preserve">Identifica los procesos historicos de algunas revoluciones de los siglos XVIII y XIX </v>
      </c>
      <c r="EM15" s="5">
        <f t="shared" si="49"/>
        <v>0</v>
      </c>
      <c r="EN15" s="5">
        <f t="shared" si="49"/>
        <v>0</v>
      </c>
      <c r="EO15" s="5" t="str">
        <f t="shared" si="49"/>
        <v xml:space="preserve">Comprende la distribucion espacial de la poblacion antes y despues de las revoluciones </v>
      </c>
      <c r="EP15" s="5" t="str">
        <f t="shared" si="49"/>
        <v xml:space="preserve">Ubica en mapas las regiones donde se desarrollaron las principales revoluciones y explica sus caracteristicas geograficas </v>
      </c>
      <c r="EQ15" s="5" t="str">
        <f t="shared" si="49"/>
        <v>Muestra interes por comprender la relacion entre sociedad, economia y territorio</v>
      </c>
      <c r="ER15" s="5" t="str">
        <f t="shared" si="49"/>
        <v>Comprende el concepto de cultura de paz y su importancia en la sociedad</v>
      </c>
      <c r="ES15" s="5" t="str">
        <f t="shared" si="49"/>
        <v>Practica normas de convivencia en diferentes espacios( aula, hogar, comunidad)</v>
      </c>
      <c r="ET15" s="5" t="str">
        <f t="shared" si="49"/>
        <v>Muestra actitud de respeto hacia la diversidad cuktural, social y de pensamiento</v>
      </c>
      <c r="EU15" s="5">
        <f t="shared" si="49"/>
        <v>0</v>
      </c>
      <c r="EV15" s="5">
        <f t="shared" si="49"/>
        <v>0</v>
      </c>
      <c r="EW15" s="5">
        <f t="shared" si="49"/>
        <v>0</v>
      </c>
      <c r="EX15" s="5">
        <f t="shared" si="49"/>
        <v>0</v>
      </c>
      <c r="EY15" s="5">
        <f t="shared" si="49"/>
        <v>0</v>
      </c>
      <c r="EZ15" s="5">
        <f t="shared" si="49"/>
        <v>0</v>
      </c>
      <c r="FA15" s="5">
        <f t="shared" si="49"/>
        <v>0</v>
      </c>
      <c r="FB15" s="5">
        <f t="shared" si="49"/>
        <v>0</v>
      </c>
      <c r="FC15" s="5">
        <f t="shared" si="49"/>
        <v>0</v>
      </c>
      <c r="FD15" s="5" t="str">
        <f t="shared" si="49"/>
        <v xml:space="preserve"> Identifica las expresiones motrices relacionadas con el juego del voleibol,  como una oportunidad para mejorar la salud, la estética y las relaciones con los demás.</v>
      </c>
      <c r="FE15" s="5" t="str">
        <f t="shared" si="49"/>
        <v>Pone en práctica los fundamentos básicos del voleibol.</v>
      </c>
      <c r="FF15" s="5" t="str">
        <f t="shared" si="49"/>
        <v>Muestra  responsabilidad y buena actitud al realizar el juego de voleibol.</v>
      </c>
      <c r="FG15" s="5" t="str">
        <f t="shared" si="49"/>
        <v>Comprende el concepto de variable como espacio de almacenamiento de datos y reconoce el uso de estructuras condicionales (si, si-no) para la toma de decisiones en un programa.</v>
      </c>
      <c r="FH15" s="5" t="str">
        <f t="shared" si="49"/>
        <v>Diseña y desarrolla programas que utilizan variables y estructuras condicionales para resolver problemas, evaluando condiciones y generando respuestas según diferentes situaciones.</v>
      </c>
      <c r="FI15" s="5" t="str">
        <f t="shared" si="49"/>
        <v>Muestra pensamiento lógico, perseverancia y actitud crítica al analizar errores y proponer soluciones en la construcción de programas con variables y condicionales.</v>
      </c>
      <c r="FJ15" s="5" t="str">
        <f t="shared" si="49"/>
        <v>Identifica y reconoce sus pricipales deberes y derechos dentro y fuera  de la Institución educativa.</v>
      </c>
    </row>
    <row r="16" spans="1:166">
      <c r="A16" s="5">
        <v>15</v>
      </c>
      <c r="B16" s="5" t="s">
        <v>149</v>
      </c>
      <c r="C16" s="6">
        <v>1043172287</v>
      </c>
      <c r="D16" s="5" t="s">
        <v>134</v>
      </c>
      <c r="E16" s="5" t="s">
        <v>135</v>
      </c>
      <c r="F16" s="5" t="s">
        <v>70</v>
      </c>
      <c r="G16" s="5" t="s">
        <v>71</v>
      </c>
      <c r="H16" s="5">
        <v>2026</v>
      </c>
      <c r="I16" s="5">
        <v>4</v>
      </c>
      <c r="J16" s="7">
        <v>3</v>
      </c>
      <c r="K16" s="7">
        <v>3</v>
      </c>
      <c r="L16" s="7">
        <v>3</v>
      </c>
      <c r="M16" s="5">
        <f t="shared" si="0"/>
        <v>3</v>
      </c>
      <c r="N16" s="5" t="str">
        <f t="shared" si="1"/>
        <v>BASICO</v>
      </c>
      <c r="O16" s="5">
        <v>1</v>
      </c>
      <c r="P16" s="7">
        <v>2.8</v>
      </c>
      <c r="Q16" s="7">
        <v>2.8</v>
      </c>
      <c r="R16" s="7">
        <v>2.8</v>
      </c>
      <c r="S16" s="5">
        <f t="shared" si="2"/>
        <v>2.8</v>
      </c>
      <c r="T16" s="5" t="str">
        <f t="shared" si="3"/>
        <v>BAJO</v>
      </c>
      <c r="U16" s="5">
        <v>4</v>
      </c>
      <c r="V16" s="7"/>
      <c r="W16" s="7"/>
      <c r="X16" s="7"/>
      <c r="Y16" s="5">
        <f t="shared" si="4"/>
        <v>0</v>
      </c>
      <c r="Z16" s="5" t="str">
        <f t="shared" si="5"/>
        <v>BAJO</v>
      </c>
      <c r="AA16" s="5">
        <v>1</v>
      </c>
      <c r="AB16" s="7">
        <v>3.3</v>
      </c>
      <c r="AC16" s="7">
        <v>3.3</v>
      </c>
      <c r="AD16" s="7">
        <v>3.3</v>
      </c>
      <c r="AE16" s="5">
        <f t="shared" si="6"/>
        <v>3.3</v>
      </c>
      <c r="AF16" s="5" t="str">
        <f t="shared" si="7"/>
        <v>BASICO</v>
      </c>
      <c r="AG16" s="5">
        <v>2</v>
      </c>
      <c r="AH16" s="8">
        <v>3.5</v>
      </c>
      <c r="AI16" s="8">
        <v>3.5</v>
      </c>
      <c r="AJ16" s="8">
        <v>3.5</v>
      </c>
      <c r="AK16" s="5">
        <f t="shared" si="8"/>
        <v>3.5</v>
      </c>
      <c r="AL16" s="5" t="str">
        <f t="shared" si="9"/>
        <v>BASICO</v>
      </c>
      <c r="AM16" s="5">
        <v>1</v>
      </c>
      <c r="AN16" s="8">
        <v>3.5</v>
      </c>
      <c r="AO16" s="8">
        <v>3.5</v>
      </c>
      <c r="AP16" s="8">
        <v>3.5</v>
      </c>
      <c r="AQ16" s="5">
        <f t="shared" si="10"/>
        <v>3.5</v>
      </c>
      <c r="AR16" s="5" t="str">
        <f t="shared" si="11"/>
        <v>BASICO</v>
      </c>
      <c r="AS16" s="5">
        <v>4</v>
      </c>
      <c r="AT16" s="7">
        <v>3</v>
      </c>
      <c r="AU16" s="7">
        <v>3</v>
      </c>
      <c r="AV16" s="7">
        <v>3</v>
      </c>
      <c r="AW16" s="5">
        <f t="shared" si="34"/>
        <v>3</v>
      </c>
      <c r="AX16" s="5" t="str">
        <f t="shared" si="12"/>
        <v>BASICO</v>
      </c>
      <c r="AY16" s="5">
        <v>1</v>
      </c>
      <c r="AZ16" s="7">
        <v>3.5</v>
      </c>
      <c r="BA16" s="7">
        <v>3.5</v>
      </c>
      <c r="BB16" s="7">
        <v>3.4</v>
      </c>
      <c r="BC16" s="5">
        <f t="shared" si="13"/>
        <v>3.47</v>
      </c>
      <c r="BD16" s="5" t="str">
        <f t="shared" si="14"/>
        <v>BASICO</v>
      </c>
      <c r="BE16" s="7">
        <v>2</v>
      </c>
      <c r="BF16" s="7">
        <v>2.5</v>
      </c>
      <c r="BG16" s="7">
        <v>2.8</v>
      </c>
      <c r="BH16" s="7">
        <v>2.6</v>
      </c>
      <c r="BI16" s="5">
        <f t="shared" si="35"/>
        <v>2.65</v>
      </c>
      <c r="BJ16" s="5" t="str">
        <f t="shared" si="15"/>
        <v>BAJO</v>
      </c>
      <c r="BK16" s="5">
        <v>1</v>
      </c>
      <c r="BL16" s="7">
        <v>2.8</v>
      </c>
      <c r="BM16" s="7">
        <v>2.6</v>
      </c>
      <c r="BN16" s="7">
        <v>2.8</v>
      </c>
      <c r="BO16" s="5">
        <f t="shared" si="16"/>
        <v>2.7199999999999998</v>
      </c>
      <c r="BP16" s="5" t="str">
        <f t="shared" si="17"/>
        <v>BAJO</v>
      </c>
      <c r="BQ16" s="5">
        <v>1</v>
      </c>
      <c r="BR16" s="7">
        <v>2.8</v>
      </c>
      <c r="BS16" s="7">
        <v>2.6</v>
      </c>
      <c r="BT16" s="7">
        <v>2.8</v>
      </c>
      <c r="BU16" s="5">
        <f t="shared" si="18"/>
        <v>2.7199999999999998</v>
      </c>
      <c r="BV16" s="5" t="str">
        <f t="shared" si="19"/>
        <v>BAJO</v>
      </c>
      <c r="BW16" s="5">
        <v>1</v>
      </c>
      <c r="BX16" s="7">
        <v>2</v>
      </c>
      <c r="BY16" s="7">
        <v>2</v>
      </c>
      <c r="BZ16" s="7">
        <v>2</v>
      </c>
      <c r="CA16" s="5">
        <f t="shared" si="20"/>
        <v>2</v>
      </c>
      <c r="CB16" s="5" t="str">
        <f t="shared" si="21"/>
        <v>BAJO</v>
      </c>
      <c r="CC16" s="5">
        <v>1</v>
      </c>
      <c r="CD16" s="7">
        <v>4</v>
      </c>
      <c r="CE16" s="7">
        <v>3.8</v>
      </c>
      <c r="CF16" s="7">
        <v>3.8</v>
      </c>
      <c r="CG16" s="5">
        <f t="shared" si="22"/>
        <v>3.8599999999999994</v>
      </c>
      <c r="CH16" s="5" t="str">
        <f t="shared" si="23"/>
        <v>BASICO</v>
      </c>
      <c r="CI16" s="5">
        <v>1</v>
      </c>
      <c r="CJ16" s="7">
        <v>4.5999999999999996</v>
      </c>
      <c r="CK16" s="7">
        <v>4.5</v>
      </c>
      <c r="CL16" s="7">
        <v>4.5</v>
      </c>
      <c r="CM16" s="5">
        <f t="shared" si="24"/>
        <v>4.5299999999999994</v>
      </c>
      <c r="CN16" s="5" t="str">
        <f t="shared" si="25"/>
        <v>SUPERIOR</v>
      </c>
      <c r="CO16" s="5">
        <v>1</v>
      </c>
      <c r="CP16" s="7">
        <v>4</v>
      </c>
      <c r="CQ16" s="7">
        <v>4</v>
      </c>
      <c r="CR16" s="7">
        <v>4</v>
      </c>
      <c r="CS16" s="5">
        <f t="shared" si="26"/>
        <v>4</v>
      </c>
      <c r="CT16" s="5" t="str">
        <f t="shared" si="27"/>
        <v>ALTO</v>
      </c>
      <c r="CU16" s="5">
        <v>2</v>
      </c>
      <c r="CV16" s="7">
        <v>3.8</v>
      </c>
      <c r="CW16" s="7">
        <v>3.8</v>
      </c>
      <c r="CX16" s="7">
        <v>3.8</v>
      </c>
      <c r="CY16" s="5">
        <f t="shared" si="28"/>
        <v>3.8</v>
      </c>
      <c r="CZ16" s="5" t="str">
        <f t="shared" si="29"/>
        <v>BASICO</v>
      </c>
      <c r="DA16" s="5">
        <v>2</v>
      </c>
      <c r="DB16" s="7">
        <v>4.5</v>
      </c>
      <c r="DC16" s="7">
        <v>4.3</v>
      </c>
      <c r="DD16" s="7">
        <v>4.2</v>
      </c>
      <c r="DE16" s="5">
        <f t="shared" si="30"/>
        <v>4.33</v>
      </c>
      <c r="DF16" s="5" t="str">
        <f t="shared" si="31"/>
        <v>ALTO</v>
      </c>
      <c r="DG16" s="5">
        <v>0</v>
      </c>
      <c r="DH16" s="7">
        <v>4.2</v>
      </c>
      <c r="DI16" s="5" t="str">
        <f t="shared" si="32"/>
        <v>ALTO</v>
      </c>
      <c r="DJ16" s="5">
        <f t="shared" si="33"/>
        <v>3.2152941176470584</v>
      </c>
      <c r="DK16" s="5" t="str">
        <f t="shared" si="36"/>
        <v>Comprende el concepto de números reales, su relación de orden y las propiedades de sus operaciones, así como las relaciones de semejanza y congruencia de distintas figuras geométricas.</v>
      </c>
      <c r="DL16" s="5" t="str">
        <f t="shared" ref="DL16:FJ16" si="50">DL15</f>
        <v>Aplica correctamente las propiedades de las operaciones de números reales y expresiones algebraicas en la resolución de problemas.</v>
      </c>
      <c r="DM16" s="5" t="str">
        <f t="shared" si="50"/>
        <v>Valora el uso del pensamiento lógico a la hora de plantear y resolver problemas de las matemáticas y de la vida cotidiana.</v>
      </c>
      <c r="DN16" s="5" t="str">
        <f t="shared" si="5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6" s="5" t="str">
        <f t="shared" si="50"/>
        <v>Organiza y analiza datos mediante la construcción de tablas de frecuencias y diagramas estadísticos, identificando variables aleatorias y utilizando estas representaciones para resolver situaciones problema.</v>
      </c>
      <c r="DP16" s="5" t="str">
        <f t="shared" si="50"/>
        <v>Muestra disposición y responsabilidad en el manejo y análisis de datos, participando activamente en actividades individuales y colaborativas, y comunicando información estadística con claridad y sentido crítico.</v>
      </c>
      <c r="DQ16" s="5" t="str">
        <f t="shared" si="50"/>
        <v>Analiza las características de la literatura prehispánica y la literatura del descubrimiento y la conquista en Colombia identificando sus elementos fundamentales y su impacto en la cultura y el lenguaje actual.</v>
      </c>
      <c r="DR16" s="5" t="str">
        <f t="shared" si="50"/>
        <v>Realiza comprensión lectora cuando analiza un texto desde el discurso de la Enunciación e identifica la función de cada uno de sus componentes.
Responde preguntas en los tres niveles de lectura a una leyenda del Caribe.</v>
      </c>
      <c r="DS16" s="5" t="str">
        <f t="shared" si="50"/>
        <v>Muestra disposición para participar activamente en las clases, promoviendo el respeto por las ideas ajenas y reconociendo la importancia de la precisión como una herramienta clave para una comunicación</v>
      </c>
      <c r="DT16" s="5" t="str">
        <f t="shared" si="50"/>
        <v>Comprende el contenido del cuento A la deriva, identificando su tema central, la secuencia de los hechos, los personajes y las ideas explícitas e implícitas del texto.</v>
      </c>
      <c r="DU16" s="5" t="str">
        <f t="shared" si="50"/>
        <v>Analiza críticamente el cuento A la deriva mediante la identificación de información literal, inferencial y crítica, sustentando sus respuestas de forma oral y escrita.</v>
      </c>
      <c r="DV16" s="5" t="str">
        <f t="shared" si="50"/>
        <v>Valora la lectura literaria como una oportunidad para reflexionar sobre la vida, la naturaleza y la condición humana, participando con interés, respeto y sentido crítico en las actividades propuestas.</v>
      </c>
      <c r="DW16" s="5" t="str">
        <f t="shared" si="50"/>
        <v>Comprende y reconoce vocabulario y estructuras basicas del ingles para interpretar textos cortos y conversaciones sobre temas cotidianos de la vida diaria.</v>
      </c>
      <c r="DX16" s="5" t="str">
        <f t="shared" si="50"/>
        <v>Produce de forma oral y escrita frases y parrafos cortos en Ingles, utilizando correctamente las estructuras conocidas para describir rutinas, narrar experiencias y participar en conversaciones.</v>
      </c>
      <c r="DY16" s="5" t="str">
        <f t="shared" si="50"/>
        <v>Muestra disposicion positiva hacia el aprendizaje del Ingles participando activamente en clase.</v>
      </c>
      <c r="DZ16" s="5" t="str">
        <f t="shared" si="50"/>
        <v>Identifica vocabulario en Ingles  de situaciones cotidianas.</v>
      </c>
      <c r="EA16" s="5" t="str">
        <f t="shared" si="50"/>
        <v>Participa en actividades utilizando vocabulario aprendido para expresar gustos,emociones y necesidades.</v>
      </c>
      <c r="EB16" s="5" t="str">
        <f t="shared" si="50"/>
        <v>Respeta la opinion de los demas, muestra disposicion para participar en actividades orales.</v>
      </c>
      <c r="EC16" s="5" t="str">
        <f t="shared" si="50"/>
        <v>Identifica la conformación y funcionamiento del sistema inmunolófico y diferencia las característics de los estados de la materia.</v>
      </c>
      <c r="ED16" s="5" t="str">
        <f t="shared" si="50"/>
        <v>Reconoce experimentalmente las características de materiales en los diferentes estados de la materia.</v>
      </c>
      <c r="EE16" s="5" t="str">
        <f t="shared" si="50"/>
        <v xml:space="preserve">Valora la importancia de tener habitos saludables, para lograr el mantenimiento saludable del sistema inmune. </v>
      </c>
      <c r="EF16" s="5" t="str">
        <f t="shared" si="50"/>
        <v>Describe correctamente la secuencia de eventos biologicos de la fecundacion,incluyendo las recciones acrosomicas,la funcion de gametos y la formacion de gametos.</v>
      </c>
      <c r="EG16" s="5" t="str">
        <f t="shared" si="50"/>
        <v>Mide la capacidad del labolatrio para lograr la fecundacion exitosa de los ovulos con el espermatozoide.</v>
      </c>
      <c r="EH16" s="5" t="str">
        <f t="shared" si="50"/>
        <v>Valora la importancia del cuidado del cuerpo y de la salud reproductiva como la base para una fecundacion saludable.</v>
      </c>
      <c r="EI16" s="5" t="str">
        <f t="shared" si="50"/>
        <v>Explico las principales caracteristicas de algunas revoluciones de los siglos XVIII y XIX (Revolucion francesa, Industrial...)</v>
      </c>
      <c r="EJ16" s="5" t="str">
        <f t="shared" si="50"/>
        <v>Analiza las causas y consecuencias de procesos historicos como la Revolucion Industrial y Francesa.</v>
      </c>
      <c r="EK16" s="5" t="str">
        <f t="shared" si="50"/>
        <v>Muestra interes y curiosidad por comprender los procesos historicos y su impacto en la sociedad.</v>
      </c>
      <c r="EL16" s="5" t="str">
        <f t="shared" si="50"/>
        <v xml:space="preserve">Identifica los procesos historicos de algunas revoluciones de los siglos XVIII y XIX </v>
      </c>
      <c r="EM16" s="5">
        <f t="shared" si="50"/>
        <v>0</v>
      </c>
      <c r="EN16" s="5">
        <f t="shared" si="50"/>
        <v>0</v>
      </c>
      <c r="EO16" s="5" t="str">
        <f t="shared" si="50"/>
        <v xml:space="preserve">Comprende la distribucion espacial de la poblacion antes y despues de las revoluciones </v>
      </c>
      <c r="EP16" s="5" t="str">
        <f t="shared" si="50"/>
        <v xml:space="preserve">Ubica en mapas las regiones donde se desarrollaron las principales revoluciones y explica sus caracteristicas geograficas </v>
      </c>
      <c r="EQ16" s="5" t="str">
        <f t="shared" si="50"/>
        <v>Muestra interes por comprender la relacion entre sociedad, economia y territorio</v>
      </c>
      <c r="ER16" s="5" t="str">
        <f t="shared" si="50"/>
        <v>Comprende el concepto de cultura de paz y su importancia en la sociedad</v>
      </c>
      <c r="ES16" s="5" t="str">
        <f t="shared" si="50"/>
        <v>Practica normas de convivencia en diferentes espacios( aula, hogar, comunidad)</v>
      </c>
      <c r="ET16" s="5" t="str">
        <f t="shared" si="50"/>
        <v>Muestra actitud de respeto hacia la diversidad cuktural, social y de pensamiento</v>
      </c>
      <c r="EU16" s="5">
        <f t="shared" si="50"/>
        <v>0</v>
      </c>
      <c r="EV16" s="5">
        <f t="shared" si="50"/>
        <v>0</v>
      </c>
      <c r="EW16" s="5">
        <f t="shared" si="50"/>
        <v>0</v>
      </c>
      <c r="EX16" s="5">
        <f t="shared" si="50"/>
        <v>0</v>
      </c>
      <c r="EY16" s="5">
        <f t="shared" si="50"/>
        <v>0</v>
      </c>
      <c r="EZ16" s="5">
        <f t="shared" si="50"/>
        <v>0</v>
      </c>
      <c r="FA16" s="5">
        <f t="shared" si="50"/>
        <v>0</v>
      </c>
      <c r="FB16" s="5">
        <f t="shared" si="50"/>
        <v>0</v>
      </c>
      <c r="FC16" s="5">
        <f t="shared" si="50"/>
        <v>0</v>
      </c>
      <c r="FD16" s="5" t="str">
        <f t="shared" si="50"/>
        <v xml:space="preserve"> Identifica las expresiones motrices relacionadas con el juego del voleibol,  como una oportunidad para mejorar la salud, la estética y las relaciones con los demás.</v>
      </c>
      <c r="FE16" s="5" t="str">
        <f t="shared" si="50"/>
        <v>Pone en práctica los fundamentos básicos del voleibol.</v>
      </c>
      <c r="FF16" s="5" t="str">
        <f t="shared" si="50"/>
        <v>Muestra  responsabilidad y buena actitud al realizar el juego de voleibol.</v>
      </c>
      <c r="FG16" s="5" t="str">
        <f t="shared" si="50"/>
        <v>Comprende el concepto de variable como espacio de almacenamiento de datos y reconoce el uso de estructuras condicionales (si, si-no) para la toma de decisiones en un programa.</v>
      </c>
      <c r="FH16" s="5" t="str">
        <f t="shared" si="50"/>
        <v>Diseña y desarrolla programas que utilizan variables y estructuras condicionales para resolver problemas, evaluando condiciones y generando respuestas según diferentes situaciones.</v>
      </c>
      <c r="FI16" s="5" t="str">
        <f t="shared" si="50"/>
        <v>Muestra pensamiento lógico, perseverancia y actitud crítica al analizar errores y proponer soluciones en la construcción de programas con variables y condicionales.</v>
      </c>
      <c r="FJ16" s="5" t="str">
        <f t="shared" si="50"/>
        <v>Identifica y reconoce sus pricipales deberes y derechos dentro y fuera  de la Institución educativa.</v>
      </c>
    </row>
    <row r="17" spans="1:166">
      <c r="A17" s="5">
        <v>16</v>
      </c>
      <c r="B17" s="5" t="s">
        <v>150</v>
      </c>
      <c r="C17" s="6">
        <v>1044648891</v>
      </c>
      <c r="D17" s="5" t="s">
        <v>134</v>
      </c>
      <c r="E17" s="5" t="s">
        <v>135</v>
      </c>
      <c r="F17" s="5" t="s">
        <v>70</v>
      </c>
      <c r="G17" s="5" t="s">
        <v>71</v>
      </c>
      <c r="H17" s="5">
        <v>2026</v>
      </c>
      <c r="I17" s="5">
        <v>4</v>
      </c>
      <c r="J17" s="7">
        <v>2.2999999999999998</v>
      </c>
      <c r="K17" s="7">
        <v>2.5</v>
      </c>
      <c r="L17" s="7">
        <v>2.7</v>
      </c>
      <c r="M17" s="5">
        <f t="shared" si="0"/>
        <v>2.5</v>
      </c>
      <c r="N17" s="5" t="str">
        <f t="shared" si="1"/>
        <v>BAJO</v>
      </c>
      <c r="O17" s="5">
        <v>1</v>
      </c>
      <c r="P17" s="7">
        <v>4.3</v>
      </c>
      <c r="Q17" s="7">
        <v>4.3</v>
      </c>
      <c r="R17" s="7">
        <v>4.3</v>
      </c>
      <c r="S17" s="5">
        <f t="shared" si="2"/>
        <v>4.3</v>
      </c>
      <c r="T17" s="5" t="str">
        <f t="shared" si="3"/>
        <v>ALTO</v>
      </c>
      <c r="U17" s="5">
        <v>4</v>
      </c>
      <c r="V17" s="7"/>
      <c r="W17" s="7"/>
      <c r="X17" s="7"/>
      <c r="Y17" s="5">
        <f t="shared" si="4"/>
        <v>0</v>
      </c>
      <c r="Z17" s="5" t="str">
        <f t="shared" si="5"/>
        <v>BAJO</v>
      </c>
      <c r="AA17" s="5">
        <v>1</v>
      </c>
      <c r="AB17" s="7">
        <v>3.5</v>
      </c>
      <c r="AC17" s="7">
        <v>3.5</v>
      </c>
      <c r="AD17" s="7">
        <v>3.5</v>
      </c>
      <c r="AE17" s="5">
        <f t="shared" si="6"/>
        <v>3.5</v>
      </c>
      <c r="AF17" s="5" t="str">
        <f t="shared" si="7"/>
        <v>BASICO</v>
      </c>
      <c r="AG17" s="5">
        <v>2</v>
      </c>
      <c r="AH17" s="8">
        <v>2</v>
      </c>
      <c r="AI17" s="8">
        <v>3</v>
      </c>
      <c r="AJ17" s="8">
        <v>3</v>
      </c>
      <c r="AK17" s="5">
        <f t="shared" si="8"/>
        <v>2.7</v>
      </c>
      <c r="AL17" s="5" t="str">
        <f t="shared" si="9"/>
        <v>BAJO</v>
      </c>
      <c r="AM17" s="5">
        <v>1</v>
      </c>
      <c r="AN17" s="8">
        <v>2</v>
      </c>
      <c r="AO17" s="8">
        <v>3</v>
      </c>
      <c r="AP17" s="8">
        <v>3</v>
      </c>
      <c r="AQ17" s="5">
        <f t="shared" si="10"/>
        <v>2.7</v>
      </c>
      <c r="AR17" s="5" t="str">
        <f t="shared" si="11"/>
        <v>BAJO</v>
      </c>
      <c r="AS17" s="5">
        <v>4</v>
      </c>
      <c r="AT17" s="7">
        <v>2.5</v>
      </c>
      <c r="AU17" s="7">
        <v>2.5</v>
      </c>
      <c r="AV17" s="7">
        <v>2.5</v>
      </c>
      <c r="AW17" s="5">
        <f t="shared" si="34"/>
        <v>2.5</v>
      </c>
      <c r="AX17" s="5" t="str">
        <f t="shared" ref="AX17:AX40" si="51">IF(AW17&lt;3,"BAJO",IF(AW17&lt;4,"BASICO",IF(AW17&lt;4.5,"ALTO",IF(AW59&lt;=5,"SUPERIOR"))))</f>
        <v>BAJO</v>
      </c>
      <c r="AY17" s="5">
        <v>1</v>
      </c>
      <c r="AZ17" s="7">
        <v>4</v>
      </c>
      <c r="BA17" s="7">
        <v>3.8</v>
      </c>
      <c r="BB17" s="7">
        <v>3.8</v>
      </c>
      <c r="BC17" s="5">
        <f t="shared" si="13"/>
        <v>3.8599999999999994</v>
      </c>
      <c r="BD17" s="5" t="str">
        <f t="shared" si="14"/>
        <v>BASICO</v>
      </c>
      <c r="BE17" s="7">
        <v>2</v>
      </c>
      <c r="BF17" s="7">
        <v>3.2</v>
      </c>
      <c r="BG17" s="7">
        <v>3.2</v>
      </c>
      <c r="BH17" s="7">
        <v>3.3</v>
      </c>
      <c r="BI17" s="5">
        <f t="shared" si="35"/>
        <v>3.23</v>
      </c>
      <c r="BJ17" s="5" t="str">
        <f t="shared" si="15"/>
        <v>BASICO</v>
      </c>
      <c r="BK17" s="5">
        <v>1</v>
      </c>
      <c r="BL17" s="7">
        <v>3.4</v>
      </c>
      <c r="BM17" s="7">
        <v>3.3</v>
      </c>
      <c r="BN17" s="7">
        <v>3.6</v>
      </c>
      <c r="BO17" s="5">
        <f t="shared" si="16"/>
        <v>3.42</v>
      </c>
      <c r="BP17" s="5" t="str">
        <f t="shared" si="17"/>
        <v>BASICO</v>
      </c>
      <c r="BQ17" s="5">
        <v>1</v>
      </c>
      <c r="BR17" s="7">
        <v>3.2</v>
      </c>
      <c r="BS17" s="7">
        <v>3.2</v>
      </c>
      <c r="BT17" s="7">
        <v>3.3</v>
      </c>
      <c r="BU17" s="5">
        <f t="shared" si="18"/>
        <v>3.23</v>
      </c>
      <c r="BV17" s="5" t="str">
        <f t="shared" si="19"/>
        <v>BASICO</v>
      </c>
      <c r="BW17" s="5">
        <v>1</v>
      </c>
      <c r="BX17" s="7">
        <v>3</v>
      </c>
      <c r="BY17" s="7">
        <v>3</v>
      </c>
      <c r="BZ17" s="7">
        <v>3.4</v>
      </c>
      <c r="CA17" s="5">
        <f t="shared" si="20"/>
        <v>3.12</v>
      </c>
      <c r="CB17" s="5" t="str">
        <f t="shared" si="21"/>
        <v>BASICO</v>
      </c>
      <c r="CC17" s="5">
        <v>1</v>
      </c>
      <c r="CD17" s="7">
        <v>3.4</v>
      </c>
      <c r="CE17" s="7">
        <v>3.5</v>
      </c>
      <c r="CF17" s="7">
        <v>3.5</v>
      </c>
      <c r="CG17" s="5">
        <f t="shared" si="22"/>
        <v>3.4699999999999998</v>
      </c>
      <c r="CH17" s="5" t="str">
        <f t="shared" si="23"/>
        <v>BASICO</v>
      </c>
      <c r="CI17" s="5">
        <v>1</v>
      </c>
      <c r="CJ17" s="7">
        <v>4.5</v>
      </c>
      <c r="CK17" s="7">
        <v>4.5</v>
      </c>
      <c r="CL17" s="7">
        <v>4.4000000000000004</v>
      </c>
      <c r="CM17" s="5">
        <f t="shared" si="24"/>
        <v>4.47</v>
      </c>
      <c r="CN17" s="5" t="str">
        <f t="shared" si="25"/>
        <v>ALTO</v>
      </c>
      <c r="CO17" s="5">
        <v>1</v>
      </c>
      <c r="CP17" s="7">
        <v>5</v>
      </c>
      <c r="CQ17" s="7">
        <v>5</v>
      </c>
      <c r="CR17" s="7">
        <v>5</v>
      </c>
      <c r="CS17" s="5">
        <f t="shared" si="26"/>
        <v>5</v>
      </c>
      <c r="CT17" s="5" t="str">
        <f t="shared" si="27"/>
        <v>SUPERIOR</v>
      </c>
      <c r="CU17" s="5">
        <v>2</v>
      </c>
      <c r="CV17" s="7">
        <v>4.5</v>
      </c>
      <c r="CW17" s="7">
        <v>4.5</v>
      </c>
      <c r="CX17" s="7">
        <v>4.5</v>
      </c>
      <c r="CY17" s="5">
        <f t="shared" si="28"/>
        <v>4.5</v>
      </c>
      <c r="CZ17" s="5" t="str">
        <f t="shared" si="29"/>
        <v>SUPERIOR</v>
      </c>
      <c r="DA17" s="5">
        <v>2</v>
      </c>
      <c r="DB17" s="7">
        <v>3</v>
      </c>
      <c r="DC17" s="7">
        <v>3</v>
      </c>
      <c r="DD17" s="7">
        <v>3</v>
      </c>
      <c r="DE17" s="5">
        <f t="shared" si="30"/>
        <v>3</v>
      </c>
      <c r="DF17" s="5" t="str">
        <f t="shared" si="31"/>
        <v>BASICO</v>
      </c>
      <c r="DG17" s="5">
        <v>0</v>
      </c>
      <c r="DH17" s="7">
        <v>3</v>
      </c>
      <c r="DI17" s="5" t="str">
        <f t="shared" si="32"/>
        <v>BASICO</v>
      </c>
      <c r="DJ17" s="5">
        <f t="shared" si="33"/>
        <v>3.2511764705882351</v>
      </c>
      <c r="DK17" s="5" t="str">
        <f t="shared" si="36"/>
        <v>Comprende el concepto de números reales, su relación de orden y las propiedades de sus operaciones, así como las relaciones de semejanza y congruencia de distintas figuras geométricas.</v>
      </c>
      <c r="DL17" s="5" t="str">
        <f t="shared" ref="DL17:FJ17" si="52">DL15</f>
        <v>Aplica correctamente las propiedades de las operaciones de números reales y expresiones algebraicas en la resolución de problemas.</v>
      </c>
      <c r="DM17" s="5" t="str">
        <f t="shared" si="52"/>
        <v>Valora el uso del pensamiento lógico a la hora de plantear y resolver problemas de las matemáticas y de la vida cotidiana.</v>
      </c>
      <c r="DN17" s="5" t="str">
        <f t="shared" si="5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7" s="5" t="str">
        <f t="shared" si="52"/>
        <v>Organiza y analiza datos mediante la construcción de tablas de frecuencias y diagramas estadísticos, identificando variables aleatorias y utilizando estas representaciones para resolver situaciones problema.</v>
      </c>
      <c r="DP17" s="5" t="str">
        <f t="shared" si="52"/>
        <v>Muestra disposición y responsabilidad en el manejo y análisis de datos, participando activamente en actividades individuales y colaborativas, y comunicando información estadística con claridad y sentido crítico.</v>
      </c>
      <c r="DQ17" s="5" t="str">
        <f t="shared" si="52"/>
        <v>Analiza las características de la literatura prehispánica y la literatura del descubrimiento y la conquista en Colombia identificando sus elementos fundamentales y su impacto en la cultura y el lenguaje actual.</v>
      </c>
      <c r="DR17" s="5" t="str">
        <f t="shared" si="52"/>
        <v>Realiza comprensión lectora cuando analiza un texto desde el discurso de la Enunciación e identifica la función de cada uno de sus componentes.
Responde preguntas en los tres niveles de lectura a una leyenda del Caribe.</v>
      </c>
      <c r="DS17" s="5" t="str">
        <f t="shared" si="52"/>
        <v>Muestra disposición para participar activamente en las clases, promoviendo el respeto por las ideas ajenas y reconociendo la importancia de la precisión como una herramienta clave para una comunicación</v>
      </c>
      <c r="DT17" s="5" t="str">
        <f t="shared" si="52"/>
        <v>Comprende el contenido del cuento A la deriva, identificando su tema central, la secuencia de los hechos, los personajes y las ideas explícitas e implícitas del texto.</v>
      </c>
      <c r="DU17" s="5" t="str">
        <f t="shared" si="52"/>
        <v>Analiza críticamente el cuento A la deriva mediante la identificación de información literal, inferencial y crítica, sustentando sus respuestas de forma oral y escrita.</v>
      </c>
      <c r="DV17" s="5" t="str">
        <f t="shared" si="52"/>
        <v>Valora la lectura literaria como una oportunidad para reflexionar sobre la vida, la naturaleza y la condición humana, participando con interés, respeto y sentido crítico en las actividades propuestas.</v>
      </c>
      <c r="DW17" s="5" t="str">
        <f t="shared" si="52"/>
        <v>Comprende y reconoce vocabulario y estructuras basicas del ingles para interpretar textos cortos y conversaciones sobre temas cotidianos de la vida diaria.</v>
      </c>
      <c r="DX17" s="5" t="str">
        <f t="shared" si="52"/>
        <v>Produce de forma oral y escrita frases y parrafos cortos en Ingles, utilizando correctamente las estructuras conocidas para describir rutinas, narrar experiencias y participar en conversaciones.</v>
      </c>
      <c r="DY17" s="5" t="str">
        <f t="shared" si="52"/>
        <v>Muestra disposicion positiva hacia el aprendizaje del Ingles participando activamente en clase.</v>
      </c>
      <c r="DZ17" s="5" t="str">
        <f t="shared" si="52"/>
        <v>Identifica vocabulario en Ingles  de situaciones cotidianas.</v>
      </c>
      <c r="EA17" s="5" t="str">
        <f t="shared" si="52"/>
        <v>Participa en actividades utilizando vocabulario aprendido para expresar gustos,emociones y necesidades.</v>
      </c>
      <c r="EB17" s="5" t="str">
        <f t="shared" si="52"/>
        <v>Respeta la opinion de los demas, muestra disposicion para participar en actividades orales.</v>
      </c>
      <c r="EC17" s="5" t="str">
        <f t="shared" si="52"/>
        <v>Identifica la conformación y funcionamiento del sistema inmunolófico y diferencia las característics de los estados de la materia.</v>
      </c>
      <c r="ED17" s="5" t="str">
        <f t="shared" si="52"/>
        <v>Reconoce experimentalmente las características de materiales en los diferentes estados de la materia.</v>
      </c>
      <c r="EE17" s="5" t="str">
        <f t="shared" si="52"/>
        <v xml:space="preserve">Valora la importancia de tener habitos saludables, para lograr el mantenimiento saludable del sistema inmune. </v>
      </c>
      <c r="EF17" s="5" t="str">
        <f t="shared" si="52"/>
        <v>Describe correctamente la secuencia de eventos biologicos de la fecundacion,incluyendo las recciones acrosomicas,la funcion de gametos y la formacion de gametos.</v>
      </c>
      <c r="EG17" s="5" t="str">
        <f t="shared" si="52"/>
        <v>Mide la capacidad del labolatrio para lograr la fecundacion exitosa de los ovulos con el espermatozoide.</v>
      </c>
      <c r="EH17" s="5" t="str">
        <f t="shared" si="52"/>
        <v>Valora la importancia del cuidado del cuerpo y de la salud reproductiva como la base para una fecundacion saludable.</v>
      </c>
      <c r="EI17" s="5" t="str">
        <f t="shared" si="52"/>
        <v>Explico las principales caracteristicas de algunas revoluciones de los siglos XVIII y XIX (Revolucion francesa, Industrial...)</v>
      </c>
      <c r="EJ17" s="5" t="str">
        <f t="shared" si="52"/>
        <v>Analiza las causas y consecuencias de procesos historicos como la Revolucion Industrial y Francesa.</v>
      </c>
      <c r="EK17" s="5" t="str">
        <f t="shared" si="52"/>
        <v>Muestra interes y curiosidad por comprender los procesos historicos y su impacto en la sociedad.</v>
      </c>
      <c r="EL17" s="5" t="str">
        <f t="shared" si="52"/>
        <v xml:space="preserve">Identifica los procesos historicos de algunas revoluciones de los siglos XVIII y XIX </v>
      </c>
      <c r="EM17" s="5">
        <f t="shared" si="52"/>
        <v>0</v>
      </c>
      <c r="EN17" s="5">
        <f t="shared" si="52"/>
        <v>0</v>
      </c>
      <c r="EO17" s="5" t="str">
        <f t="shared" si="52"/>
        <v xml:space="preserve">Comprende la distribucion espacial de la poblacion antes y despues de las revoluciones </v>
      </c>
      <c r="EP17" s="5" t="str">
        <f t="shared" si="52"/>
        <v xml:space="preserve">Ubica en mapas las regiones donde se desarrollaron las principales revoluciones y explica sus caracteristicas geograficas </v>
      </c>
      <c r="EQ17" s="5" t="str">
        <f t="shared" si="52"/>
        <v>Muestra interes por comprender la relacion entre sociedad, economia y territorio</v>
      </c>
      <c r="ER17" s="5" t="str">
        <f t="shared" si="52"/>
        <v>Comprende el concepto de cultura de paz y su importancia en la sociedad</v>
      </c>
      <c r="ES17" s="5" t="str">
        <f t="shared" si="52"/>
        <v>Practica normas de convivencia en diferentes espacios( aula, hogar, comunidad)</v>
      </c>
      <c r="ET17" s="5" t="str">
        <f t="shared" si="52"/>
        <v>Muestra actitud de respeto hacia la diversidad cuktural, social y de pensamiento</v>
      </c>
      <c r="EU17" s="5">
        <f t="shared" si="52"/>
        <v>0</v>
      </c>
      <c r="EV17" s="5">
        <f t="shared" si="52"/>
        <v>0</v>
      </c>
      <c r="EW17" s="5">
        <f t="shared" si="52"/>
        <v>0</v>
      </c>
      <c r="EX17" s="5">
        <f t="shared" si="52"/>
        <v>0</v>
      </c>
      <c r="EY17" s="5">
        <f t="shared" si="52"/>
        <v>0</v>
      </c>
      <c r="EZ17" s="5">
        <f t="shared" si="52"/>
        <v>0</v>
      </c>
      <c r="FA17" s="5">
        <f t="shared" si="52"/>
        <v>0</v>
      </c>
      <c r="FB17" s="5">
        <f t="shared" si="52"/>
        <v>0</v>
      </c>
      <c r="FC17" s="5">
        <f t="shared" si="52"/>
        <v>0</v>
      </c>
      <c r="FD17" s="5" t="str">
        <f t="shared" si="52"/>
        <v xml:space="preserve"> Identifica las expresiones motrices relacionadas con el juego del voleibol,  como una oportunidad para mejorar la salud, la estética y las relaciones con los demás.</v>
      </c>
      <c r="FE17" s="5" t="str">
        <f t="shared" si="52"/>
        <v>Pone en práctica los fundamentos básicos del voleibol.</v>
      </c>
      <c r="FF17" s="5" t="str">
        <f t="shared" si="52"/>
        <v>Muestra  responsabilidad y buena actitud al realizar el juego de voleibol.</v>
      </c>
      <c r="FG17" s="5" t="str">
        <f t="shared" si="52"/>
        <v>Comprende el concepto de variable como espacio de almacenamiento de datos y reconoce el uso de estructuras condicionales (si, si-no) para la toma de decisiones en un programa.</v>
      </c>
      <c r="FH17" s="5" t="str">
        <f t="shared" si="52"/>
        <v>Diseña y desarrolla programas que utilizan variables y estructuras condicionales para resolver problemas, evaluando condiciones y generando respuestas según diferentes situaciones.</v>
      </c>
      <c r="FI17" s="5" t="str">
        <f t="shared" si="52"/>
        <v>Muestra pensamiento lógico, perseverancia y actitud crítica al analizar errores y proponer soluciones en la construcción de programas con variables y condicionales.</v>
      </c>
      <c r="FJ17" s="5" t="str">
        <f t="shared" si="52"/>
        <v>Identifica y reconoce sus pricipales deberes y derechos dentro y fuera  de la Institución educativa.</v>
      </c>
    </row>
    <row r="18" spans="1:166">
      <c r="A18" s="5">
        <v>17</v>
      </c>
      <c r="B18" s="5" t="s">
        <v>151</v>
      </c>
      <c r="C18" s="6">
        <v>1044650863</v>
      </c>
      <c r="D18" s="5" t="s">
        <v>134</v>
      </c>
      <c r="E18" s="5" t="s">
        <v>135</v>
      </c>
      <c r="F18" s="5" t="s">
        <v>70</v>
      </c>
      <c r="G18" s="5" t="s">
        <v>71</v>
      </c>
      <c r="H18" s="5">
        <v>2026</v>
      </c>
      <c r="I18" s="5">
        <v>4</v>
      </c>
      <c r="J18" s="7">
        <v>2.4</v>
      </c>
      <c r="K18" s="7">
        <v>2.5</v>
      </c>
      <c r="L18" s="7">
        <v>2.6</v>
      </c>
      <c r="M18" s="5">
        <f t="shared" si="0"/>
        <v>2.5</v>
      </c>
      <c r="N18" s="5" t="str">
        <f t="shared" si="1"/>
        <v>BAJO</v>
      </c>
      <c r="O18" s="5">
        <v>1</v>
      </c>
      <c r="P18" s="7">
        <v>2.2000000000000002</v>
      </c>
      <c r="Q18" s="7">
        <v>2.2000000000000002</v>
      </c>
      <c r="R18" s="7">
        <v>2.2000000000000002</v>
      </c>
      <c r="S18" s="5">
        <f t="shared" si="2"/>
        <v>2.2000000000000002</v>
      </c>
      <c r="T18" s="5" t="str">
        <f t="shared" si="3"/>
        <v>BAJO</v>
      </c>
      <c r="U18" s="5">
        <v>4</v>
      </c>
      <c r="V18" s="7"/>
      <c r="W18" s="7"/>
      <c r="X18" s="7"/>
      <c r="Y18" s="5">
        <f t="shared" si="4"/>
        <v>0</v>
      </c>
      <c r="Z18" s="5" t="str">
        <f t="shared" si="5"/>
        <v>BAJO</v>
      </c>
      <c r="AA18" s="5">
        <v>1</v>
      </c>
      <c r="AB18" s="7">
        <v>2.7</v>
      </c>
      <c r="AC18" s="7">
        <v>2.7</v>
      </c>
      <c r="AD18" s="7">
        <v>2.7</v>
      </c>
      <c r="AE18" s="5">
        <f t="shared" si="6"/>
        <v>2.7</v>
      </c>
      <c r="AF18" s="5" t="str">
        <f t="shared" si="7"/>
        <v>BAJO</v>
      </c>
      <c r="AG18" s="5">
        <v>2</v>
      </c>
      <c r="AH18" s="8">
        <v>1</v>
      </c>
      <c r="AI18" s="8">
        <v>1</v>
      </c>
      <c r="AJ18" s="8">
        <v>1</v>
      </c>
      <c r="AK18" s="5">
        <f t="shared" si="8"/>
        <v>1</v>
      </c>
      <c r="AL18" s="5" t="str">
        <f t="shared" si="9"/>
        <v>BAJO</v>
      </c>
      <c r="AM18" s="5">
        <v>1</v>
      </c>
      <c r="AN18" s="8">
        <v>1</v>
      </c>
      <c r="AO18" s="8">
        <v>1</v>
      </c>
      <c r="AP18" s="8">
        <v>1</v>
      </c>
      <c r="AQ18" s="5">
        <f t="shared" si="10"/>
        <v>1</v>
      </c>
      <c r="AR18" s="5" t="str">
        <f t="shared" si="11"/>
        <v>BAJO</v>
      </c>
      <c r="AS18" s="5">
        <v>4</v>
      </c>
      <c r="AT18" s="7"/>
      <c r="AU18" s="7"/>
      <c r="AV18" s="7"/>
      <c r="AW18" s="5">
        <f t="shared" si="34"/>
        <v>0</v>
      </c>
      <c r="AX18" s="5" t="str">
        <f t="shared" si="51"/>
        <v>BAJO</v>
      </c>
      <c r="AY18" s="5">
        <v>1</v>
      </c>
      <c r="AZ18" s="7">
        <v>2</v>
      </c>
      <c r="BA18" s="7">
        <v>2</v>
      </c>
      <c r="BB18" s="7">
        <v>2</v>
      </c>
      <c r="BC18" s="5">
        <f t="shared" si="13"/>
        <v>2</v>
      </c>
      <c r="BD18" s="5" t="str">
        <f t="shared" si="14"/>
        <v>BAJO</v>
      </c>
      <c r="BE18" s="7">
        <v>2</v>
      </c>
      <c r="BF18" s="7"/>
      <c r="BG18" s="7"/>
      <c r="BH18" s="7"/>
      <c r="BI18" s="5">
        <f t="shared" si="35"/>
        <v>0</v>
      </c>
      <c r="BJ18" s="5" t="str">
        <f t="shared" si="15"/>
        <v>BAJO</v>
      </c>
      <c r="BK18" s="5">
        <v>1</v>
      </c>
      <c r="BL18" s="7"/>
      <c r="BM18" s="7"/>
      <c r="BN18" s="7"/>
      <c r="BO18" s="5">
        <f t="shared" si="16"/>
        <v>0</v>
      </c>
      <c r="BP18" s="5" t="str">
        <f t="shared" si="17"/>
        <v>BAJO</v>
      </c>
      <c r="BQ18" s="5">
        <v>1</v>
      </c>
      <c r="BR18" s="7"/>
      <c r="BS18" s="7"/>
      <c r="BT18" s="7"/>
      <c r="BU18" s="5">
        <f t="shared" si="18"/>
        <v>0</v>
      </c>
      <c r="BV18" s="5" t="str">
        <f t="shared" si="19"/>
        <v>BAJO</v>
      </c>
      <c r="BW18" s="5">
        <v>1</v>
      </c>
      <c r="BX18" s="7"/>
      <c r="BY18" s="7"/>
      <c r="BZ18" s="7"/>
      <c r="CA18" s="5">
        <f t="shared" si="20"/>
        <v>0</v>
      </c>
      <c r="CB18" s="5" t="str">
        <f t="shared" si="21"/>
        <v>BAJO</v>
      </c>
      <c r="CC18" s="5">
        <v>1</v>
      </c>
      <c r="CD18" s="7">
        <v>3</v>
      </c>
      <c r="CE18" s="7">
        <v>3</v>
      </c>
      <c r="CF18" s="7">
        <v>3</v>
      </c>
      <c r="CG18" s="5">
        <f t="shared" si="22"/>
        <v>3</v>
      </c>
      <c r="CH18" s="5" t="str">
        <f t="shared" si="23"/>
        <v>BASICO</v>
      </c>
      <c r="CI18" s="5">
        <v>1</v>
      </c>
      <c r="CJ18" s="7"/>
      <c r="CK18" s="7"/>
      <c r="CL18" s="7"/>
      <c r="CM18" s="5">
        <f t="shared" si="24"/>
        <v>0</v>
      </c>
      <c r="CN18" s="5" t="str">
        <f t="shared" si="25"/>
        <v>BAJO</v>
      </c>
      <c r="CO18" s="5">
        <v>1</v>
      </c>
      <c r="CP18" s="7"/>
      <c r="CQ18" s="7"/>
      <c r="CR18" s="7"/>
      <c r="CS18" s="5">
        <f t="shared" si="26"/>
        <v>0</v>
      </c>
      <c r="CT18" s="5" t="str">
        <f t="shared" si="27"/>
        <v>BAJO</v>
      </c>
      <c r="CU18" s="5">
        <v>2</v>
      </c>
      <c r="CV18" s="7">
        <v>2</v>
      </c>
      <c r="CW18" s="7">
        <v>2</v>
      </c>
      <c r="CX18" s="7">
        <v>2</v>
      </c>
      <c r="CY18" s="5">
        <f t="shared" si="28"/>
        <v>2</v>
      </c>
      <c r="CZ18" s="5" t="str">
        <f t="shared" si="29"/>
        <v>BAJO</v>
      </c>
      <c r="DA18" s="5">
        <v>2</v>
      </c>
      <c r="DB18" s="7">
        <v>1</v>
      </c>
      <c r="DC18" s="7">
        <v>1</v>
      </c>
      <c r="DD18" s="7">
        <v>1</v>
      </c>
      <c r="DE18" s="5">
        <f t="shared" si="30"/>
        <v>1</v>
      </c>
      <c r="DF18" s="5" t="str">
        <f t="shared" si="31"/>
        <v>BAJO</v>
      </c>
      <c r="DG18" s="5">
        <v>0</v>
      </c>
      <c r="DH18" s="7">
        <v>1</v>
      </c>
      <c r="DI18" s="5" t="str">
        <f t="shared" si="32"/>
        <v>BAJO</v>
      </c>
      <c r="DJ18" s="5">
        <f t="shared" si="33"/>
        <v>1.0823529411764705</v>
      </c>
      <c r="DK18" s="5" t="str">
        <f t="shared" si="36"/>
        <v>Comprende el concepto de números reales, su relación de orden y las propiedades de sus operaciones, así como las relaciones de semejanza y congruencia de distintas figuras geométricas.</v>
      </c>
      <c r="DL18" s="5" t="str">
        <f t="shared" ref="DL18:FJ18" si="53">DL16</f>
        <v>Aplica correctamente las propiedades de las operaciones de números reales y expresiones algebraicas en la resolución de problemas.</v>
      </c>
      <c r="DM18" s="5" t="str">
        <f t="shared" si="53"/>
        <v>Valora el uso del pensamiento lógico a la hora de plantear y resolver problemas de las matemáticas y de la vida cotidiana.</v>
      </c>
      <c r="DN18" s="5" t="str">
        <f t="shared" si="5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8" s="5" t="str">
        <f t="shared" si="53"/>
        <v>Organiza y analiza datos mediante la construcción de tablas de frecuencias y diagramas estadísticos, identificando variables aleatorias y utilizando estas representaciones para resolver situaciones problema.</v>
      </c>
      <c r="DP18" s="5" t="str">
        <f t="shared" si="53"/>
        <v>Muestra disposición y responsabilidad en el manejo y análisis de datos, participando activamente en actividades individuales y colaborativas, y comunicando información estadística con claridad y sentido crítico.</v>
      </c>
      <c r="DQ18" s="5" t="str">
        <f t="shared" si="53"/>
        <v>Analiza las características de la literatura prehispánica y la literatura del descubrimiento y la conquista en Colombia identificando sus elementos fundamentales y su impacto en la cultura y el lenguaje actual.</v>
      </c>
      <c r="DR18" s="5" t="str">
        <f t="shared" si="53"/>
        <v>Realiza comprensión lectora cuando analiza un texto desde el discurso de la Enunciación e identifica la función de cada uno de sus componentes.
Responde preguntas en los tres niveles de lectura a una leyenda del Caribe.</v>
      </c>
      <c r="DS18" s="5" t="str">
        <f t="shared" si="53"/>
        <v>Muestra disposición para participar activamente en las clases, promoviendo el respeto por las ideas ajenas y reconociendo la importancia de la precisión como una herramienta clave para una comunicación</v>
      </c>
      <c r="DT18" s="5" t="str">
        <f t="shared" si="53"/>
        <v>Comprende el contenido del cuento A la deriva, identificando su tema central, la secuencia de los hechos, los personajes y las ideas explícitas e implícitas del texto.</v>
      </c>
      <c r="DU18" s="5" t="str">
        <f t="shared" si="53"/>
        <v>Analiza críticamente el cuento A la deriva mediante la identificación de información literal, inferencial y crítica, sustentando sus respuestas de forma oral y escrita.</v>
      </c>
      <c r="DV18" s="5" t="str">
        <f t="shared" si="53"/>
        <v>Valora la lectura literaria como una oportunidad para reflexionar sobre la vida, la naturaleza y la condición humana, participando con interés, respeto y sentido crítico en las actividades propuestas.</v>
      </c>
      <c r="DW18" s="5" t="str">
        <f t="shared" si="53"/>
        <v>Comprende y reconoce vocabulario y estructuras basicas del ingles para interpretar textos cortos y conversaciones sobre temas cotidianos de la vida diaria.</v>
      </c>
      <c r="DX18" s="5" t="str">
        <f t="shared" si="53"/>
        <v>Produce de forma oral y escrita frases y parrafos cortos en Ingles, utilizando correctamente las estructuras conocidas para describir rutinas, narrar experiencias y participar en conversaciones.</v>
      </c>
      <c r="DY18" s="5" t="str">
        <f t="shared" si="53"/>
        <v>Muestra disposicion positiva hacia el aprendizaje del Ingles participando activamente en clase.</v>
      </c>
      <c r="DZ18" s="5" t="str">
        <f t="shared" si="53"/>
        <v>Identifica vocabulario en Ingles  de situaciones cotidianas.</v>
      </c>
      <c r="EA18" s="5" t="str">
        <f t="shared" si="53"/>
        <v>Participa en actividades utilizando vocabulario aprendido para expresar gustos,emociones y necesidades.</v>
      </c>
      <c r="EB18" s="5" t="str">
        <f t="shared" si="53"/>
        <v>Respeta la opinion de los demas, muestra disposicion para participar en actividades orales.</v>
      </c>
      <c r="EC18" s="5" t="str">
        <f t="shared" si="53"/>
        <v>Identifica la conformación y funcionamiento del sistema inmunolófico y diferencia las característics de los estados de la materia.</v>
      </c>
      <c r="ED18" s="5" t="str">
        <f t="shared" si="53"/>
        <v>Reconoce experimentalmente las características de materiales en los diferentes estados de la materia.</v>
      </c>
      <c r="EE18" s="5" t="str">
        <f t="shared" si="53"/>
        <v xml:space="preserve">Valora la importancia de tener habitos saludables, para lograr el mantenimiento saludable del sistema inmune. </v>
      </c>
      <c r="EF18" s="5" t="str">
        <f t="shared" si="53"/>
        <v>Describe correctamente la secuencia de eventos biologicos de la fecundacion,incluyendo las recciones acrosomicas,la funcion de gametos y la formacion de gametos.</v>
      </c>
      <c r="EG18" s="5" t="str">
        <f t="shared" si="53"/>
        <v>Mide la capacidad del labolatrio para lograr la fecundacion exitosa de los ovulos con el espermatozoide.</v>
      </c>
      <c r="EH18" s="5" t="str">
        <f t="shared" si="53"/>
        <v>Valora la importancia del cuidado del cuerpo y de la salud reproductiva como la base para una fecundacion saludable.</v>
      </c>
      <c r="EI18" s="5" t="str">
        <f t="shared" si="53"/>
        <v>Explico las principales caracteristicas de algunas revoluciones de los siglos XVIII y XIX (Revolucion francesa, Industrial...)</v>
      </c>
      <c r="EJ18" s="5" t="str">
        <f t="shared" si="53"/>
        <v>Analiza las causas y consecuencias de procesos historicos como la Revolucion Industrial y Francesa.</v>
      </c>
      <c r="EK18" s="5" t="str">
        <f t="shared" si="53"/>
        <v>Muestra interes y curiosidad por comprender los procesos historicos y su impacto en la sociedad.</v>
      </c>
      <c r="EL18" s="5" t="str">
        <f t="shared" si="53"/>
        <v xml:space="preserve">Identifica los procesos historicos de algunas revoluciones de los siglos XVIII y XIX </v>
      </c>
      <c r="EM18" s="5">
        <f t="shared" si="53"/>
        <v>0</v>
      </c>
      <c r="EN18" s="5">
        <f t="shared" si="53"/>
        <v>0</v>
      </c>
      <c r="EO18" s="5" t="str">
        <f t="shared" si="53"/>
        <v xml:space="preserve">Comprende la distribucion espacial de la poblacion antes y despues de las revoluciones </v>
      </c>
      <c r="EP18" s="5" t="str">
        <f t="shared" si="53"/>
        <v xml:space="preserve">Ubica en mapas las regiones donde se desarrollaron las principales revoluciones y explica sus caracteristicas geograficas </v>
      </c>
      <c r="EQ18" s="5" t="str">
        <f t="shared" si="53"/>
        <v>Muestra interes por comprender la relacion entre sociedad, economia y territorio</v>
      </c>
      <c r="ER18" s="5" t="str">
        <f t="shared" si="53"/>
        <v>Comprende el concepto de cultura de paz y su importancia en la sociedad</v>
      </c>
      <c r="ES18" s="5" t="str">
        <f t="shared" si="53"/>
        <v>Practica normas de convivencia en diferentes espacios( aula, hogar, comunidad)</v>
      </c>
      <c r="ET18" s="5" t="str">
        <f t="shared" si="53"/>
        <v>Muestra actitud de respeto hacia la diversidad cuktural, social y de pensamiento</v>
      </c>
      <c r="EU18" s="5">
        <f t="shared" si="53"/>
        <v>0</v>
      </c>
      <c r="EV18" s="5">
        <f t="shared" si="53"/>
        <v>0</v>
      </c>
      <c r="EW18" s="5">
        <f t="shared" si="53"/>
        <v>0</v>
      </c>
      <c r="EX18" s="5">
        <f t="shared" si="53"/>
        <v>0</v>
      </c>
      <c r="EY18" s="5">
        <f t="shared" si="53"/>
        <v>0</v>
      </c>
      <c r="EZ18" s="5">
        <f t="shared" si="53"/>
        <v>0</v>
      </c>
      <c r="FA18" s="5">
        <f t="shared" si="53"/>
        <v>0</v>
      </c>
      <c r="FB18" s="5">
        <f t="shared" si="53"/>
        <v>0</v>
      </c>
      <c r="FC18" s="5">
        <f t="shared" si="53"/>
        <v>0</v>
      </c>
      <c r="FD18" s="5" t="str">
        <f t="shared" si="53"/>
        <v xml:space="preserve"> Identifica las expresiones motrices relacionadas con el juego del voleibol,  como una oportunidad para mejorar la salud, la estética y las relaciones con los demás.</v>
      </c>
      <c r="FE18" s="5" t="str">
        <f t="shared" si="53"/>
        <v>Pone en práctica los fundamentos básicos del voleibol.</v>
      </c>
      <c r="FF18" s="5" t="str">
        <f t="shared" si="53"/>
        <v>Muestra  responsabilidad y buena actitud al realizar el juego de voleibol.</v>
      </c>
      <c r="FG18" s="5" t="str">
        <f t="shared" si="53"/>
        <v>Comprende el concepto de variable como espacio de almacenamiento de datos y reconoce el uso de estructuras condicionales (si, si-no) para la toma de decisiones en un programa.</v>
      </c>
      <c r="FH18" s="5" t="str">
        <f t="shared" si="53"/>
        <v>Diseña y desarrolla programas que utilizan variables y estructuras condicionales para resolver problemas, evaluando condiciones y generando respuestas según diferentes situaciones.</v>
      </c>
      <c r="FI18" s="5" t="str">
        <f t="shared" si="53"/>
        <v>Muestra pensamiento lógico, perseverancia y actitud crítica al analizar errores y proponer soluciones en la construcción de programas con variables y condicionales.</v>
      </c>
      <c r="FJ18" s="5" t="str">
        <f t="shared" si="53"/>
        <v>Identifica y reconoce sus pricipales deberes y derechos dentro y fuera  de la Institución educativa.</v>
      </c>
    </row>
    <row r="19" spans="1:166">
      <c r="A19" s="5">
        <v>18</v>
      </c>
      <c r="B19" s="5" t="s">
        <v>152</v>
      </c>
      <c r="C19" s="6">
        <v>1044648232</v>
      </c>
      <c r="D19" s="5" t="s">
        <v>134</v>
      </c>
      <c r="E19" s="5" t="s">
        <v>135</v>
      </c>
      <c r="F19" s="5" t="s">
        <v>70</v>
      </c>
      <c r="G19" s="5" t="s">
        <v>71</v>
      </c>
      <c r="H19" s="5">
        <v>2026</v>
      </c>
      <c r="I19" s="5">
        <v>4</v>
      </c>
      <c r="J19" s="7">
        <v>3.4</v>
      </c>
      <c r="K19" s="7">
        <v>3.6</v>
      </c>
      <c r="L19" s="7">
        <v>3.8</v>
      </c>
      <c r="M19" s="5">
        <f t="shared" si="0"/>
        <v>3.5999999999999996</v>
      </c>
      <c r="N19" s="5" t="str">
        <f t="shared" si="1"/>
        <v>BASICO</v>
      </c>
      <c r="O19" s="5">
        <v>1</v>
      </c>
      <c r="P19" s="7">
        <v>2.8</v>
      </c>
      <c r="Q19" s="7">
        <v>2.8</v>
      </c>
      <c r="R19" s="7">
        <v>2.8</v>
      </c>
      <c r="S19" s="5">
        <f t="shared" si="2"/>
        <v>2.8</v>
      </c>
      <c r="T19" s="5" t="str">
        <f t="shared" si="3"/>
        <v>BAJO</v>
      </c>
      <c r="U19" s="5">
        <v>4</v>
      </c>
      <c r="V19" s="7"/>
      <c r="W19" s="7"/>
      <c r="X19" s="7"/>
      <c r="Y19" s="5">
        <f t="shared" si="4"/>
        <v>0</v>
      </c>
      <c r="Z19" s="5" t="str">
        <f t="shared" si="5"/>
        <v>BAJO</v>
      </c>
      <c r="AA19" s="5">
        <v>1</v>
      </c>
      <c r="AB19" s="7">
        <v>4.3</v>
      </c>
      <c r="AC19" s="7">
        <v>4.3</v>
      </c>
      <c r="AD19" s="7">
        <v>4.3</v>
      </c>
      <c r="AE19" s="5">
        <f t="shared" si="6"/>
        <v>4.3</v>
      </c>
      <c r="AF19" s="5" t="str">
        <f t="shared" si="7"/>
        <v>ALTO</v>
      </c>
      <c r="AG19" s="5">
        <v>2</v>
      </c>
      <c r="AH19" s="8">
        <v>4.5</v>
      </c>
      <c r="AI19" s="8">
        <v>4.5</v>
      </c>
      <c r="AJ19" s="8">
        <v>4.5</v>
      </c>
      <c r="AK19" s="5">
        <f t="shared" si="8"/>
        <v>4.5</v>
      </c>
      <c r="AL19" s="5" t="str">
        <f t="shared" si="9"/>
        <v>SUPERIOR</v>
      </c>
      <c r="AM19" s="5">
        <v>1</v>
      </c>
      <c r="AN19" s="8">
        <v>4.5</v>
      </c>
      <c r="AO19" s="8">
        <v>4.5</v>
      </c>
      <c r="AP19" s="8">
        <v>4.5</v>
      </c>
      <c r="AQ19" s="5">
        <f t="shared" si="10"/>
        <v>4.5</v>
      </c>
      <c r="AR19" s="5" t="str">
        <f t="shared" si="11"/>
        <v>SUPERIOR</v>
      </c>
      <c r="AS19" s="5">
        <v>4</v>
      </c>
      <c r="AT19" s="7">
        <v>4.5</v>
      </c>
      <c r="AU19" s="7">
        <v>4.5</v>
      </c>
      <c r="AV19" s="7">
        <v>4.5</v>
      </c>
      <c r="AW19" s="5">
        <f t="shared" si="34"/>
        <v>4.5</v>
      </c>
      <c r="AX19" s="5" t="str">
        <f t="shared" si="51"/>
        <v>SUPERIOR</v>
      </c>
      <c r="AY19" s="5">
        <v>1</v>
      </c>
      <c r="AZ19" s="7">
        <v>4.5</v>
      </c>
      <c r="BA19" s="7">
        <v>3.8</v>
      </c>
      <c r="BB19" s="7">
        <v>3.8</v>
      </c>
      <c r="BC19" s="5">
        <f t="shared" si="13"/>
        <v>4.01</v>
      </c>
      <c r="BD19" s="5" t="str">
        <f t="shared" si="14"/>
        <v>ALTO</v>
      </c>
      <c r="BE19" s="7">
        <v>2</v>
      </c>
      <c r="BF19" s="7">
        <v>4.5</v>
      </c>
      <c r="BG19" s="7">
        <v>4.4000000000000004</v>
      </c>
      <c r="BH19" s="7">
        <v>4.8</v>
      </c>
      <c r="BI19" s="5">
        <f t="shared" si="35"/>
        <v>4.5500000000000007</v>
      </c>
      <c r="BJ19" s="5" t="str">
        <f t="shared" si="15"/>
        <v>SUPERIOR</v>
      </c>
      <c r="BK19" s="5">
        <v>1</v>
      </c>
      <c r="BL19" s="7">
        <v>4.3</v>
      </c>
      <c r="BM19" s="7">
        <v>4.5</v>
      </c>
      <c r="BN19" s="7">
        <v>4.5</v>
      </c>
      <c r="BO19" s="5">
        <f t="shared" si="16"/>
        <v>4.4399999999999995</v>
      </c>
      <c r="BP19" s="5" t="str">
        <f t="shared" si="17"/>
        <v>ALTO</v>
      </c>
      <c r="BQ19" s="5">
        <v>1</v>
      </c>
      <c r="BR19" s="7">
        <v>4</v>
      </c>
      <c r="BS19" s="7">
        <v>4</v>
      </c>
      <c r="BT19" s="7">
        <v>4.5</v>
      </c>
      <c r="BU19" s="5">
        <f t="shared" si="18"/>
        <v>4.1499999999999995</v>
      </c>
      <c r="BV19" s="5" t="str">
        <f t="shared" si="19"/>
        <v>ALTO</v>
      </c>
      <c r="BW19" s="5">
        <v>1</v>
      </c>
      <c r="BX19" s="7">
        <v>4</v>
      </c>
      <c r="BY19" s="7">
        <v>4.5</v>
      </c>
      <c r="BZ19" s="7">
        <v>4.7</v>
      </c>
      <c r="CA19" s="5">
        <f t="shared" si="20"/>
        <v>4.41</v>
      </c>
      <c r="CB19" s="5" t="str">
        <f t="shared" si="21"/>
        <v>ALTO</v>
      </c>
      <c r="CC19" s="5">
        <v>1</v>
      </c>
      <c r="CD19" s="7">
        <v>4.5</v>
      </c>
      <c r="CE19" s="7">
        <v>4.5</v>
      </c>
      <c r="CF19" s="7">
        <v>4.5</v>
      </c>
      <c r="CG19" s="5">
        <f t="shared" si="22"/>
        <v>4.5</v>
      </c>
      <c r="CH19" s="5" t="str">
        <f t="shared" si="23"/>
        <v>SUPERIOR</v>
      </c>
      <c r="CI19" s="5">
        <v>1</v>
      </c>
      <c r="CJ19" s="7">
        <v>4.5999999999999996</v>
      </c>
      <c r="CK19" s="7">
        <v>4.5</v>
      </c>
      <c r="CL19" s="7">
        <v>4.5</v>
      </c>
      <c r="CM19" s="5">
        <f t="shared" si="24"/>
        <v>4.5299999999999994</v>
      </c>
      <c r="CN19" s="5" t="str">
        <f t="shared" si="25"/>
        <v>SUPERIOR</v>
      </c>
      <c r="CO19" s="5">
        <v>1</v>
      </c>
      <c r="CP19" s="7">
        <v>5</v>
      </c>
      <c r="CQ19" s="7">
        <v>5</v>
      </c>
      <c r="CR19" s="7">
        <v>5</v>
      </c>
      <c r="CS19" s="5">
        <f t="shared" si="26"/>
        <v>5</v>
      </c>
      <c r="CT19" s="5" t="str">
        <f t="shared" si="27"/>
        <v>SUPERIOR</v>
      </c>
      <c r="CU19" s="5">
        <v>2</v>
      </c>
      <c r="CV19" s="7">
        <v>3.5</v>
      </c>
      <c r="CW19" s="7">
        <v>3.5</v>
      </c>
      <c r="CX19" s="7">
        <v>3.5</v>
      </c>
      <c r="CY19" s="5">
        <f t="shared" si="28"/>
        <v>3.5</v>
      </c>
      <c r="CZ19" s="5" t="str">
        <f t="shared" si="29"/>
        <v>BASICO</v>
      </c>
      <c r="DA19" s="5">
        <v>2</v>
      </c>
      <c r="DB19" s="7">
        <v>4.5</v>
      </c>
      <c r="DC19" s="7">
        <v>4.5</v>
      </c>
      <c r="DD19" s="7">
        <v>5</v>
      </c>
      <c r="DE19" s="5">
        <f t="shared" si="30"/>
        <v>4.6500000000000004</v>
      </c>
      <c r="DF19" s="5" t="str">
        <f t="shared" si="31"/>
        <v>SUPERIOR</v>
      </c>
      <c r="DG19" s="5">
        <v>0</v>
      </c>
      <c r="DH19" s="7">
        <v>5</v>
      </c>
      <c r="DI19" s="5" t="str">
        <f t="shared" si="32"/>
        <v>SUPERIOR</v>
      </c>
      <c r="DJ19" s="5">
        <f t="shared" si="33"/>
        <v>4.0464705882352945</v>
      </c>
      <c r="DK19" s="5" t="str">
        <f t="shared" si="36"/>
        <v>Comprende el concepto de números reales, su relación de orden y las propiedades de sus operaciones, así como las relaciones de semejanza y congruencia de distintas figuras geométricas.</v>
      </c>
      <c r="DL19" s="5" t="str">
        <f t="shared" ref="DL19:FJ19" si="54">DL18</f>
        <v>Aplica correctamente las propiedades de las operaciones de números reales y expresiones algebraicas en la resolución de problemas.</v>
      </c>
      <c r="DM19" s="5" t="str">
        <f t="shared" si="54"/>
        <v>Valora el uso del pensamiento lógico a la hora de plantear y resolver problemas de las matemáticas y de la vida cotidiana.</v>
      </c>
      <c r="DN19" s="5" t="str">
        <f t="shared" si="5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9" s="5" t="str">
        <f t="shared" si="54"/>
        <v>Organiza y analiza datos mediante la construcción de tablas de frecuencias y diagramas estadísticos, identificando variables aleatorias y utilizando estas representaciones para resolver situaciones problema.</v>
      </c>
      <c r="DP19" s="5" t="str">
        <f t="shared" si="54"/>
        <v>Muestra disposición y responsabilidad en el manejo y análisis de datos, participando activamente en actividades individuales y colaborativas, y comunicando información estadística con claridad y sentido crítico.</v>
      </c>
      <c r="DQ19" s="5" t="str">
        <f t="shared" si="54"/>
        <v>Analiza las características de la literatura prehispánica y la literatura del descubrimiento y la conquista en Colombia identificando sus elementos fundamentales y su impacto en la cultura y el lenguaje actual.</v>
      </c>
      <c r="DR19" s="5" t="str">
        <f t="shared" si="54"/>
        <v>Realiza comprensión lectora cuando analiza un texto desde el discurso de la Enunciación e identifica la función de cada uno de sus componentes.
Responde preguntas en los tres niveles de lectura a una leyenda del Caribe.</v>
      </c>
      <c r="DS19" s="5" t="str">
        <f t="shared" si="54"/>
        <v>Muestra disposición para participar activamente en las clases, promoviendo el respeto por las ideas ajenas y reconociendo la importancia de la precisión como una herramienta clave para una comunicación</v>
      </c>
      <c r="DT19" s="5" t="str">
        <f t="shared" si="54"/>
        <v>Comprende el contenido del cuento A la deriva, identificando su tema central, la secuencia de los hechos, los personajes y las ideas explícitas e implícitas del texto.</v>
      </c>
      <c r="DU19" s="5" t="str">
        <f t="shared" si="54"/>
        <v>Analiza críticamente el cuento A la deriva mediante la identificación de información literal, inferencial y crítica, sustentando sus respuestas de forma oral y escrita.</v>
      </c>
      <c r="DV19" s="5" t="str">
        <f t="shared" si="54"/>
        <v>Valora la lectura literaria como una oportunidad para reflexionar sobre la vida, la naturaleza y la condición humana, participando con interés, respeto y sentido crítico en las actividades propuestas.</v>
      </c>
      <c r="DW19" s="5" t="str">
        <f t="shared" si="54"/>
        <v>Comprende y reconoce vocabulario y estructuras basicas del ingles para interpretar textos cortos y conversaciones sobre temas cotidianos de la vida diaria.</v>
      </c>
      <c r="DX19" s="5" t="str">
        <f t="shared" si="54"/>
        <v>Produce de forma oral y escrita frases y parrafos cortos en Ingles, utilizando correctamente las estructuras conocidas para describir rutinas, narrar experiencias y participar en conversaciones.</v>
      </c>
      <c r="DY19" s="5" t="str">
        <f t="shared" si="54"/>
        <v>Muestra disposicion positiva hacia el aprendizaje del Ingles participando activamente en clase.</v>
      </c>
      <c r="DZ19" s="5" t="str">
        <f t="shared" si="54"/>
        <v>Identifica vocabulario en Ingles  de situaciones cotidianas.</v>
      </c>
      <c r="EA19" s="5" t="str">
        <f t="shared" si="54"/>
        <v>Participa en actividades utilizando vocabulario aprendido para expresar gustos,emociones y necesidades.</v>
      </c>
      <c r="EB19" s="5" t="str">
        <f t="shared" si="54"/>
        <v>Respeta la opinion de los demas, muestra disposicion para participar en actividades orales.</v>
      </c>
      <c r="EC19" s="5" t="str">
        <f t="shared" si="54"/>
        <v>Identifica la conformación y funcionamiento del sistema inmunolófico y diferencia las característics de los estados de la materia.</v>
      </c>
      <c r="ED19" s="5" t="str">
        <f t="shared" si="54"/>
        <v>Reconoce experimentalmente las características de materiales en los diferentes estados de la materia.</v>
      </c>
      <c r="EE19" s="5" t="str">
        <f t="shared" si="54"/>
        <v xml:space="preserve">Valora la importancia de tener habitos saludables, para lograr el mantenimiento saludable del sistema inmune. </v>
      </c>
      <c r="EF19" s="5" t="str">
        <f t="shared" si="54"/>
        <v>Describe correctamente la secuencia de eventos biologicos de la fecundacion,incluyendo las recciones acrosomicas,la funcion de gametos y la formacion de gametos.</v>
      </c>
      <c r="EG19" s="5" t="str">
        <f t="shared" si="54"/>
        <v>Mide la capacidad del labolatrio para lograr la fecundacion exitosa de los ovulos con el espermatozoide.</v>
      </c>
      <c r="EH19" s="5" t="str">
        <f t="shared" si="54"/>
        <v>Valora la importancia del cuidado del cuerpo y de la salud reproductiva como la base para una fecundacion saludable.</v>
      </c>
      <c r="EI19" s="5" t="str">
        <f t="shared" si="54"/>
        <v>Explico las principales caracteristicas de algunas revoluciones de los siglos XVIII y XIX (Revolucion francesa, Industrial...)</v>
      </c>
      <c r="EJ19" s="5" t="str">
        <f t="shared" si="54"/>
        <v>Analiza las causas y consecuencias de procesos historicos como la Revolucion Industrial y Francesa.</v>
      </c>
      <c r="EK19" s="5" t="str">
        <f t="shared" si="54"/>
        <v>Muestra interes y curiosidad por comprender los procesos historicos y su impacto en la sociedad.</v>
      </c>
      <c r="EL19" s="5" t="str">
        <f t="shared" si="54"/>
        <v xml:space="preserve">Identifica los procesos historicos de algunas revoluciones de los siglos XVIII y XIX </v>
      </c>
      <c r="EM19" s="5">
        <f t="shared" si="54"/>
        <v>0</v>
      </c>
      <c r="EN19" s="5">
        <f t="shared" si="54"/>
        <v>0</v>
      </c>
      <c r="EO19" s="5" t="str">
        <f t="shared" si="54"/>
        <v xml:space="preserve">Comprende la distribucion espacial de la poblacion antes y despues de las revoluciones </v>
      </c>
      <c r="EP19" s="5" t="str">
        <f t="shared" si="54"/>
        <v xml:space="preserve">Ubica en mapas las regiones donde se desarrollaron las principales revoluciones y explica sus caracteristicas geograficas </v>
      </c>
      <c r="EQ19" s="5" t="str">
        <f t="shared" si="54"/>
        <v>Muestra interes por comprender la relacion entre sociedad, economia y territorio</v>
      </c>
      <c r="ER19" s="5" t="str">
        <f t="shared" si="54"/>
        <v>Comprende el concepto de cultura de paz y su importancia en la sociedad</v>
      </c>
      <c r="ES19" s="5" t="str">
        <f t="shared" si="54"/>
        <v>Practica normas de convivencia en diferentes espacios( aula, hogar, comunidad)</v>
      </c>
      <c r="ET19" s="5" t="str">
        <f t="shared" si="54"/>
        <v>Muestra actitud de respeto hacia la diversidad cuktural, social y de pensamiento</v>
      </c>
      <c r="EU19" s="5">
        <f t="shared" si="54"/>
        <v>0</v>
      </c>
      <c r="EV19" s="5">
        <f t="shared" si="54"/>
        <v>0</v>
      </c>
      <c r="EW19" s="5">
        <f t="shared" si="54"/>
        <v>0</v>
      </c>
      <c r="EX19" s="5">
        <f t="shared" si="54"/>
        <v>0</v>
      </c>
      <c r="EY19" s="5">
        <f t="shared" si="54"/>
        <v>0</v>
      </c>
      <c r="EZ19" s="5">
        <f t="shared" si="54"/>
        <v>0</v>
      </c>
      <c r="FA19" s="5">
        <f t="shared" si="54"/>
        <v>0</v>
      </c>
      <c r="FB19" s="5">
        <f t="shared" si="54"/>
        <v>0</v>
      </c>
      <c r="FC19" s="5">
        <f t="shared" si="54"/>
        <v>0</v>
      </c>
      <c r="FD19" s="5" t="str">
        <f t="shared" si="54"/>
        <v xml:space="preserve"> Identifica las expresiones motrices relacionadas con el juego del voleibol,  como una oportunidad para mejorar la salud, la estética y las relaciones con los demás.</v>
      </c>
      <c r="FE19" s="5" t="str">
        <f t="shared" si="54"/>
        <v>Pone en práctica los fundamentos básicos del voleibol.</v>
      </c>
      <c r="FF19" s="5" t="str">
        <f t="shared" si="54"/>
        <v>Muestra  responsabilidad y buena actitud al realizar el juego de voleibol.</v>
      </c>
      <c r="FG19" s="5" t="str">
        <f t="shared" si="54"/>
        <v>Comprende el concepto de variable como espacio de almacenamiento de datos y reconoce el uso de estructuras condicionales (si, si-no) para la toma de decisiones en un programa.</v>
      </c>
      <c r="FH19" s="5" t="str">
        <f t="shared" si="54"/>
        <v>Diseña y desarrolla programas que utilizan variables y estructuras condicionales para resolver problemas, evaluando condiciones y generando respuestas según diferentes situaciones.</v>
      </c>
      <c r="FI19" s="5" t="str">
        <f t="shared" si="54"/>
        <v>Muestra pensamiento lógico, perseverancia y actitud crítica al analizar errores y proponer soluciones en la construcción de programas con variables y condicionales.</v>
      </c>
      <c r="FJ19" s="5" t="str">
        <f t="shared" si="54"/>
        <v>Identifica y reconoce sus pricipales deberes y derechos dentro y fuera  de la Institución educativa.</v>
      </c>
    </row>
    <row r="20" spans="1:166">
      <c r="A20" s="5">
        <v>19</v>
      </c>
      <c r="B20" s="5" t="s">
        <v>153</v>
      </c>
      <c r="C20" s="6">
        <v>7759464</v>
      </c>
      <c r="D20" s="5" t="s">
        <v>134</v>
      </c>
      <c r="E20" s="5" t="s">
        <v>135</v>
      </c>
      <c r="F20" s="5" t="s">
        <v>70</v>
      </c>
      <c r="G20" s="5" t="s">
        <v>71</v>
      </c>
      <c r="H20" s="5">
        <v>2026</v>
      </c>
      <c r="I20" s="5">
        <v>4</v>
      </c>
      <c r="J20" s="7">
        <v>2.4</v>
      </c>
      <c r="K20" s="7">
        <v>2.5</v>
      </c>
      <c r="L20" s="7">
        <v>2.6</v>
      </c>
      <c r="M20" s="5">
        <f t="shared" si="0"/>
        <v>2.5</v>
      </c>
      <c r="N20" s="5" t="str">
        <f t="shared" si="1"/>
        <v>BAJO</v>
      </c>
      <c r="O20" s="5">
        <v>1</v>
      </c>
      <c r="P20" s="7">
        <v>3</v>
      </c>
      <c r="Q20" s="7">
        <v>3</v>
      </c>
      <c r="R20" s="7">
        <v>3</v>
      </c>
      <c r="S20" s="5">
        <f t="shared" si="2"/>
        <v>3</v>
      </c>
      <c r="T20" s="5" t="str">
        <f t="shared" si="3"/>
        <v>BASICO</v>
      </c>
      <c r="U20" s="5">
        <v>4</v>
      </c>
      <c r="V20" s="7"/>
      <c r="W20" s="7"/>
      <c r="X20" s="7"/>
      <c r="Y20" s="5">
        <f t="shared" si="4"/>
        <v>0</v>
      </c>
      <c r="Z20" s="5" t="str">
        <f t="shared" si="5"/>
        <v>BAJO</v>
      </c>
      <c r="AA20" s="5">
        <v>1</v>
      </c>
      <c r="AB20" s="7">
        <v>2.2000000000000002</v>
      </c>
      <c r="AC20" s="7">
        <v>2.2000000000000002</v>
      </c>
      <c r="AD20" s="7">
        <v>2.2000000000000002</v>
      </c>
      <c r="AE20" s="5">
        <f t="shared" si="6"/>
        <v>2.2000000000000002</v>
      </c>
      <c r="AF20" s="5" t="str">
        <f t="shared" si="7"/>
        <v>BAJO</v>
      </c>
      <c r="AG20" s="5">
        <v>2</v>
      </c>
      <c r="AH20" s="8">
        <v>3.5</v>
      </c>
      <c r="AI20" s="8">
        <v>3.5</v>
      </c>
      <c r="AJ20" s="8">
        <v>3.5</v>
      </c>
      <c r="AK20" s="5">
        <f t="shared" si="8"/>
        <v>3.5</v>
      </c>
      <c r="AL20" s="5" t="str">
        <f t="shared" si="9"/>
        <v>BASICO</v>
      </c>
      <c r="AM20" s="5">
        <v>1</v>
      </c>
      <c r="AN20" s="8">
        <v>3.5</v>
      </c>
      <c r="AO20" s="8">
        <v>3.5</v>
      </c>
      <c r="AP20" s="8">
        <v>3.5</v>
      </c>
      <c r="AQ20" s="5">
        <f t="shared" si="10"/>
        <v>3.5</v>
      </c>
      <c r="AR20" s="5" t="str">
        <f t="shared" si="11"/>
        <v>BASICO</v>
      </c>
      <c r="AS20" s="5">
        <v>4</v>
      </c>
      <c r="AT20" s="7">
        <v>2.5</v>
      </c>
      <c r="AU20" s="7">
        <v>2.5</v>
      </c>
      <c r="AV20" s="7">
        <v>2.5</v>
      </c>
      <c r="AW20" s="5">
        <f t="shared" si="34"/>
        <v>2.5</v>
      </c>
      <c r="AX20" s="5" t="str">
        <f t="shared" si="51"/>
        <v>BAJO</v>
      </c>
      <c r="AY20" s="5">
        <v>1</v>
      </c>
      <c r="AZ20" s="7">
        <v>3.2</v>
      </c>
      <c r="BA20" s="7">
        <v>3.4</v>
      </c>
      <c r="BB20" s="7">
        <v>3.2</v>
      </c>
      <c r="BC20" s="5">
        <f t="shared" si="13"/>
        <v>3.2800000000000002</v>
      </c>
      <c r="BD20" s="5" t="str">
        <f t="shared" si="14"/>
        <v>BASICO</v>
      </c>
      <c r="BE20" s="7">
        <v>2</v>
      </c>
      <c r="BF20" s="7">
        <v>2</v>
      </c>
      <c r="BG20" s="7">
        <v>2.5</v>
      </c>
      <c r="BH20" s="7">
        <v>2.8</v>
      </c>
      <c r="BI20" s="5">
        <f t="shared" si="35"/>
        <v>2.44</v>
      </c>
      <c r="BJ20" s="5" t="str">
        <f t="shared" si="15"/>
        <v>BAJO</v>
      </c>
      <c r="BK20" s="5">
        <v>1</v>
      </c>
      <c r="BL20" s="7">
        <v>2.6</v>
      </c>
      <c r="BM20" s="7">
        <v>2.5</v>
      </c>
      <c r="BN20" s="7">
        <v>2.8</v>
      </c>
      <c r="BO20" s="5">
        <f t="shared" si="16"/>
        <v>2.62</v>
      </c>
      <c r="BP20" s="5" t="str">
        <f t="shared" si="17"/>
        <v>BAJO</v>
      </c>
      <c r="BQ20" s="5">
        <v>1</v>
      </c>
      <c r="BR20" s="7">
        <v>2.8</v>
      </c>
      <c r="BS20" s="7">
        <v>2.5</v>
      </c>
      <c r="BT20" s="7">
        <v>2.6</v>
      </c>
      <c r="BU20" s="5">
        <f t="shared" si="18"/>
        <v>2.62</v>
      </c>
      <c r="BV20" s="5" t="str">
        <f t="shared" si="19"/>
        <v>BAJO</v>
      </c>
      <c r="BW20" s="5">
        <v>1</v>
      </c>
      <c r="BX20" s="7">
        <v>2</v>
      </c>
      <c r="BY20" s="7">
        <v>2.2000000000000002</v>
      </c>
      <c r="BZ20" s="7">
        <v>2.5</v>
      </c>
      <c r="CA20" s="5">
        <f t="shared" si="20"/>
        <v>2.23</v>
      </c>
      <c r="CB20" s="5" t="str">
        <f t="shared" si="21"/>
        <v>BAJO</v>
      </c>
      <c r="CC20" s="5">
        <v>1</v>
      </c>
      <c r="CD20" s="7">
        <v>3</v>
      </c>
      <c r="CE20" s="7">
        <v>3</v>
      </c>
      <c r="CF20" s="7">
        <v>3</v>
      </c>
      <c r="CG20" s="5">
        <f t="shared" si="22"/>
        <v>3</v>
      </c>
      <c r="CH20" s="5" t="str">
        <f t="shared" si="23"/>
        <v>BASICO</v>
      </c>
      <c r="CI20" s="5">
        <v>1</v>
      </c>
      <c r="CJ20" s="7">
        <v>4</v>
      </c>
      <c r="CK20" s="7">
        <v>4</v>
      </c>
      <c r="CL20" s="7">
        <v>4</v>
      </c>
      <c r="CM20" s="5">
        <f t="shared" si="24"/>
        <v>4</v>
      </c>
      <c r="CN20" s="5" t="str">
        <f t="shared" si="25"/>
        <v>ALTO</v>
      </c>
      <c r="CO20" s="5">
        <v>1</v>
      </c>
      <c r="CP20" s="7">
        <v>5</v>
      </c>
      <c r="CQ20" s="7">
        <v>5</v>
      </c>
      <c r="CR20" s="7">
        <v>5</v>
      </c>
      <c r="CS20" s="5">
        <f t="shared" si="26"/>
        <v>5</v>
      </c>
      <c r="CT20" s="5" t="str">
        <f t="shared" si="27"/>
        <v>SUPERIOR</v>
      </c>
      <c r="CU20" s="5">
        <v>2</v>
      </c>
      <c r="CV20" s="7">
        <v>5</v>
      </c>
      <c r="CW20" s="7">
        <v>5</v>
      </c>
      <c r="CX20" s="7">
        <v>5</v>
      </c>
      <c r="CY20" s="5">
        <f t="shared" si="28"/>
        <v>5</v>
      </c>
      <c r="CZ20" s="5" t="str">
        <f t="shared" si="29"/>
        <v>SUPERIOR</v>
      </c>
      <c r="DA20" s="5">
        <v>2</v>
      </c>
      <c r="DB20" s="7">
        <v>3.5</v>
      </c>
      <c r="DC20" s="7">
        <v>3.5</v>
      </c>
      <c r="DD20" s="7">
        <v>3.8</v>
      </c>
      <c r="DE20" s="5">
        <f t="shared" si="30"/>
        <v>3.59</v>
      </c>
      <c r="DF20" s="5" t="str">
        <f t="shared" si="31"/>
        <v>BASICO</v>
      </c>
      <c r="DG20" s="5">
        <v>0</v>
      </c>
      <c r="DH20" s="7">
        <v>3.8</v>
      </c>
      <c r="DI20" s="5" t="str">
        <f t="shared" si="32"/>
        <v>BASICO</v>
      </c>
      <c r="DJ20" s="5">
        <f t="shared" si="33"/>
        <v>3.0682352941176472</v>
      </c>
      <c r="DK20" s="5" t="str">
        <f t="shared" si="36"/>
        <v>Comprende el concepto de números reales, su relación de orden y las propiedades de sus operaciones, así como las relaciones de semejanza y congruencia de distintas figuras geométricas.</v>
      </c>
      <c r="DL20" s="5" t="str">
        <f t="shared" ref="DL20:FJ20" si="55">DL19</f>
        <v>Aplica correctamente las propiedades de las operaciones de números reales y expresiones algebraicas en la resolución de problemas.</v>
      </c>
      <c r="DM20" s="5" t="str">
        <f t="shared" si="55"/>
        <v>Valora el uso del pensamiento lógico a la hora de plantear y resolver problemas de las matemáticas y de la vida cotidiana.</v>
      </c>
      <c r="DN20" s="5" t="str">
        <f t="shared" si="5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0" s="5" t="str">
        <f t="shared" si="55"/>
        <v>Organiza y analiza datos mediante la construcción de tablas de frecuencias y diagramas estadísticos, identificando variables aleatorias y utilizando estas representaciones para resolver situaciones problema.</v>
      </c>
      <c r="DP20" s="5" t="str">
        <f t="shared" si="55"/>
        <v>Muestra disposición y responsabilidad en el manejo y análisis de datos, participando activamente en actividades individuales y colaborativas, y comunicando información estadística con claridad y sentido crítico.</v>
      </c>
      <c r="DQ20" s="5" t="str">
        <f t="shared" si="55"/>
        <v>Analiza las características de la literatura prehispánica y la literatura del descubrimiento y la conquista en Colombia identificando sus elementos fundamentales y su impacto en la cultura y el lenguaje actual.</v>
      </c>
      <c r="DR20" s="5" t="str">
        <f t="shared" si="55"/>
        <v>Realiza comprensión lectora cuando analiza un texto desde el discurso de la Enunciación e identifica la función de cada uno de sus componentes.
Responde preguntas en los tres niveles de lectura a una leyenda del Caribe.</v>
      </c>
      <c r="DS20" s="5" t="str">
        <f t="shared" si="55"/>
        <v>Muestra disposición para participar activamente en las clases, promoviendo el respeto por las ideas ajenas y reconociendo la importancia de la precisión como una herramienta clave para una comunicación</v>
      </c>
      <c r="DT20" s="5" t="str">
        <f t="shared" si="55"/>
        <v>Comprende el contenido del cuento A la deriva, identificando su tema central, la secuencia de los hechos, los personajes y las ideas explícitas e implícitas del texto.</v>
      </c>
      <c r="DU20" s="5" t="str">
        <f t="shared" si="55"/>
        <v>Analiza críticamente el cuento A la deriva mediante la identificación de información literal, inferencial y crítica, sustentando sus respuestas de forma oral y escrita.</v>
      </c>
      <c r="DV20" s="5" t="str">
        <f t="shared" si="55"/>
        <v>Valora la lectura literaria como una oportunidad para reflexionar sobre la vida, la naturaleza y la condición humana, participando con interés, respeto y sentido crítico en las actividades propuestas.</v>
      </c>
      <c r="DW20" s="5" t="str">
        <f t="shared" si="55"/>
        <v>Comprende y reconoce vocabulario y estructuras basicas del ingles para interpretar textos cortos y conversaciones sobre temas cotidianos de la vida diaria.</v>
      </c>
      <c r="DX20" s="5" t="str">
        <f t="shared" si="55"/>
        <v>Produce de forma oral y escrita frases y parrafos cortos en Ingles, utilizando correctamente las estructuras conocidas para describir rutinas, narrar experiencias y participar en conversaciones.</v>
      </c>
      <c r="DY20" s="5" t="str">
        <f t="shared" si="55"/>
        <v>Muestra disposicion positiva hacia el aprendizaje del Ingles participando activamente en clase.</v>
      </c>
      <c r="DZ20" s="5" t="str">
        <f t="shared" si="55"/>
        <v>Identifica vocabulario en Ingles  de situaciones cotidianas.</v>
      </c>
      <c r="EA20" s="5" t="str">
        <f t="shared" si="55"/>
        <v>Participa en actividades utilizando vocabulario aprendido para expresar gustos,emociones y necesidades.</v>
      </c>
      <c r="EB20" s="5" t="str">
        <f t="shared" si="55"/>
        <v>Respeta la opinion de los demas, muestra disposicion para participar en actividades orales.</v>
      </c>
      <c r="EC20" s="5" t="str">
        <f t="shared" si="55"/>
        <v>Identifica la conformación y funcionamiento del sistema inmunolófico y diferencia las característics de los estados de la materia.</v>
      </c>
      <c r="ED20" s="5" t="str">
        <f t="shared" si="55"/>
        <v>Reconoce experimentalmente las características de materiales en los diferentes estados de la materia.</v>
      </c>
      <c r="EE20" s="5" t="str">
        <f t="shared" si="55"/>
        <v xml:space="preserve">Valora la importancia de tener habitos saludables, para lograr el mantenimiento saludable del sistema inmune. </v>
      </c>
      <c r="EF20" s="5" t="str">
        <f t="shared" si="55"/>
        <v>Describe correctamente la secuencia de eventos biologicos de la fecundacion,incluyendo las recciones acrosomicas,la funcion de gametos y la formacion de gametos.</v>
      </c>
      <c r="EG20" s="5" t="str">
        <f t="shared" si="55"/>
        <v>Mide la capacidad del labolatrio para lograr la fecundacion exitosa de los ovulos con el espermatozoide.</v>
      </c>
      <c r="EH20" s="5" t="str">
        <f t="shared" si="55"/>
        <v>Valora la importancia del cuidado del cuerpo y de la salud reproductiva como la base para una fecundacion saludable.</v>
      </c>
      <c r="EI20" s="5" t="str">
        <f t="shared" si="55"/>
        <v>Explico las principales caracteristicas de algunas revoluciones de los siglos XVIII y XIX (Revolucion francesa, Industrial...)</v>
      </c>
      <c r="EJ20" s="5" t="str">
        <f t="shared" si="55"/>
        <v>Analiza las causas y consecuencias de procesos historicos como la Revolucion Industrial y Francesa.</v>
      </c>
      <c r="EK20" s="5" t="str">
        <f t="shared" si="55"/>
        <v>Muestra interes y curiosidad por comprender los procesos historicos y su impacto en la sociedad.</v>
      </c>
      <c r="EL20" s="5" t="str">
        <f t="shared" si="55"/>
        <v xml:space="preserve">Identifica los procesos historicos de algunas revoluciones de los siglos XVIII y XIX </v>
      </c>
      <c r="EM20" s="5">
        <f t="shared" si="55"/>
        <v>0</v>
      </c>
      <c r="EN20" s="5">
        <f t="shared" si="55"/>
        <v>0</v>
      </c>
      <c r="EO20" s="5" t="str">
        <f t="shared" si="55"/>
        <v xml:space="preserve">Comprende la distribucion espacial de la poblacion antes y despues de las revoluciones </v>
      </c>
      <c r="EP20" s="5" t="str">
        <f t="shared" si="55"/>
        <v xml:space="preserve">Ubica en mapas las regiones donde se desarrollaron las principales revoluciones y explica sus caracteristicas geograficas </v>
      </c>
      <c r="EQ20" s="5" t="str">
        <f t="shared" si="55"/>
        <v>Muestra interes por comprender la relacion entre sociedad, economia y territorio</v>
      </c>
      <c r="ER20" s="5" t="str">
        <f t="shared" si="55"/>
        <v>Comprende el concepto de cultura de paz y su importancia en la sociedad</v>
      </c>
      <c r="ES20" s="5" t="str">
        <f t="shared" si="55"/>
        <v>Practica normas de convivencia en diferentes espacios( aula, hogar, comunidad)</v>
      </c>
      <c r="ET20" s="5" t="str">
        <f t="shared" si="55"/>
        <v>Muestra actitud de respeto hacia la diversidad cuktural, social y de pensamiento</v>
      </c>
      <c r="EU20" s="5">
        <f t="shared" si="55"/>
        <v>0</v>
      </c>
      <c r="EV20" s="5">
        <f t="shared" si="55"/>
        <v>0</v>
      </c>
      <c r="EW20" s="5">
        <f t="shared" si="55"/>
        <v>0</v>
      </c>
      <c r="EX20" s="5">
        <f t="shared" si="55"/>
        <v>0</v>
      </c>
      <c r="EY20" s="5">
        <f t="shared" si="55"/>
        <v>0</v>
      </c>
      <c r="EZ20" s="5">
        <f t="shared" si="55"/>
        <v>0</v>
      </c>
      <c r="FA20" s="5">
        <f t="shared" si="55"/>
        <v>0</v>
      </c>
      <c r="FB20" s="5">
        <f t="shared" si="55"/>
        <v>0</v>
      </c>
      <c r="FC20" s="5">
        <f t="shared" si="55"/>
        <v>0</v>
      </c>
      <c r="FD20" s="5" t="str">
        <f t="shared" si="55"/>
        <v xml:space="preserve"> Identifica las expresiones motrices relacionadas con el juego del voleibol,  como una oportunidad para mejorar la salud, la estética y las relaciones con los demás.</v>
      </c>
      <c r="FE20" s="5" t="str">
        <f t="shared" si="55"/>
        <v>Pone en práctica los fundamentos básicos del voleibol.</v>
      </c>
      <c r="FF20" s="5" t="str">
        <f t="shared" si="55"/>
        <v>Muestra  responsabilidad y buena actitud al realizar el juego de voleibol.</v>
      </c>
      <c r="FG20" s="5" t="str">
        <f t="shared" si="55"/>
        <v>Comprende el concepto de variable como espacio de almacenamiento de datos y reconoce el uso de estructuras condicionales (si, si-no) para la toma de decisiones en un programa.</v>
      </c>
      <c r="FH20" s="5" t="str">
        <f t="shared" si="55"/>
        <v>Diseña y desarrolla programas que utilizan variables y estructuras condicionales para resolver problemas, evaluando condiciones y generando respuestas según diferentes situaciones.</v>
      </c>
      <c r="FI20" s="5" t="str">
        <f t="shared" si="55"/>
        <v>Muestra pensamiento lógico, perseverancia y actitud crítica al analizar errores y proponer soluciones en la construcción de programas con variables y condicionales.</v>
      </c>
      <c r="FJ20" s="5" t="str">
        <f t="shared" si="55"/>
        <v>Identifica y reconoce sus pricipales deberes y derechos dentro y fuera  de la Institución educativa.</v>
      </c>
    </row>
    <row r="21" spans="1:166" ht="15.75" customHeight="1">
      <c r="A21" s="5">
        <v>20</v>
      </c>
      <c r="B21" s="5" t="s">
        <v>154</v>
      </c>
      <c r="C21" s="6">
        <v>1143142994</v>
      </c>
      <c r="D21" s="5" t="s">
        <v>134</v>
      </c>
      <c r="E21" s="5" t="s">
        <v>135</v>
      </c>
      <c r="F21" s="5" t="s">
        <v>70</v>
      </c>
      <c r="G21" s="5" t="s">
        <v>71</v>
      </c>
      <c r="H21" s="5">
        <v>2026</v>
      </c>
      <c r="I21" s="5">
        <v>4</v>
      </c>
      <c r="J21" s="7">
        <v>3</v>
      </c>
      <c r="K21" s="7">
        <v>3.1</v>
      </c>
      <c r="L21" s="7">
        <v>3.2</v>
      </c>
      <c r="M21" s="5">
        <f t="shared" si="0"/>
        <v>3.1</v>
      </c>
      <c r="N21" s="5" t="str">
        <f t="shared" si="1"/>
        <v>BASICO</v>
      </c>
      <c r="O21" s="5">
        <v>1</v>
      </c>
      <c r="P21" s="7">
        <v>2.7</v>
      </c>
      <c r="Q21" s="7">
        <v>2.7</v>
      </c>
      <c r="R21" s="7">
        <v>2.7</v>
      </c>
      <c r="S21" s="5">
        <f t="shared" si="2"/>
        <v>2.7</v>
      </c>
      <c r="T21" s="5" t="str">
        <f t="shared" si="3"/>
        <v>BAJO</v>
      </c>
      <c r="U21" s="5">
        <v>4</v>
      </c>
      <c r="V21" s="7"/>
      <c r="W21" s="7"/>
      <c r="X21" s="7"/>
      <c r="Y21" s="5">
        <f t="shared" si="4"/>
        <v>0</v>
      </c>
      <c r="Z21" s="5" t="str">
        <f t="shared" si="5"/>
        <v>BAJO</v>
      </c>
      <c r="AA21" s="5">
        <v>1</v>
      </c>
      <c r="AB21" s="7">
        <v>2.6</v>
      </c>
      <c r="AC21" s="7">
        <v>2.6</v>
      </c>
      <c r="AD21" s="7">
        <v>2.6</v>
      </c>
      <c r="AE21" s="5">
        <f t="shared" si="6"/>
        <v>2.6</v>
      </c>
      <c r="AF21" s="5" t="str">
        <f t="shared" si="7"/>
        <v>BAJO</v>
      </c>
      <c r="AG21" s="5">
        <v>2</v>
      </c>
      <c r="AH21" s="8">
        <v>3.8</v>
      </c>
      <c r="AI21" s="8">
        <v>3.8</v>
      </c>
      <c r="AJ21" s="8">
        <v>3.8</v>
      </c>
      <c r="AK21" s="5">
        <f t="shared" si="8"/>
        <v>3.8</v>
      </c>
      <c r="AL21" s="5" t="str">
        <f t="shared" si="9"/>
        <v>BASICO</v>
      </c>
      <c r="AM21" s="5">
        <v>1</v>
      </c>
      <c r="AN21" s="8">
        <v>3.8</v>
      </c>
      <c r="AO21" s="8">
        <v>3.8</v>
      </c>
      <c r="AP21" s="8">
        <v>3.8</v>
      </c>
      <c r="AQ21" s="5">
        <f t="shared" si="10"/>
        <v>3.8</v>
      </c>
      <c r="AR21" s="5" t="str">
        <f t="shared" si="11"/>
        <v>BASICO</v>
      </c>
      <c r="AS21" s="5">
        <v>4</v>
      </c>
      <c r="AT21" s="7">
        <v>3.3</v>
      </c>
      <c r="AU21" s="7">
        <v>3.3</v>
      </c>
      <c r="AV21" s="7">
        <v>3.3</v>
      </c>
      <c r="AW21" s="5">
        <f t="shared" si="34"/>
        <v>3.3</v>
      </c>
      <c r="AX21" s="5" t="str">
        <f t="shared" si="51"/>
        <v>BASICO</v>
      </c>
      <c r="AY21" s="5">
        <v>1</v>
      </c>
      <c r="AZ21" s="7">
        <v>3.2</v>
      </c>
      <c r="BA21" s="7">
        <v>3</v>
      </c>
      <c r="BB21" s="7">
        <v>3</v>
      </c>
      <c r="BC21" s="5">
        <f t="shared" si="13"/>
        <v>3.06</v>
      </c>
      <c r="BD21" s="5" t="str">
        <f t="shared" si="14"/>
        <v>BASICO</v>
      </c>
      <c r="BE21" s="7">
        <v>2</v>
      </c>
      <c r="BF21" s="7">
        <v>2</v>
      </c>
      <c r="BG21" s="7">
        <v>2.5</v>
      </c>
      <c r="BH21" s="7">
        <v>2.8</v>
      </c>
      <c r="BI21" s="5">
        <f t="shared" si="35"/>
        <v>2.44</v>
      </c>
      <c r="BJ21" s="5" t="str">
        <f t="shared" si="15"/>
        <v>BAJO</v>
      </c>
      <c r="BK21" s="5">
        <v>1</v>
      </c>
      <c r="BL21" s="7">
        <v>2.5</v>
      </c>
      <c r="BM21" s="7">
        <v>2.8</v>
      </c>
      <c r="BN21" s="7">
        <v>2.5</v>
      </c>
      <c r="BO21" s="5">
        <f t="shared" si="16"/>
        <v>2.62</v>
      </c>
      <c r="BP21" s="5" t="str">
        <f t="shared" si="17"/>
        <v>BAJO</v>
      </c>
      <c r="BQ21" s="5">
        <v>1</v>
      </c>
      <c r="BR21" s="7">
        <v>2.8</v>
      </c>
      <c r="BS21" s="7">
        <v>2.5</v>
      </c>
      <c r="BT21" s="7">
        <v>2.4</v>
      </c>
      <c r="BU21" s="5">
        <f t="shared" si="18"/>
        <v>2.5599999999999996</v>
      </c>
      <c r="BV21" s="5" t="str">
        <f t="shared" si="19"/>
        <v>BAJO</v>
      </c>
      <c r="BW21" s="5">
        <v>1</v>
      </c>
      <c r="BX21" s="7">
        <v>2</v>
      </c>
      <c r="BY21" s="7">
        <v>2.5</v>
      </c>
      <c r="BZ21" s="7">
        <v>2.8</v>
      </c>
      <c r="CA21" s="5">
        <f t="shared" si="20"/>
        <v>2.44</v>
      </c>
      <c r="CB21" s="5" t="str">
        <f t="shared" si="21"/>
        <v>BAJO</v>
      </c>
      <c r="CC21" s="5">
        <v>1</v>
      </c>
      <c r="CD21" s="7">
        <v>3</v>
      </c>
      <c r="CE21" s="7">
        <v>3</v>
      </c>
      <c r="CF21" s="7">
        <v>3</v>
      </c>
      <c r="CG21" s="5">
        <f t="shared" si="22"/>
        <v>3</v>
      </c>
      <c r="CH21" s="5" t="str">
        <f t="shared" si="23"/>
        <v>BASICO</v>
      </c>
      <c r="CI21" s="5">
        <v>1</v>
      </c>
      <c r="CJ21" s="7">
        <v>4.4000000000000004</v>
      </c>
      <c r="CK21" s="7">
        <v>4.3</v>
      </c>
      <c r="CL21" s="7">
        <v>4.3</v>
      </c>
      <c r="CM21" s="5">
        <f t="shared" si="24"/>
        <v>4.33</v>
      </c>
      <c r="CN21" s="5" t="str">
        <f t="shared" si="25"/>
        <v>ALTO</v>
      </c>
      <c r="CO21" s="5">
        <v>1</v>
      </c>
      <c r="CP21" s="7">
        <v>4</v>
      </c>
      <c r="CQ21" s="7">
        <v>4</v>
      </c>
      <c r="CR21" s="7">
        <v>4</v>
      </c>
      <c r="CS21" s="5">
        <f t="shared" si="26"/>
        <v>4</v>
      </c>
      <c r="CT21" s="5" t="str">
        <f t="shared" si="27"/>
        <v>ALTO</v>
      </c>
      <c r="CU21" s="5">
        <v>2</v>
      </c>
      <c r="CV21" s="7">
        <v>4</v>
      </c>
      <c r="CW21" s="7">
        <v>4</v>
      </c>
      <c r="CX21" s="7">
        <v>4</v>
      </c>
      <c r="CY21" s="5">
        <f t="shared" si="28"/>
        <v>4</v>
      </c>
      <c r="CZ21" s="5" t="str">
        <f t="shared" si="29"/>
        <v>ALTO</v>
      </c>
      <c r="DA21" s="5">
        <v>2</v>
      </c>
      <c r="DB21" s="7">
        <v>4.2</v>
      </c>
      <c r="DC21" s="7">
        <v>4.2</v>
      </c>
      <c r="DD21" s="7">
        <v>4.5</v>
      </c>
      <c r="DE21" s="5">
        <f t="shared" si="30"/>
        <v>4.29</v>
      </c>
      <c r="DF21" s="5" t="str">
        <f t="shared" si="31"/>
        <v>ALTO</v>
      </c>
      <c r="DG21" s="5">
        <v>0</v>
      </c>
      <c r="DH21" s="7">
        <v>4.5</v>
      </c>
      <c r="DI21" s="5" t="str">
        <f t="shared" si="32"/>
        <v>SUPERIOR</v>
      </c>
      <c r="DJ21" s="5">
        <f t="shared" si="33"/>
        <v>3.1752941176470593</v>
      </c>
      <c r="DK21" s="5" t="str">
        <f t="shared" si="36"/>
        <v>Comprende el concepto de números reales, su relación de orden y las propiedades de sus operaciones, así como las relaciones de semejanza y congruencia de distintas figuras geométricas.</v>
      </c>
      <c r="DL21" s="5" t="str">
        <f t="shared" ref="DL21:FJ21" si="56">DL20</f>
        <v>Aplica correctamente las propiedades de las operaciones de números reales y expresiones algebraicas en la resolución de problemas.</v>
      </c>
      <c r="DM21" s="5" t="str">
        <f t="shared" si="56"/>
        <v>Valora el uso del pensamiento lógico a la hora de plantear y resolver problemas de las matemáticas y de la vida cotidiana.</v>
      </c>
      <c r="DN21" s="5" t="str">
        <f t="shared" si="5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1" s="5" t="str">
        <f t="shared" si="56"/>
        <v>Organiza y analiza datos mediante la construcción de tablas de frecuencias y diagramas estadísticos, identificando variables aleatorias y utilizando estas representaciones para resolver situaciones problema.</v>
      </c>
      <c r="DP21" s="5" t="str">
        <f t="shared" si="56"/>
        <v>Muestra disposición y responsabilidad en el manejo y análisis de datos, participando activamente en actividades individuales y colaborativas, y comunicando información estadística con claridad y sentido crítico.</v>
      </c>
      <c r="DQ21" s="5" t="str">
        <f t="shared" si="56"/>
        <v>Analiza las características de la literatura prehispánica y la literatura del descubrimiento y la conquista en Colombia identificando sus elementos fundamentales y su impacto en la cultura y el lenguaje actual.</v>
      </c>
      <c r="DR21" s="5" t="str">
        <f t="shared" si="56"/>
        <v>Realiza comprensión lectora cuando analiza un texto desde el discurso de la Enunciación e identifica la función de cada uno de sus componentes.
Responde preguntas en los tres niveles de lectura a una leyenda del Caribe.</v>
      </c>
      <c r="DS21" s="5" t="str">
        <f t="shared" si="56"/>
        <v>Muestra disposición para participar activamente en las clases, promoviendo el respeto por las ideas ajenas y reconociendo la importancia de la precisión como una herramienta clave para una comunicación</v>
      </c>
      <c r="DT21" s="5" t="str">
        <f t="shared" si="56"/>
        <v>Comprende el contenido del cuento A la deriva, identificando su tema central, la secuencia de los hechos, los personajes y las ideas explícitas e implícitas del texto.</v>
      </c>
      <c r="DU21" s="5" t="str">
        <f t="shared" si="56"/>
        <v>Analiza críticamente el cuento A la deriva mediante la identificación de información literal, inferencial y crítica, sustentando sus respuestas de forma oral y escrita.</v>
      </c>
      <c r="DV21" s="5" t="str">
        <f t="shared" si="56"/>
        <v>Valora la lectura literaria como una oportunidad para reflexionar sobre la vida, la naturaleza y la condición humana, participando con interés, respeto y sentido crítico en las actividades propuestas.</v>
      </c>
      <c r="DW21" s="5" t="str">
        <f t="shared" si="56"/>
        <v>Comprende y reconoce vocabulario y estructuras basicas del ingles para interpretar textos cortos y conversaciones sobre temas cotidianos de la vida diaria.</v>
      </c>
      <c r="DX21" s="5" t="str">
        <f t="shared" si="56"/>
        <v>Produce de forma oral y escrita frases y parrafos cortos en Ingles, utilizando correctamente las estructuras conocidas para describir rutinas, narrar experiencias y participar en conversaciones.</v>
      </c>
      <c r="DY21" s="5" t="str">
        <f t="shared" si="56"/>
        <v>Muestra disposicion positiva hacia el aprendizaje del Ingles participando activamente en clase.</v>
      </c>
      <c r="DZ21" s="5" t="str">
        <f t="shared" si="56"/>
        <v>Identifica vocabulario en Ingles  de situaciones cotidianas.</v>
      </c>
      <c r="EA21" s="5" t="str">
        <f t="shared" si="56"/>
        <v>Participa en actividades utilizando vocabulario aprendido para expresar gustos,emociones y necesidades.</v>
      </c>
      <c r="EB21" s="5" t="str">
        <f t="shared" si="56"/>
        <v>Respeta la opinion de los demas, muestra disposicion para participar en actividades orales.</v>
      </c>
      <c r="EC21" s="5" t="str">
        <f t="shared" si="56"/>
        <v>Identifica la conformación y funcionamiento del sistema inmunolófico y diferencia las característics de los estados de la materia.</v>
      </c>
      <c r="ED21" s="5" t="str">
        <f t="shared" si="56"/>
        <v>Reconoce experimentalmente las características de materiales en los diferentes estados de la materia.</v>
      </c>
      <c r="EE21" s="5" t="str">
        <f t="shared" si="56"/>
        <v xml:space="preserve">Valora la importancia de tener habitos saludables, para lograr el mantenimiento saludable del sistema inmune. </v>
      </c>
      <c r="EF21" s="5" t="str">
        <f t="shared" si="56"/>
        <v>Describe correctamente la secuencia de eventos biologicos de la fecundacion,incluyendo las recciones acrosomicas,la funcion de gametos y la formacion de gametos.</v>
      </c>
      <c r="EG21" s="5" t="str">
        <f t="shared" si="56"/>
        <v>Mide la capacidad del labolatrio para lograr la fecundacion exitosa de los ovulos con el espermatozoide.</v>
      </c>
      <c r="EH21" s="5" t="str">
        <f t="shared" si="56"/>
        <v>Valora la importancia del cuidado del cuerpo y de la salud reproductiva como la base para una fecundacion saludable.</v>
      </c>
      <c r="EI21" s="5" t="str">
        <f t="shared" si="56"/>
        <v>Explico las principales caracteristicas de algunas revoluciones de los siglos XVIII y XIX (Revolucion francesa, Industrial...)</v>
      </c>
      <c r="EJ21" s="5" t="str">
        <f t="shared" si="56"/>
        <v>Analiza las causas y consecuencias de procesos historicos como la Revolucion Industrial y Francesa.</v>
      </c>
      <c r="EK21" s="5" t="str">
        <f t="shared" si="56"/>
        <v>Muestra interes y curiosidad por comprender los procesos historicos y su impacto en la sociedad.</v>
      </c>
      <c r="EL21" s="5" t="str">
        <f t="shared" si="56"/>
        <v xml:space="preserve">Identifica los procesos historicos de algunas revoluciones de los siglos XVIII y XIX </v>
      </c>
      <c r="EM21" s="5">
        <f t="shared" si="56"/>
        <v>0</v>
      </c>
      <c r="EN21" s="5">
        <f t="shared" si="56"/>
        <v>0</v>
      </c>
      <c r="EO21" s="5" t="str">
        <f t="shared" si="56"/>
        <v xml:space="preserve">Comprende la distribucion espacial de la poblacion antes y despues de las revoluciones </v>
      </c>
      <c r="EP21" s="5" t="str">
        <f t="shared" si="56"/>
        <v xml:space="preserve">Ubica en mapas las regiones donde se desarrollaron las principales revoluciones y explica sus caracteristicas geograficas </v>
      </c>
      <c r="EQ21" s="5" t="str">
        <f t="shared" si="56"/>
        <v>Muestra interes por comprender la relacion entre sociedad, economia y territorio</v>
      </c>
      <c r="ER21" s="5" t="str">
        <f t="shared" si="56"/>
        <v>Comprende el concepto de cultura de paz y su importancia en la sociedad</v>
      </c>
      <c r="ES21" s="5" t="str">
        <f t="shared" si="56"/>
        <v>Practica normas de convivencia en diferentes espacios( aula, hogar, comunidad)</v>
      </c>
      <c r="ET21" s="5" t="str">
        <f t="shared" si="56"/>
        <v>Muestra actitud de respeto hacia la diversidad cuktural, social y de pensamiento</v>
      </c>
      <c r="EU21" s="5">
        <f t="shared" si="56"/>
        <v>0</v>
      </c>
      <c r="EV21" s="5">
        <f t="shared" si="56"/>
        <v>0</v>
      </c>
      <c r="EW21" s="5">
        <f t="shared" si="56"/>
        <v>0</v>
      </c>
      <c r="EX21" s="5">
        <f t="shared" si="56"/>
        <v>0</v>
      </c>
      <c r="EY21" s="5">
        <f t="shared" si="56"/>
        <v>0</v>
      </c>
      <c r="EZ21" s="5">
        <f t="shared" si="56"/>
        <v>0</v>
      </c>
      <c r="FA21" s="5">
        <f t="shared" si="56"/>
        <v>0</v>
      </c>
      <c r="FB21" s="5">
        <f t="shared" si="56"/>
        <v>0</v>
      </c>
      <c r="FC21" s="5">
        <f t="shared" si="56"/>
        <v>0</v>
      </c>
      <c r="FD21" s="5" t="str">
        <f t="shared" si="56"/>
        <v xml:space="preserve"> Identifica las expresiones motrices relacionadas con el juego del voleibol,  como una oportunidad para mejorar la salud, la estética y las relaciones con los demás.</v>
      </c>
      <c r="FE21" s="5" t="str">
        <f t="shared" si="56"/>
        <v>Pone en práctica los fundamentos básicos del voleibol.</v>
      </c>
      <c r="FF21" s="5" t="str">
        <f t="shared" si="56"/>
        <v>Muestra  responsabilidad y buena actitud al realizar el juego de voleibol.</v>
      </c>
      <c r="FG21" s="5" t="str">
        <f t="shared" si="56"/>
        <v>Comprende el concepto de variable como espacio de almacenamiento de datos y reconoce el uso de estructuras condicionales (si, si-no) para la toma de decisiones en un programa.</v>
      </c>
      <c r="FH21" s="5" t="str">
        <f t="shared" si="56"/>
        <v>Diseña y desarrolla programas que utilizan variables y estructuras condicionales para resolver problemas, evaluando condiciones y generando respuestas según diferentes situaciones.</v>
      </c>
      <c r="FI21" s="5" t="str">
        <f t="shared" si="56"/>
        <v>Muestra pensamiento lógico, perseverancia y actitud crítica al analizar errores y proponer soluciones en la construcción de programas con variables y condicionales.</v>
      </c>
      <c r="FJ21" s="5" t="str">
        <f t="shared" si="56"/>
        <v>Identifica y reconoce sus pricipales deberes y derechos dentro y fuera  de la Institución educativa.</v>
      </c>
    </row>
    <row r="22" spans="1:166" ht="15.75" customHeight="1">
      <c r="A22" s="5">
        <v>21</v>
      </c>
      <c r="B22" s="5" t="s">
        <v>155</v>
      </c>
      <c r="C22" s="6">
        <v>1127616136</v>
      </c>
      <c r="D22" s="5" t="s">
        <v>134</v>
      </c>
      <c r="E22" s="5" t="s">
        <v>135</v>
      </c>
      <c r="F22" s="5" t="s">
        <v>70</v>
      </c>
      <c r="G22" s="5" t="s">
        <v>71</v>
      </c>
      <c r="H22" s="5">
        <v>2026</v>
      </c>
      <c r="I22" s="7">
        <v>4</v>
      </c>
      <c r="J22" s="7">
        <v>4</v>
      </c>
      <c r="K22" s="7">
        <v>4</v>
      </c>
      <c r="L22" s="7">
        <v>4</v>
      </c>
      <c r="M22" s="5">
        <f t="shared" si="0"/>
        <v>4</v>
      </c>
      <c r="N22" s="5" t="str">
        <f t="shared" si="1"/>
        <v>ALTO</v>
      </c>
      <c r="O22" s="5">
        <v>1</v>
      </c>
      <c r="P22" s="7">
        <v>2.8</v>
      </c>
      <c r="Q22" s="7">
        <v>2.8</v>
      </c>
      <c r="R22" s="7">
        <v>2.8</v>
      </c>
      <c r="S22" s="5">
        <f t="shared" si="2"/>
        <v>2.8</v>
      </c>
      <c r="T22" s="5" t="str">
        <f t="shared" si="3"/>
        <v>BAJO</v>
      </c>
      <c r="U22" s="5">
        <v>4</v>
      </c>
      <c r="V22" s="7"/>
      <c r="W22" s="7"/>
      <c r="X22" s="7"/>
      <c r="Y22" s="5">
        <f t="shared" si="4"/>
        <v>0</v>
      </c>
      <c r="Z22" s="5" t="str">
        <f t="shared" si="5"/>
        <v>BAJO</v>
      </c>
      <c r="AA22" s="5">
        <v>1</v>
      </c>
      <c r="AB22" s="7">
        <v>4.8</v>
      </c>
      <c r="AC22" s="7">
        <v>4.8</v>
      </c>
      <c r="AD22" s="7">
        <v>4.8</v>
      </c>
      <c r="AE22" s="5">
        <f t="shared" si="6"/>
        <v>4.8</v>
      </c>
      <c r="AF22" s="5" t="str">
        <f t="shared" si="7"/>
        <v>SUPERIOR</v>
      </c>
      <c r="AG22" s="5">
        <v>2</v>
      </c>
      <c r="AH22" s="8">
        <v>4.5</v>
      </c>
      <c r="AI22" s="8">
        <v>4.5</v>
      </c>
      <c r="AJ22" s="8">
        <v>4.5</v>
      </c>
      <c r="AK22" s="5">
        <f t="shared" si="8"/>
        <v>4.5</v>
      </c>
      <c r="AL22" s="5" t="str">
        <f t="shared" si="9"/>
        <v>SUPERIOR</v>
      </c>
      <c r="AM22" s="5">
        <v>1</v>
      </c>
      <c r="AN22" s="8">
        <v>4.5</v>
      </c>
      <c r="AO22" s="8">
        <v>4.5</v>
      </c>
      <c r="AP22" s="8">
        <v>4.5</v>
      </c>
      <c r="AQ22" s="5">
        <f t="shared" si="10"/>
        <v>4.5</v>
      </c>
      <c r="AR22" s="5" t="str">
        <f t="shared" si="11"/>
        <v>SUPERIOR</v>
      </c>
      <c r="AS22" s="5">
        <v>4</v>
      </c>
      <c r="AT22" s="7">
        <v>4.2</v>
      </c>
      <c r="AU22" s="7">
        <v>4.2</v>
      </c>
      <c r="AV22" s="7">
        <v>4.2</v>
      </c>
      <c r="AW22" s="5">
        <f t="shared" si="34"/>
        <v>4.2</v>
      </c>
      <c r="AX22" s="5" t="str">
        <f t="shared" si="51"/>
        <v>ALTO</v>
      </c>
      <c r="AY22" s="5">
        <v>1</v>
      </c>
      <c r="AZ22" s="7">
        <v>4</v>
      </c>
      <c r="BA22" s="7">
        <v>4</v>
      </c>
      <c r="BB22" s="7">
        <v>4</v>
      </c>
      <c r="BC22" s="5">
        <f t="shared" si="13"/>
        <v>4</v>
      </c>
      <c r="BD22" s="5" t="str">
        <f t="shared" si="14"/>
        <v>ALTO</v>
      </c>
      <c r="BE22" s="7">
        <v>2</v>
      </c>
      <c r="BF22" s="7">
        <v>4</v>
      </c>
      <c r="BG22" s="7">
        <v>4.5</v>
      </c>
      <c r="BH22" s="7">
        <v>3.8</v>
      </c>
      <c r="BI22" s="5">
        <f t="shared" si="35"/>
        <v>4.1399999999999997</v>
      </c>
      <c r="BJ22" s="5" t="str">
        <f t="shared" si="15"/>
        <v>ALTO</v>
      </c>
      <c r="BK22" s="5">
        <v>1</v>
      </c>
      <c r="BL22" s="7">
        <v>3.8</v>
      </c>
      <c r="BM22" s="7">
        <v>4</v>
      </c>
      <c r="BN22" s="7">
        <v>3.6</v>
      </c>
      <c r="BO22" s="5">
        <f t="shared" si="16"/>
        <v>3.8200000000000003</v>
      </c>
      <c r="BP22" s="5" t="str">
        <f t="shared" si="17"/>
        <v>BASICO</v>
      </c>
      <c r="BQ22" s="5">
        <v>1</v>
      </c>
      <c r="BR22" s="7">
        <v>4</v>
      </c>
      <c r="BS22" s="7">
        <v>4.5999999999999996</v>
      </c>
      <c r="BT22" s="7">
        <v>4.5</v>
      </c>
      <c r="BU22" s="5">
        <f t="shared" si="18"/>
        <v>4.3899999999999997</v>
      </c>
      <c r="BV22" s="5" t="str">
        <f t="shared" si="19"/>
        <v>ALTO</v>
      </c>
      <c r="BW22" s="5">
        <v>1</v>
      </c>
      <c r="BX22" s="7">
        <v>4</v>
      </c>
      <c r="BY22" s="7">
        <v>3.8</v>
      </c>
      <c r="BZ22" s="7">
        <v>3.5</v>
      </c>
      <c r="CA22" s="5">
        <f t="shared" si="20"/>
        <v>3.7699999999999996</v>
      </c>
      <c r="CB22" s="5" t="str">
        <f t="shared" si="21"/>
        <v>BASICO</v>
      </c>
      <c r="CC22" s="5">
        <v>1</v>
      </c>
      <c r="CD22" s="7">
        <v>4.5</v>
      </c>
      <c r="CE22" s="7">
        <v>4.5999999999999996</v>
      </c>
      <c r="CF22" s="7">
        <v>4.5999999999999996</v>
      </c>
      <c r="CG22" s="5">
        <f t="shared" si="22"/>
        <v>4.5699999999999994</v>
      </c>
      <c r="CH22" s="5" t="str">
        <f t="shared" si="23"/>
        <v>SUPERIOR</v>
      </c>
      <c r="CI22" s="5">
        <v>1</v>
      </c>
      <c r="CJ22" s="7">
        <v>4.5</v>
      </c>
      <c r="CK22" s="7">
        <v>4.5</v>
      </c>
      <c r="CL22" s="7">
        <v>4.5</v>
      </c>
      <c r="CM22" s="5">
        <f t="shared" si="24"/>
        <v>4.5</v>
      </c>
      <c r="CN22" s="5" t="str">
        <f t="shared" si="25"/>
        <v>SUPERIOR</v>
      </c>
      <c r="CO22" s="5">
        <v>1</v>
      </c>
      <c r="CP22" s="7">
        <v>4</v>
      </c>
      <c r="CQ22" s="7">
        <v>4</v>
      </c>
      <c r="CR22" s="7">
        <v>4</v>
      </c>
      <c r="CS22" s="5">
        <f t="shared" si="26"/>
        <v>4</v>
      </c>
      <c r="CT22" s="5" t="str">
        <f t="shared" si="27"/>
        <v>ALTO</v>
      </c>
      <c r="CU22" s="5">
        <v>2</v>
      </c>
      <c r="CV22" s="7">
        <v>4.8</v>
      </c>
      <c r="CW22" s="7">
        <v>4.8</v>
      </c>
      <c r="CX22" s="7">
        <v>4.8</v>
      </c>
      <c r="CY22" s="5">
        <f t="shared" si="28"/>
        <v>4.8</v>
      </c>
      <c r="CZ22" s="5" t="str">
        <f t="shared" si="29"/>
        <v>SUPERIOR</v>
      </c>
      <c r="DA22" s="5">
        <v>2</v>
      </c>
      <c r="DB22" s="7">
        <v>4.0999999999999996</v>
      </c>
      <c r="DC22" s="7">
        <v>4</v>
      </c>
      <c r="DD22" s="7">
        <v>4.5</v>
      </c>
      <c r="DE22" s="5">
        <f t="shared" si="30"/>
        <v>4.18</v>
      </c>
      <c r="DF22" s="5" t="str">
        <f t="shared" si="31"/>
        <v>ALTO</v>
      </c>
      <c r="DG22" s="5">
        <v>0</v>
      </c>
      <c r="DH22" s="7">
        <v>4.5</v>
      </c>
      <c r="DI22" s="5" t="str">
        <f t="shared" si="32"/>
        <v>SUPERIOR</v>
      </c>
      <c r="DJ22" s="5">
        <f t="shared" si="33"/>
        <v>3.9458823529411764</v>
      </c>
      <c r="DK22" s="5" t="str">
        <f t="shared" si="36"/>
        <v>Comprende el concepto de números reales, su relación de orden y las propiedades de sus operaciones, así como las relaciones de semejanza y congruencia de distintas figuras geométricas.</v>
      </c>
      <c r="DL22" s="5" t="str">
        <f t="shared" ref="DL22:FJ22" si="57">DL21</f>
        <v>Aplica correctamente las propiedades de las operaciones de números reales y expresiones algebraicas en la resolución de problemas.</v>
      </c>
      <c r="DM22" s="5" t="str">
        <f t="shared" si="57"/>
        <v>Valora el uso del pensamiento lógico a la hora de plantear y resolver problemas de las matemáticas y de la vida cotidiana.</v>
      </c>
      <c r="DN22" s="5" t="str">
        <f t="shared" si="5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2" s="5" t="str">
        <f t="shared" si="57"/>
        <v>Organiza y analiza datos mediante la construcción de tablas de frecuencias y diagramas estadísticos, identificando variables aleatorias y utilizando estas representaciones para resolver situaciones problema.</v>
      </c>
      <c r="DP22" s="5" t="str">
        <f t="shared" si="57"/>
        <v>Muestra disposición y responsabilidad en el manejo y análisis de datos, participando activamente en actividades individuales y colaborativas, y comunicando información estadística con claridad y sentido crítico.</v>
      </c>
      <c r="DQ22" s="5" t="str">
        <f t="shared" si="57"/>
        <v>Analiza las características de la literatura prehispánica y la literatura del descubrimiento y la conquista en Colombia identificando sus elementos fundamentales y su impacto en la cultura y el lenguaje actual.</v>
      </c>
      <c r="DR22" s="5" t="str">
        <f t="shared" si="57"/>
        <v>Realiza comprensión lectora cuando analiza un texto desde el discurso de la Enunciación e identifica la función de cada uno de sus componentes.
Responde preguntas en los tres niveles de lectura a una leyenda del Caribe.</v>
      </c>
      <c r="DS22" s="5" t="str">
        <f t="shared" si="57"/>
        <v>Muestra disposición para participar activamente en las clases, promoviendo el respeto por las ideas ajenas y reconociendo la importancia de la precisión como una herramienta clave para una comunicación</v>
      </c>
      <c r="DT22" s="5" t="str">
        <f t="shared" si="57"/>
        <v>Comprende el contenido del cuento A la deriva, identificando su tema central, la secuencia de los hechos, los personajes y las ideas explícitas e implícitas del texto.</v>
      </c>
      <c r="DU22" s="5" t="str">
        <f t="shared" si="57"/>
        <v>Analiza críticamente el cuento A la deriva mediante la identificación de información literal, inferencial y crítica, sustentando sus respuestas de forma oral y escrita.</v>
      </c>
      <c r="DV22" s="5" t="str">
        <f t="shared" si="57"/>
        <v>Valora la lectura literaria como una oportunidad para reflexionar sobre la vida, la naturaleza y la condición humana, participando con interés, respeto y sentido crítico en las actividades propuestas.</v>
      </c>
      <c r="DW22" s="5" t="str">
        <f t="shared" si="57"/>
        <v>Comprende y reconoce vocabulario y estructuras basicas del ingles para interpretar textos cortos y conversaciones sobre temas cotidianos de la vida diaria.</v>
      </c>
      <c r="DX22" s="5" t="str">
        <f t="shared" si="57"/>
        <v>Produce de forma oral y escrita frases y parrafos cortos en Ingles, utilizando correctamente las estructuras conocidas para describir rutinas, narrar experiencias y participar en conversaciones.</v>
      </c>
      <c r="DY22" s="5" t="str">
        <f t="shared" si="57"/>
        <v>Muestra disposicion positiva hacia el aprendizaje del Ingles participando activamente en clase.</v>
      </c>
      <c r="DZ22" s="5" t="str">
        <f t="shared" si="57"/>
        <v>Identifica vocabulario en Ingles  de situaciones cotidianas.</v>
      </c>
      <c r="EA22" s="5" t="str">
        <f t="shared" si="57"/>
        <v>Participa en actividades utilizando vocabulario aprendido para expresar gustos,emociones y necesidades.</v>
      </c>
      <c r="EB22" s="5" t="str">
        <f t="shared" si="57"/>
        <v>Respeta la opinion de los demas, muestra disposicion para participar en actividades orales.</v>
      </c>
      <c r="EC22" s="5" t="str">
        <f t="shared" si="57"/>
        <v>Identifica la conformación y funcionamiento del sistema inmunolófico y diferencia las característics de los estados de la materia.</v>
      </c>
      <c r="ED22" s="5" t="str">
        <f t="shared" si="57"/>
        <v>Reconoce experimentalmente las características de materiales en los diferentes estados de la materia.</v>
      </c>
      <c r="EE22" s="5" t="str">
        <f t="shared" si="57"/>
        <v xml:space="preserve">Valora la importancia de tener habitos saludables, para lograr el mantenimiento saludable del sistema inmune. </v>
      </c>
      <c r="EF22" s="5" t="str">
        <f t="shared" si="57"/>
        <v>Describe correctamente la secuencia de eventos biologicos de la fecundacion,incluyendo las recciones acrosomicas,la funcion de gametos y la formacion de gametos.</v>
      </c>
      <c r="EG22" s="5" t="str">
        <f t="shared" si="57"/>
        <v>Mide la capacidad del labolatrio para lograr la fecundacion exitosa de los ovulos con el espermatozoide.</v>
      </c>
      <c r="EH22" s="5" t="str">
        <f t="shared" si="57"/>
        <v>Valora la importancia del cuidado del cuerpo y de la salud reproductiva como la base para una fecundacion saludable.</v>
      </c>
      <c r="EI22" s="5" t="str">
        <f t="shared" si="57"/>
        <v>Explico las principales caracteristicas de algunas revoluciones de los siglos XVIII y XIX (Revolucion francesa, Industrial...)</v>
      </c>
      <c r="EJ22" s="5" t="str">
        <f t="shared" si="57"/>
        <v>Analiza las causas y consecuencias de procesos historicos como la Revolucion Industrial y Francesa.</v>
      </c>
      <c r="EK22" s="5" t="str">
        <f t="shared" si="57"/>
        <v>Muestra interes y curiosidad por comprender los procesos historicos y su impacto en la sociedad.</v>
      </c>
      <c r="EL22" s="5" t="str">
        <f t="shared" si="57"/>
        <v xml:space="preserve">Identifica los procesos historicos de algunas revoluciones de los siglos XVIII y XIX </v>
      </c>
      <c r="EM22" s="5">
        <f t="shared" si="57"/>
        <v>0</v>
      </c>
      <c r="EN22" s="5">
        <f t="shared" si="57"/>
        <v>0</v>
      </c>
      <c r="EO22" s="5" t="str">
        <f t="shared" si="57"/>
        <v xml:space="preserve">Comprende la distribucion espacial de la poblacion antes y despues de las revoluciones </v>
      </c>
      <c r="EP22" s="5" t="str">
        <f t="shared" si="57"/>
        <v xml:space="preserve">Ubica en mapas las regiones donde se desarrollaron las principales revoluciones y explica sus caracteristicas geograficas </v>
      </c>
      <c r="EQ22" s="5" t="str">
        <f t="shared" si="57"/>
        <v>Muestra interes por comprender la relacion entre sociedad, economia y territorio</v>
      </c>
      <c r="ER22" s="5" t="str">
        <f t="shared" si="57"/>
        <v>Comprende el concepto de cultura de paz y su importancia en la sociedad</v>
      </c>
      <c r="ES22" s="5" t="str">
        <f t="shared" si="57"/>
        <v>Practica normas de convivencia en diferentes espacios( aula, hogar, comunidad)</v>
      </c>
      <c r="ET22" s="5" t="str">
        <f t="shared" si="57"/>
        <v>Muestra actitud de respeto hacia la diversidad cuktural, social y de pensamiento</v>
      </c>
      <c r="EU22" s="5">
        <f t="shared" si="57"/>
        <v>0</v>
      </c>
      <c r="EV22" s="5">
        <f t="shared" si="57"/>
        <v>0</v>
      </c>
      <c r="EW22" s="5">
        <f t="shared" si="57"/>
        <v>0</v>
      </c>
      <c r="EX22" s="5">
        <f t="shared" si="57"/>
        <v>0</v>
      </c>
      <c r="EY22" s="5">
        <f t="shared" si="57"/>
        <v>0</v>
      </c>
      <c r="EZ22" s="5">
        <f t="shared" si="57"/>
        <v>0</v>
      </c>
      <c r="FA22" s="5">
        <f t="shared" si="57"/>
        <v>0</v>
      </c>
      <c r="FB22" s="5">
        <f t="shared" si="57"/>
        <v>0</v>
      </c>
      <c r="FC22" s="5">
        <f t="shared" si="57"/>
        <v>0</v>
      </c>
      <c r="FD22" s="5" t="str">
        <f t="shared" si="57"/>
        <v xml:space="preserve"> Identifica las expresiones motrices relacionadas con el juego del voleibol,  como una oportunidad para mejorar la salud, la estética y las relaciones con los demás.</v>
      </c>
      <c r="FE22" s="5" t="str">
        <f t="shared" si="57"/>
        <v>Pone en práctica los fundamentos básicos del voleibol.</v>
      </c>
      <c r="FF22" s="5" t="str">
        <f t="shared" si="57"/>
        <v>Muestra  responsabilidad y buena actitud al realizar el juego de voleibol.</v>
      </c>
      <c r="FG22" s="5" t="str">
        <f t="shared" si="57"/>
        <v>Comprende el concepto de variable como espacio de almacenamiento de datos y reconoce el uso de estructuras condicionales (si, si-no) para la toma de decisiones en un programa.</v>
      </c>
      <c r="FH22" s="5" t="str">
        <f t="shared" si="57"/>
        <v>Diseña y desarrolla programas que utilizan variables y estructuras condicionales para resolver problemas, evaluando condiciones y generando respuestas según diferentes situaciones.</v>
      </c>
      <c r="FI22" s="5" t="str">
        <f t="shared" si="57"/>
        <v>Muestra pensamiento lógico, perseverancia y actitud crítica al analizar errores y proponer soluciones en la construcción de programas con variables y condicionales.</v>
      </c>
      <c r="FJ22" s="5" t="str">
        <f t="shared" si="57"/>
        <v>Identifica y reconoce sus pricipales deberes y derechos dentro y fuera  de la Institución educativa.</v>
      </c>
    </row>
    <row r="23" spans="1:166" ht="15.75" customHeight="1">
      <c r="A23" s="5">
        <v>22</v>
      </c>
      <c r="B23" s="5" t="s">
        <v>156</v>
      </c>
      <c r="C23" s="6">
        <v>1042862397</v>
      </c>
      <c r="D23" s="5" t="s">
        <v>134</v>
      </c>
      <c r="E23" s="5" t="s">
        <v>135</v>
      </c>
      <c r="F23" s="5" t="s">
        <v>70</v>
      </c>
      <c r="G23" s="5" t="s">
        <v>71</v>
      </c>
      <c r="H23" s="5">
        <v>2026</v>
      </c>
      <c r="I23" s="7">
        <v>4</v>
      </c>
      <c r="J23" s="7">
        <v>2.4</v>
      </c>
      <c r="K23" s="7">
        <v>2.5</v>
      </c>
      <c r="L23" s="7">
        <v>2.6</v>
      </c>
      <c r="M23" s="5">
        <f t="shared" si="0"/>
        <v>2.5</v>
      </c>
      <c r="N23" s="5" t="str">
        <f t="shared" si="1"/>
        <v>BAJO</v>
      </c>
      <c r="O23" s="5">
        <v>1</v>
      </c>
      <c r="P23" s="7">
        <v>2.7</v>
      </c>
      <c r="Q23" s="7">
        <v>2.7</v>
      </c>
      <c r="R23" s="7">
        <v>2.7</v>
      </c>
      <c r="S23" s="5">
        <f t="shared" si="2"/>
        <v>2.7</v>
      </c>
      <c r="T23" s="5" t="str">
        <f t="shared" si="3"/>
        <v>BAJO</v>
      </c>
      <c r="U23" s="5">
        <v>4</v>
      </c>
      <c r="V23" s="7"/>
      <c r="W23" s="7"/>
      <c r="X23" s="7"/>
      <c r="Y23" s="5">
        <f t="shared" si="4"/>
        <v>0</v>
      </c>
      <c r="Z23" s="5" t="str">
        <f t="shared" si="5"/>
        <v>BAJO</v>
      </c>
      <c r="AA23" s="5">
        <v>1</v>
      </c>
      <c r="AB23" s="7">
        <v>2.8</v>
      </c>
      <c r="AC23" s="7">
        <v>2.8</v>
      </c>
      <c r="AD23" s="7">
        <v>2.8</v>
      </c>
      <c r="AE23" s="5">
        <f t="shared" si="6"/>
        <v>2.8</v>
      </c>
      <c r="AF23" s="5" t="str">
        <f t="shared" si="7"/>
        <v>BAJO</v>
      </c>
      <c r="AG23" s="5">
        <v>2</v>
      </c>
      <c r="AH23" s="8">
        <v>3</v>
      </c>
      <c r="AI23" s="8">
        <v>3</v>
      </c>
      <c r="AJ23" s="8">
        <v>3</v>
      </c>
      <c r="AK23" s="5">
        <f t="shared" si="8"/>
        <v>3</v>
      </c>
      <c r="AL23" s="5" t="str">
        <f t="shared" si="9"/>
        <v>BASICO</v>
      </c>
      <c r="AM23" s="5">
        <v>1</v>
      </c>
      <c r="AN23" s="8">
        <v>3</v>
      </c>
      <c r="AO23" s="8">
        <v>3</v>
      </c>
      <c r="AP23" s="8">
        <v>3</v>
      </c>
      <c r="AQ23" s="5">
        <f t="shared" si="10"/>
        <v>3</v>
      </c>
      <c r="AR23" s="5" t="str">
        <f t="shared" si="11"/>
        <v>BASICO</v>
      </c>
      <c r="AS23" s="5">
        <v>4</v>
      </c>
      <c r="AT23" s="7">
        <v>3</v>
      </c>
      <c r="AU23" s="7">
        <v>3</v>
      </c>
      <c r="AV23" s="7">
        <v>3</v>
      </c>
      <c r="AW23" s="5">
        <f t="shared" si="34"/>
        <v>3</v>
      </c>
      <c r="AX23" s="5" t="str">
        <f t="shared" si="51"/>
        <v>BASICO</v>
      </c>
      <c r="AY23" s="5">
        <v>1</v>
      </c>
      <c r="AZ23" s="7">
        <v>3.5</v>
      </c>
      <c r="BA23" s="7">
        <v>3.5</v>
      </c>
      <c r="BB23" s="7">
        <v>3.5</v>
      </c>
      <c r="BC23" s="5">
        <f t="shared" si="13"/>
        <v>3.5</v>
      </c>
      <c r="BD23" s="5" t="str">
        <f t="shared" si="14"/>
        <v>BASICO</v>
      </c>
      <c r="BE23" s="7">
        <v>2</v>
      </c>
      <c r="BF23" s="7">
        <v>2</v>
      </c>
      <c r="BG23" s="7">
        <v>2.2000000000000002</v>
      </c>
      <c r="BH23" s="7">
        <v>2.6</v>
      </c>
      <c r="BI23" s="7">
        <v>2</v>
      </c>
      <c r="BJ23" s="5" t="str">
        <f t="shared" si="15"/>
        <v>BAJO</v>
      </c>
      <c r="BK23" s="5">
        <v>1</v>
      </c>
      <c r="BL23" s="7">
        <v>2.5</v>
      </c>
      <c r="BM23" s="7">
        <v>2.8</v>
      </c>
      <c r="BN23" s="7">
        <v>2.5</v>
      </c>
      <c r="BO23" s="5">
        <f t="shared" si="16"/>
        <v>2.62</v>
      </c>
      <c r="BP23" s="5" t="str">
        <f t="shared" si="17"/>
        <v>BAJO</v>
      </c>
      <c r="BQ23" s="5">
        <v>1</v>
      </c>
      <c r="BR23" s="7">
        <v>2.6</v>
      </c>
      <c r="BS23" s="7">
        <v>2.5</v>
      </c>
      <c r="BT23" s="7">
        <v>2.8</v>
      </c>
      <c r="BU23" s="5">
        <f t="shared" si="18"/>
        <v>2.62</v>
      </c>
      <c r="BV23" s="5" t="str">
        <f t="shared" si="19"/>
        <v>BAJO</v>
      </c>
      <c r="BW23" s="5">
        <v>1</v>
      </c>
      <c r="BX23" s="7">
        <v>2</v>
      </c>
      <c r="BY23" s="7">
        <v>2.5</v>
      </c>
      <c r="BZ23" s="7">
        <v>2.8</v>
      </c>
      <c r="CA23" s="5">
        <f t="shared" si="20"/>
        <v>2.44</v>
      </c>
      <c r="CB23" s="5" t="str">
        <f t="shared" si="21"/>
        <v>BAJO</v>
      </c>
      <c r="CC23" s="5">
        <v>1</v>
      </c>
      <c r="CD23" s="7">
        <v>3</v>
      </c>
      <c r="CE23" s="7">
        <v>3</v>
      </c>
      <c r="CF23" s="7">
        <v>3</v>
      </c>
      <c r="CG23" s="5">
        <f t="shared" si="22"/>
        <v>3</v>
      </c>
      <c r="CH23" s="5" t="str">
        <f t="shared" si="23"/>
        <v>BASICO</v>
      </c>
      <c r="CI23" s="5">
        <v>1</v>
      </c>
      <c r="CJ23" s="7">
        <v>4</v>
      </c>
      <c r="CK23" s="7">
        <v>4</v>
      </c>
      <c r="CL23" s="7">
        <v>4</v>
      </c>
      <c r="CM23" s="5">
        <f t="shared" si="24"/>
        <v>4</v>
      </c>
      <c r="CN23" s="5" t="str">
        <f t="shared" si="25"/>
        <v>ALTO</v>
      </c>
      <c r="CO23" s="5">
        <v>1</v>
      </c>
      <c r="CP23" s="7">
        <v>5</v>
      </c>
      <c r="CQ23" s="7">
        <v>5</v>
      </c>
      <c r="CR23" s="7">
        <v>5</v>
      </c>
      <c r="CS23" s="5">
        <f t="shared" si="26"/>
        <v>5</v>
      </c>
      <c r="CT23" s="5" t="str">
        <f t="shared" si="27"/>
        <v>SUPERIOR</v>
      </c>
      <c r="CU23" s="5">
        <v>2</v>
      </c>
      <c r="CV23" s="7">
        <v>2</v>
      </c>
      <c r="CW23" s="7">
        <v>2</v>
      </c>
      <c r="CX23" s="7">
        <v>2</v>
      </c>
      <c r="CY23" s="5">
        <f t="shared" si="28"/>
        <v>2</v>
      </c>
      <c r="CZ23" s="5" t="str">
        <f t="shared" si="29"/>
        <v>BAJO</v>
      </c>
      <c r="DA23" s="5">
        <v>2</v>
      </c>
      <c r="DB23" s="7">
        <v>3.8</v>
      </c>
      <c r="DC23" s="7">
        <v>3.8</v>
      </c>
      <c r="DD23" s="7">
        <v>3</v>
      </c>
      <c r="DE23" s="5">
        <f t="shared" si="30"/>
        <v>3.56</v>
      </c>
      <c r="DF23" s="5" t="str">
        <f t="shared" si="31"/>
        <v>BASICO</v>
      </c>
      <c r="DG23" s="5">
        <v>0</v>
      </c>
      <c r="DH23" s="7">
        <v>3</v>
      </c>
      <c r="DI23" s="5" t="str">
        <f t="shared" si="32"/>
        <v>BASICO</v>
      </c>
      <c r="DJ23" s="5">
        <f t="shared" si="33"/>
        <v>2.8305882352941181</v>
      </c>
      <c r="DK23" s="5" t="str">
        <f t="shared" si="36"/>
        <v>Comprende el concepto de números reales, su relación de orden y las propiedades de sus operaciones, así como las relaciones de semejanza y congruencia de distintas figuras geométricas.</v>
      </c>
      <c r="DL23" s="5" t="str">
        <f t="shared" ref="DL23:FJ23" si="58">DL22</f>
        <v>Aplica correctamente las propiedades de las operaciones de números reales y expresiones algebraicas en la resolución de problemas.</v>
      </c>
      <c r="DM23" s="5" t="str">
        <f t="shared" si="58"/>
        <v>Valora el uso del pensamiento lógico a la hora de plantear y resolver problemas de las matemáticas y de la vida cotidiana.</v>
      </c>
      <c r="DN23" s="5" t="str">
        <f t="shared" si="5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3" s="5" t="str">
        <f t="shared" si="58"/>
        <v>Organiza y analiza datos mediante la construcción de tablas de frecuencias y diagramas estadísticos, identificando variables aleatorias y utilizando estas representaciones para resolver situaciones problema.</v>
      </c>
      <c r="DP23" s="5" t="str">
        <f t="shared" si="58"/>
        <v>Muestra disposición y responsabilidad en el manejo y análisis de datos, participando activamente en actividades individuales y colaborativas, y comunicando información estadística con claridad y sentido crítico.</v>
      </c>
      <c r="DQ23" s="5" t="str">
        <f t="shared" si="58"/>
        <v>Analiza las características de la literatura prehispánica y la literatura del descubrimiento y la conquista en Colombia identificando sus elementos fundamentales y su impacto en la cultura y el lenguaje actual.</v>
      </c>
      <c r="DR23" s="5" t="str">
        <f t="shared" si="58"/>
        <v>Realiza comprensión lectora cuando analiza un texto desde el discurso de la Enunciación e identifica la función de cada uno de sus componentes.
Responde preguntas en los tres niveles de lectura a una leyenda del Caribe.</v>
      </c>
      <c r="DS23" s="5" t="str">
        <f t="shared" si="58"/>
        <v>Muestra disposición para participar activamente en las clases, promoviendo el respeto por las ideas ajenas y reconociendo la importancia de la precisión como una herramienta clave para una comunicación</v>
      </c>
      <c r="DT23" s="5" t="str">
        <f t="shared" si="58"/>
        <v>Comprende el contenido del cuento A la deriva, identificando su tema central, la secuencia de los hechos, los personajes y las ideas explícitas e implícitas del texto.</v>
      </c>
      <c r="DU23" s="5" t="str">
        <f t="shared" si="58"/>
        <v>Analiza críticamente el cuento A la deriva mediante la identificación de información literal, inferencial y crítica, sustentando sus respuestas de forma oral y escrita.</v>
      </c>
      <c r="DV23" s="5" t="str">
        <f t="shared" si="58"/>
        <v>Valora la lectura literaria como una oportunidad para reflexionar sobre la vida, la naturaleza y la condición humana, participando con interés, respeto y sentido crítico en las actividades propuestas.</v>
      </c>
      <c r="DW23" s="5" t="str">
        <f t="shared" si="58"/>
        <v>Comprende y reconoce vocabulario y estructuras basicas del ingles para interpretar textos cortos y conversaciones sobre temas cotidianos de la vida diaria.</v>
      </c>
      <c r="DX23" s="5" t="str">
        <f t="shared" si="58"/>
        <v>Produce de forma oral y escrita frases y parrafos cortos en Ingles, utilizando correctamente las estructuras conocidas para describir rutinas, narrar experiencias y participar en conversaciones.</v>
      </c>
      <c r="DY23" s="5" t="str">
        <f t="shared" si="58"/>
        <v>Muestra disposicion positiva hacia el aprendizaje del Ingles participando activamente en clase.</v>
      </c>
      <c r="DZ23" s="5" t="str">
        <f t="shared" si="58"/>
        <v>Identifica vocabulario en Ingles  de situaciones cotidianas.</v>
      </c>
      <c r="EA23" s="5" t="str">
        <f t="shared" si="58"/>
        <v>Participa en actividades utilizando vocabulario aprendido para expresar gustos,emociones y necesidades.</v>
      </c>
      <c r="EB23" s="5" t="str">
        <f t="shared" si="58"/>
        <v>Respeta la opinion de los demas, muestra disposicion para participar en actividades orales.</v>
      </c>
      <c r="EC23" s="5" t="str">
        <f t="shared" si="58"/>
        <v>Identifica la conformación y funcionamiento del sistema inmunolófico y diferencia las característics de los estados de la materia.</v>
      </c>
      <c r="ED23" s="5" t="str">
        <f t="shared" si="58"/>
        <v>Reconoce experimentalmente las características de materiales en los diferentes estados de la materia.</v>
      </c>
      <c r="EE23" s="5" t="str">
        <f t="shared" si="58"/>
        <v xml:space="preserve">Valora la importancia de tener habitos saludables, para lograr el mantenimiento saludable del sistema inmune. </v>
      </c>
      <c r="EF23" s="5" t="str">
        <f t="shared" si="58"/>
        <v>Describe correctamente la secuencia de eventos biologicos de la fecundacion,incluyendo las recciones acrosomicas,la funcion de gametos y la formacion de gametos.</v>
      </c>
      <c r="EG23" s="5" t="str">
        <f t="shared" si="58"/>
        <v>Mide la capacidad del labolatrio para lograr la fecundacion exitosa de los ovulos con el espermatozoide.</v>
      </c>
      <c r="EH23" s="5" t="str">
        <f t="shared" si="58"/>
        <v>Valora la importancia del cuidado del cuerpo y de la salud reproductiva como la base para una fecundacion saludable.</v>
      </c>
      <c r="EI23" s="5" t="str">
        <f t="shared" si="58"/>
        <v>Explico las principales caracteristicas de algunas revoluciones de los siglos XVIII y XIX (Revolucion francesa, Industrial...)</v>
      </c>
      <c r="EJ23" s="5" t="str">
        <f t="shared" si="58"/>
        <v>Analiza las causas y consecuencias de procesos historicos como la Revolucion Industrial y Francesa.</v>
      </c>
      <c r="EK23" s="5" t="str">
        <f t="shared" si="58"/>
        <v>Muestra interes y curiosidad por comprender los procesos historicos y su impacto en la sociedad.</v>
      </c>
      <c r="EL23" s="5" t="str">
        <f t="shared" si="58"/>
        <v xml:space="preserve">Identifica los procesos historicos de algunas revoluciones de los siglos XVIII y XIX </v>
      </c>
      <c r="EM23" s="5">
        <f t="shared" si="58"/>
        <v>0</v>
      </c>
      <c r="EN23" s="5">
        <f t="shared" si="58"/>
        <v>0</v>
      </c>
      <c r="EO23" s="5" t="str">
        <f t="shared" si="58"/>
        <v xml:space="preserve">Comprende la distribucion espacial de la poblacion antes y despues de las revoluciones </v>
      </c>
      <c r="EP23" s="5" t="str">
        <f t="shared" si="58"/>
        <v xml:space="preserve">Ubica en mapas las regiones donde se desarrollaron las principales revoluciones y explica sus caracteristicas geograficas </v>
      </c>
      <c r="EQ23" s="5" t="str">
        <f t="shared" si="58"/>
        <v>Muestra interes por comprender la relacion entre sociedad, economia y territorio</v>
      </c>
      <c r="ER23" s="5" t="str">
        <f t="shared" si="58"/>
        <v>Comprende el concepto de cultura de paz y su importancia en la sociedad</v>
      </c>
      <c r="ES23" s="5" t="str">
        <f t="shared" si="58"/>
        <v>Practica normas de convivencia en diferentes espacios( aula, hogar, comunidad)</v>
      </c>
      <c r="ET23" s="5" t="str">
        <f t="shared" si="58"/>
        <v>Muestra actitud de respeto hacia la diversidad cuktural, social y de pensamiento</v>
      </c>
      <c r="EU23" s="5">
        <f t="shared" si="58"/>
        <v>0</v>
      </c>
      <c r="EV23" s="5">
        <f t="shared" si="58"/>
        <v>0</v>
      </c>
      <c r="EW23" s="5">
        <f t="shared" si="58"/>
        <v>0</v>
      </c>
      <c r="EX23" s="5">
        <f t="shared" si="58"/>
        <v>0</v>
      </c>
      <c r="EY23" s="5">
        <f t="shared" si="58"/>
        <v>0</v>
      </c>
      <c r="EZ23" s="5">
        <f t="shared" si="58"/>
        <v>0</v>
      </c>
      <c r="FA23" s="5">
        <f t="shared" si="58"/>
        <v>0</v>
      </c>
      <c r="FB23" s="5">
        <f t="shared" si="58"/>
        <v>0</v>
      </c>
      <c r="FC23" s="5">
        <f t="shared" si="58"/>
        <v>0</v>
      </c>
      <c r="FD23" s="5" t="str">
        <f t="shared" si="58"/>
        <v xml:space="preserve"> Identifica las expresiones motrices relacionadas con el juego del voleibol,  como una oportunidad para mejorar la salud, la estética y las relaciones con los demás.</v>
      </c>
      <c r="FE23" s="5" t="str">
        <f t="shared" si="58"/>
        <v>Pone en práctica los fundamentos básicos del voleibol.</v>
      </c>
      <c r="FF23" s="5" t="str">
        <f t="shared" si="58"/>
        <v>Muestra  responsabilidad y buena actitud al realizar el juego de voleibol.</v>
      </c>
      <c r="FG23" s="5" t="str">
        <f t="shared" si="58"/>
        <v>Comprende el concepto de variable como espacio de almacenamiento de datos y reconoce el uso de estructuras condicionales (si, si-no) para la toma de decisiones en un programa.</v>
      </c>
      <c r="FH23" s="5" t="str">
        <f t="shared" si="58"/>
        <v>Diseña y desarrolla programas que utilizan variables y estructuras condicionales para resolver problemas, evaluando condiciones y generando respuestas según diferentes situaciones.</v>
      </c>
      <c r="FI23" s="5" t="str">
        <f t="shared" si="58"/>
        <v>Muestra pensamiento lógico, perseverancia y actitud crítica al analizar errores y proponer soluciones en la construcción de programas con variables y condicionales.</v>
      </c>
      <c r="FJ23" s="5" t="str">
        <f t="shared" si="58"/>
        <v>Identifica y reconoce sus pricipales deberes y derechos dentro y fuera  de la Institución educativa.</v>
      </c>
    </row>
    <row r="24" spans="1:166" ht="15.75" customHeight="1">
      <c r="A24" s="5">
        <v>23</v>
      </c>
      <c r="B24" s="5" t="s">
        <v>157</v>
      </c>
      <c r="C24" s="6">
        <v>1044225217</v>
      </c>
      <c r="D24" s="5" t="s">
        <v>134</v>
      </c>
      <c r="E24" s="5" t="s">
        <v>135</v>
      </c>
      <c r="F24" s="5" t="s">
        <v>70</v>
      </c>
      <c r="G24" s="5" t="s">
        <v>71</v>
      </c>
      <c r="H24" s="5">
        <v>2026</v>
      </c>
      <c r="I24" s="5">
        <v>4</v>
      </c>
      <c r="J24" s="7">
        <v>3</v>
      </c>
      <c r="K24" s="7">
        <v>3</v>
      </c>
      <c r="L24" s="7">
        <v>3</v>
      </c>
      <c r="M24" s="5">
        <f t="shared" si="0"/>
        <v>3</v>
      </c>
      <c r="N24" s="5" t="str">
        <f t="shared" si="1"/>
        <v>BASICO</v>
      </c>
      <c r="O24" s="5">
        <v>1</v>
      </c>
      <c r="P24" s="7">
        <v>3.5</v>
      </c>
      <c r="Q24" s="7">
        <v>3.5</v>
      </c>
      <c r="R24" s="7">
        <v>3.5</v>
      </c>
      <c r="S24" s="5">
        <f t="shared" si="2"/>
        <v>3.5</v>
      </c>
      <c r="T24" s="5" t="str">
        <f t="shared" si="3"/>
        <v>BASICO</v>
      </c>
      <c r="U24" s="5">
        <v>4</v>
      </c>
      <c r="V24" s="7"/>
      <c r="W24" s="7"/>
      <c r="X24" s="7"/>
      <c r="Y24" s="5">
        <f t="shared" si="4"/>
        <v>0</v>
      </c>
      <c r="Z24" s="5" t="str">
        <f t="shared" si="5"/>
        <v>BAJO</v>
      </c>
      <c r="AA24" s="5">
        <v>1</v>
      </c>
      <c r="AB24" s="7">
        <v>3</v>
      </c>
      <c r="AC24" s="7">
        <v>3</v>
      </c>
      <c r="AD24" s="7">
        <v>3</v>
      </c>
      <c r="AE24" s="5">
        <f t="shared" si="6"/>
        <v>3</v>
      </c>
      <c r="AF24" s="5" t="str">
        <f t="shared" si="7"/>
        <v>BASICO</v>
      </c>
      <c r="AG24" s="5">
        <v>2</v>
      </c>
      <c r="AH24" s="8">
        <v>3.5</v>
      </c>
      <c r="AI24" s="8">
        <v>3.5</v>
      </c>
      <c r="AJ24" s="8">
        <v>3.5</v>
      </c>
      <c r="AK24" s="5">
        <f t="shared" si="8"/>
        <v>3.5</v>
      </c>
      <c r="AL24" s="5" t="str">
        <f t="shared" si="9"/>
        <v>BASICO</v>
      </c>
      <c r="AM24" s="5">
        <v>1</v>
      </c>
      <c r="AN24" s="8">
        <v>3.5</v>
      </c>
      <c r="AO24" s="8">
        <v>3.5</v>
      </c>
      <c r="AP24" s="8">
        <v>3.5</v>
      </c>
      <c r="AQ24" s="5">
        <f t="shared" si="10"/>
        <v>3.5</v>
      </c>
      <c r="AR24" s="5" t="str">
        <f t="shared" si="11"/>
        <v>BASICO</v>
      </c>
      <c r="AS24" s="5">
        <v>4</v>
      </c>
      <c r="AT24" s="7">
        <v>3</v>
      </c>
      <c r="AU24" s="7">
        <v>3</v>
      </c>
      <c r="AV24" s="7">
        <v>3</v>
      </c>
      <c r="AW24" s="5">
        <f t="shared" si="34"/>
        <v>3</v>
      </c>
      <c r="AX24" s="5" t="str">
        <f t="shared" si="51"/>
        <v>BASICO</v>
      </c>
      <c r="AY24" s="5">
        <v>1</v>
      </c>
      <c r="AZ24" s="7">
        <v>4.5</v>
      </c>
      <c r="BA24" s="7">
        <v>4</v>
      </c>
      <c r="BB24" s="7">
        <v>4</v>
      </c>
      <c r="BC24" s="5">
        <f t="shared" si="13"/>
        <v>4.1500000000000004</v>
      </c>
      <c r="BD24" s="5" t="str">
        <f t="shared" si="14"/>
        <v>ALTO</v>
      </c>
      <c r="BE24" s="7">
        <v>2</v>
      </c>
      <c r="BF24" s="7">
        <v>3</v>
      </c>
      <c r="BG24" s="7">
        <v>3.2</v>
      </c>
      <c r="BH24" s="7">
        <v>3.3</v>
      </c>
      <c r="BI24" s="5">
        <f t="shared" ref="BI24:BI31" si="59">((BF24*0.3)+(BG24*0.4)+(BH24*0.3))</f>
        <v>3.17</v>
      </c>
      <c r="BJ24" s="5" t="str">
        <f t="shared" si="15"/>
        <v>BASICO</v>
      </c>
      <c r="BK24" s="5">
        <v>1</v>
      </c>
      <c r="BL24" s="7">
        <v>3</v>
      </c>
      <c r="BM24" s="7">
        <v>3.2</v>
      </c>
      <c r="BN24" s="7">
        <v>3.3</v>
      </c>
      <c r="BO24" s="5">
        <f t="shared" si="16"/>
        <v>3.17</v>
      </c>
      <c r="BP24" s="5" t="str">
        <f t="shared" si="17"/>
        <v>BASICO</v>
      </c>
      <c r="BQ24" s="5">
        <v>1</v>
      </c>
      <c r="BR24" s="7">
        <v>3</v>
      </c>
      <c r="BS24" s="7">
        <v>3.2</v>
      </c>
      <c r="BT24" s="7">
        <v>3.3</v>
      </c>
      <c r="BU24" s="5">
        <f t="shared" si="18"/>
        <v>3.17</v>
      </c>
      <c r="BV24" s="5" t="str">
        <f t="shared" si="19"/>
        <v>BASICO</v>
      </c>
      <c r="BW24" s="5">
        <v>1</v>
      </c>
      <c r="BX24" s="7">
        <v>3</v>
      </c>
      <c r="BY24" s="7">
        <v>3.3</v>
      </c>
      <c r="BZ24" s="7">
        <v>3.2</v>
      </c>
      <c r="CA24" s="5">
        <f t="shared" si="20"/>
        <v>3.1799999999999997</v>
      </c>
      <c r="CB24" s="5" t="str">
        <f t="shared" si="21"/>
        <v>BASICO</v>
      </c>
      <c r="CC24" s="5">
        <v>1</v>
      </c>
      <c r="CD24" s="7">
        <v>3.5</v>
      </c>
      <c r="CE24" s="7">
        <v>3.4</v>
      </c>
      <c r="CF24" s="7">
        <v>3.4</v>
      </c>
      <c r="CG24" s="5">
        <f t="shared" si="22"/>
        <v>3.43</v>
      </c>
      <c r="CH24" s="5" t="str">
        <f t="shared" si="23"/>
        <v>BASICO</v>
      </c>
      <c r="CI24" s="5">
        <v>1</v>
      </c>
      <c r="CJ24" s="7">
        <v>4.3</v>
      </c>
      <c r="CK24" s="7">
        <v>4.3</v>
      </c>
      <c r="CL24" s="7">
        <v>4</v>
      </c>
      <c r="CM24" s="5">
        <f t="shared" si="24"/>
        <v>4.21</v>
      </c>
      <c r="CN24" s="5" t="str">
        <f t="shared" si="25"/>
        <v>ALTO</v>
      </c>
      <c r="CO24" s="5">
        <v>1</v>
      </c>
      <c r="CP24" s="7">
        <v>4</v>
      </c>
      <c r="CQ24" s="7">
        <v>4</v>
      </c>
      <c r="CR24" s="7">
        <v>4</v>
      </c>
      <c r="CS24" s="5">
        <f t="shared" si="26"/>
        <v>4</v>
      </c>
      <c r="CT24" s="5" t="str">
        <f t="shared" si="27"/>
        <v>ALTO</v>
      </c>
      <c r="CU24" s="5">
        <v>2</v>
      </c>
      <c r="CV24" s="7">
        <v>2</v>
      </c>
      <c r="CW24" s="7">
        <v>2</v>
      </c>
      <c r="CX24" s="7">
        <v>2</v>
      </c>
      <c r="CY24" s="5">
        <f t="shared" si="28"/>
        <v>2</v>
      </c>
      <c r="CZ24" s="5" t="str">
        <f t="shared" si="29"/>
        <v>BAJO</v>
      </c>
      <c r="DA24" s="5">
        <v>2</v>
      </c>
      <c r="DB24" s="7">
        <v>3.8</v>
      </c>
      <c r="DC24" s="7">
        <v>3.5</v>
      </c>
      <c r="DD24" s="7">
        <v>3.5</v>
      </c>
      <c r="DE24" s="5">
        <f t="shared" si="30"/>
        <v>3.59</v>
      </c>
      <c r="DF24" s="5" t="str">
        <f t="shared" si="31"/>
        <v>BASICO</v>
      </c>
      <c r="DG24" s="5">
        <v>0</v>
      </c>
      <c r="DH24" s="7">
        <v>3.5</v>
      </c>
      <c r="DI24" s="5" t="str">
        <f t="shared" si="32"/>
        <v>BASICO</v>
      </c>
      <c r="DJ24" s="5">
        <f t="shared" si="33"/>
        <v>3.1705882352941179</v>
      </c>
      <c r="DK24" s="5" t="str">
        <f t="shared" si="36"/>
        <v>Comprende el concepto de números reales, su relación de orden y las propiedades de sus operaciones, así como las relaciones de semejanza y congruencia de distintas figuras geométricas.</v>
      </c>
      <c r="DL24" s="5" t="str">
        <f t="shared" ref="DL24:FJ24" si="60">DL23</f>
        <v>Aplica correctamente las propiedades de las operaciones de números reales y expresiones algebraicas en la resolución de problemas.</v>
      </c>
      <c r="DM24" s="5" t="str">
        <f t="shared" si="60"/>
        <v>Valora el uso del pensamiento lógico a la hora de plantear y resolver problemas de las matemáticas y de la vida cotidiana.</v>
      </c>
      <c r="DN24" s="5" t="str">
        <f t="shared" si="6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4" s="5" t="str">
        <f t="shared" si="60"/>
        <v>Organiza y analiza datos mediante la construcción de tablas de frecuencias y diagramas estadísticos, identificando variables aleatorias y utilizando estas representaciones para resolver situaciones problema.</v>
      </c>
      <c r="DP24" s="5" t="str">
        <f t="shared" si="60"/>
        <v>Muestra disposición y responsabilidad en el manejo y análisis de datos, participando activamente en actividades individuales y colaborativas, y comunicando información estadística con claridad y sentido crítico.</v>
      </c>
      <c r="DQ24" s="5" t="str">
        <f t="shared" si="60"/>
        <v>Analiza las características de la literatura prehispánica y la literatura del descubrimiento y la conquista en Colombia identificando sus elementos fundamentales y su impacto en la cultura y el lenguaje actual.</v>
      </c>
      <c r="DR24" s="5" t="str">
        <f t="shared" si="60"/>
        <v>Realiza comprensión lectora cuando analiza un texto desde el discurso de la Enunciación e identifica la función de cada uno de sus componentes.
Responde preguntas en los tres niveles de lectura a una leyenda del Caribe.</v>
      </c>
      <c r="DS24" s="5" t="str">
        <f t="shared" si="60"/>
        <v>Muestra disposición para participar activamente en las clases, promoviendo el respeto por las ideas ajenas y reconociendo la importancia de la precisión como una herramienta clave para una comunicación</v>
      </c>
      <c r="DT24" s="5" t="str">
        <f t="shared" si="60"/>
        <v>Comprende el contenido del cuento A la deriva, identificando su tema central, la secuencia de los hechos, los personajes y las ideas explícitas e implícitas del texto.</v>
      </c>
      <c r="DU24" s="5" t="str">
        <f t="shared" si="60"/>
        <v>Analiza críticamente el cuento A la deriva mediante la identificación de información literal, inferencial y crítica, sustentando sus respuestas de forma oral y escrita.</v>
      </c>
      <c r="DV24" s="5" t="str">
        <f t="shared" si="60"/>
        <v>Valora la lectura literaria como una oportunidad para reflexionar sobre la vida, la naturaleza y la condición humana, participando con interés, respeto y sentido crítico en las actividades propuestas.</v>
      </c>
      <c r="DW24" s="5" t="str">
        <f t="shared" si="60"/>
        <v>Comprende y reconoce vocabulario y estructuras basicas del ingles para interpretar textos cortos y conversaciones sobre temas cotidianos de la vida diaria.</v>
      </c>
      <c r="DX24" s="5" t="str">
        <f t="shared" si="60"/>
        <v>Produce de forma oral y escrita frases y parrafos cortos en Ingles, utilizando correctamente las estructuras conocidas para describir rutinas, narrar experiencias y participar en conversaciones.</v>
      </c>
      <c r="DY24" s="5" t="str">
        <f t="shared" si="60"/>
        <v>Muestra disposicion positiva hacia el aprendizaje del Ingles participando activamente en clase.</v>
      </c>
      <c r="DZ24" s="5" t="str">
        <f t="shared" si="60"/>
        <v>Identifica vocabulario en Ingles  de situaciones cotidianas.</v>
      </c>
      <c r="EA24" s="5" t="str">
        <f t="shared" si="60"/>
        <v>Participa en actividades utilizando vocabulario aprendido para expresar gustos,emociones y necesidades.</v>
      </c>
      <c r="EB24" s="5" t="str">
        <f t="shared" si="60"/>
        <v>Respeta la opinion de los demas, muestra disposicion para participar en actividades orales.</v>
      </c>
      <c r="EC24" s="5" t="str">
        <f t="shared" si="60"/>
        <v>Identifica la conformación y funcionamiento del sistema inmunolófico y diferencia las característics de los estados de la materia.</v>
      </c>
      <c r="ED24" s="5" t="str">
        <f t="shared" si="60"/>
        <v>Reconoce experimentalmente las características de materiales en los diferentes estados de la materia.</v>
      </c>
      <c r="EE24" s="5" t="str">
        <f t="shared" si="60"/>
        <v xml:space="preserve">Valora la importancia de tener habitos saludables, para lograr el mantenimiento saludable del sistema inmune. </v>
      </c>
      <c r="EF24" s="5" t="str">
        <f t="shared" si="60"/>
        <v>Describe correctamente la secuencia de eventos biologicos de la fecundacion,incluyendo las recciones acrosomicas,la funcion de gametos y la formacion de gametos.</v>
      </c>
      <c r="EG24" s="5" t="str">
        <f t="shared" si="60"/>
        <v>Mide la capacidad del labolatrio para lograr la fecundacion exitosa de los ovulos con el espermatozoide.</v>
      </c>
      <c r="EH24" s="5" t="str">
        <f t="shared" si="60"/>
        <v>Valora la importancia del cuidado del cuerpo y de la salud reproductiva como la base para una fecundacion saludable.</v>
      </c>
      <c r="EI24" s="5" t="str">
        <f t="shared" si="60"/>
        <v>Explico las principales caracteristicas de algunas revoluciones de los siglos XVIII y XIX (Revolucion francesa, Industrial...)</v>
      </c>
      <c r="EJ24" s="5" t="str">
        <f t="shared" si="60"/>
        <v>Analiza las causas y consecuencias de procesos historicos como la Revolucion Industrial y Francesa.</v>
      </c>
      <c r="EK24" s="5" t="str">
        <f t="shared" si="60"/>
        <v>Muestra interes y curiosidad por comprender los procesos historicos y su impacto en la sociedad.</v>
      </c>
      <c r="EL24" s="5" t="str">
        <f t="shared" si="60"/>
        <v xml:space="preserve">Identifica los procesos historicos de algunas revoluciones de los siglos XVIII y XIX </v>
      </c>
      <c r="EM24" s="5">
        <f t="shared" si="60"/>
        <v>0</v>
      </c>
      <c r="EN24" s="5">
        <f t="shared" si="60"/>
        <v>0</v>
      </c>
      <c r="EO24" s="5" t="str">
        <f t="shared" si="60"/>
        <v xml:space="preserve">Comprende la distribucion espacial de la poblacion antes y despues de las revoluciones </v>
      </c>
      <c r="EP24" s="5" t="str">
        <f t="shared" si="60"/>
        <v xml:space="preserve">Ubica en mapas las regiones donde se desarrollaron las principales revoluciones y explica sus caracteristicas geograficas </v>
      </c>
      <c r="EQ24" s="5" t="str">
        <f t="shared" si="60"/>
        <v>Muestra interes por comprender la relacion entre sociedad, economia y territorio</v>
      </c>
      <c r="ER24" s="5" t="str">
        <f t="shared" si="60"/>
        <v>Comprende el concepto de cultura de paz y su importancia en la sociedad</v>
      </c>
      <c r="ES24" s="5" t="str">
        <f t="shared" si="60"/>
        <v>Practica normas de convivencia en diferentes espacios( aula, hogar, comunidad)</v>
      </c>
      <c r="ET24" s="5" t="str">
        <f t="shared" si="60"/>
        <v>Muestra actitud de respeto hacia la diversidad cuktural, social y de pensamiento</v>
      </c>
      <c r="EU24" s="5">
        <f t="shared" si="60"/>
        <v>0</v>
      </c>
      <c r="EV24" s="5">
        <f t="shared" si="60"/>
        <v>0</v>
      </c>
      <c r="EW24" s="5">
        <f t="shared" si="60"/>
        <v>0</v>
      </c>
      <c r="EX24" s="5">
        <f t="shared" si="60"/>
        <v>0</v>
      </c>
      <c r="EY24" s="5">
        <f t="shared" si="60"/>
        <v>0</v>
      </c>
      <c r="EZ24" s="5">
        <f t="shared" si="60"/>
        <v>0</v>
      </c>
      <c r="FA24" s="5">
        <f t="shared" si="60"/>
        <v>0</v>
      </c>
      <c r="FB24" s="5">
        <f t="shared" si="60"/>
        <v>0</v>
      </c>
      <c r="FC24" s="5">
        <f t="shared" si="60"/>
        <v>0</v>
      </c>
      <c r="FD24" s="5" t="str">
        <f t="shared" si="60"/>
        <v xml:space="preserve"> Identifica las expresiones motrices relacionadas con el juego del voleibol,  como una oportunidad para mejorar la salud, la estética y las relaciones con los demás.</v>
      </c>
      <c r="FE24" s="5" t="str">
        <f t="shared" si="60"/>
        <v>Pone en práctica los fundamentos básicos del voleibol.</v>
      </c>
      <c r="FF24" s="5" t="str">
        <f t="shared" si="60"/>
        <v>Muestra  responsabilidad y buena actitud al realizar el juego de voleibol.</v>
      </c>
      <c r="FG24" s="5" t="str">
        <f t="shared" si="60"/>
        <v>Comprende el concepto de variable como espacio de almacenamiento de datos y reconoce el uso de estructuras condicionales (si, si-no) para la toma de decisiones en un programa.</v>
      </c>
      <c r="FH24" s="5" t="str">
        <f t="shared" si="60"/>
        <v>Diseña y desarrolla programas que utilizan variables y estructuras condicionales para resolver problemas, evaluando condiciones y generando respuestas según diferentes situaciones.</v>
      </c>
      <c r="FI24" s="5" t="str">
        <f t="shared" si="60"/>
        <v>Muestra pensamiento lógico, perseverancia y actitud crítica al analizar errores y proponer soluciones en la construcción de programas con variables y condicionales.</v>
      </c>
      <c r="FJ24" s="5" t="str">
        <f t="shared" si="60"/>
        <v>Identifica y reconoce sus pricipales deberes y derechos dentro y fuera  de la Institución educativa.</v>
      </c>
    </row>
    <row r="25" spans="1:166" ht="15.75" customHeight="1">
      <c r="A25" s="5">
        <v>24</v>
      </c>
      <c r="B25" s="5" t="s">
        <v>158</v>
      </c>
      <c r="C25" s="6">
        <v>1200713456</v>
      </c>
      <c r="D25" s="5" t="s">
        <v>134</v>
      </c>
      <c r="E25" s="5" t="s">
        <v>135</v>
      </c>
      <c r="F25" s="5" t="s">
        <v>70</v>
      </c>
      <c r="G25" s="5" t="s">
        <v>71</v>
      </c>
      <c r="H25" s="5">
        <v>2026</v>
      </c>
      <c r="I25" s="5">
        <v>4</v>
      </c>
      <c r="J25" s="7">
        <v>3</v>
      </c>
      <c r="K25" s="7">
        <v>3.5</v>
      </c>
      <c r="L25" s="7">
        <v>4</v>
      </c>
      <c r="M25" s="5">
        <f t="shared" si="0"/>
        <v>3.5</v>
      </c>
      <c r="N25" s="5" t="str">
        <f t="shared" si="1"/>
        <v>BASICO</v>
      </c>
      <c r="O25" s="5">
        <v>1</v>
      </c>
      <c r="P25" s="7">
        <v>2.8</v>
      </c>
      <c r="Q25" s="7">
        <v>2.8</v>
      </c>
      <c r="R25" s="7">
        <v>2.8</v>
      </c>
      <c r="S25" s="5">
        <f t="shared" si="2"/>
        <v>2.8</v>
      </c>
      <c r="T25" s="5" t="str">
        <f t="shared" si="3"/>
        <v>BAJO</v>
      </c>
      <c r="U25" s="5">
        <v>4</v>
      </c>
      <c r="V25" s="7"/>
      <c r="W25" s="7"/>
      <c r="X25" s="7"/>
      <c r="Y25" s="5">
        <f t="shared" si="4"/>
        <v>0</v>
      </c>
      <c r="Z25" s="5" t="str">
        <f t="shared" si="5"/>
        <v>BAJO</v>
      </c>
      <c r="AA25" s="5">
        <v>1</v>
      </c>
      <c r="AB25" s="7">
        <v>4.8</v>
      </c>
      <c r="AC25" s="7">
        <v>4.8</v>
      </c>
      <c r="AD25" s="7">
        <v>4.8</v>
      </c>
      <c r="AE25" s="5">
        <f t="shared" si="6"/>
        <v>4.8</v>
      </c>
      <c r="AF25" s="5" t="str">
        <f t="shared" si="7"/>
        <v>SUPERIOR</v>
      </c>
      <c r="AG25" s="5">
        <v>2</v>
      </c>
      <c r="AH25" s="8">
        <v>4.5</v>
      </c>
      <c r="AI25" s="8">
        <v>4.5</v>
      </c>
      <c r="AJ25" s="8">
        <v>4.5</v>
      </c>
      <c r="AK25" s="5">
        <f t="shared" si="8"/>
        <v>4.5</v>
      </c>
      <c r="AL25" s="5" t="str">
        <f t="shared" si="9"/>
        <v>SUPERIOR</v>
      </c>
      <c r="AM25" s="5">
        <v>1</v>
      </c>
      <c r="AN25" s="8">
        <v>4.5</v>
      </c>
      <c r="AO25" s="8">
        <v>4.5</v>
      </c>
      <c r="AP25" s="8">
        <v>4.5</v>
      </c>
      <c r="AQ25" s="5">
        <f t="shared" si="10"/>
        <v>4.5</v>
      </c>
      <c r="AR25" s="5" t="str">
        <f t="shared" si="11"/>
        <v>SUPERIOR</v>
      </c>
      <c r="AS25" s="5">
        <v>4</v>
      </c>
      <c r="AT25" s="7">
        <v>4.5</v>
      </c>
      <c r="AU25" s="7">
        <v>4.5</v>
      </c>
      <c r="AV25" s="7">
        <v>4.5</v>
      </c>
      <c r="AW25" s="5">
        <f t="shared" si="34"/>
        <v>4.5</v>
      </c>
      <c r="AX25" s="5" t="str">
        <f t="shared" si="51"/>
        <v>SUPERIOR</v>
      </c>
      <c r="AY25" s="5">
        <v>1</v>
      </c>
      <c r="AZ25" s="7">
        <v>4</v>
      </c>
      <c r="BA25" s="7">
        <v>4</v>
      </c>
      <c r="BB25" s="7">
        <v>4</v>
      </c>
      <c r="BC25" s="5">
        <f t="shared" si="13"/>
        <v>4</v>
      </c>
      <c r="BD25" s="5" t="str">
        <f t="shared" si="14"/>
        <v>ALTO</v>
      </c>
      <c r="BE25" s="7">
        <v>2</v>
      </c>
      <c r="BF25" s="7">
        <v>4</v>
      </c>
      <c r="BG25" s="7">
        <v>4.5</v>
      </c>
      <c r="BH25" s="7">
        <v>4.4000000000000004</v>
      </c>
      <c r="BI25" s="5">
        <f t="shared" si="59"/>
        <v>4.32</v>
      </c>
      <c r="BJ25" s="5" t="str">
        <f t="shared" si="15"/>
        <v>ALTO</v>
      </c>
      <c r="BK25" s="5">
        <v>1</v>
      </c>
      <c r="BL25" s="7">
        <v>4</v>
      </c>
      <c r="BM25" s="7">
        <v>4.4000000000000004</v>
      </c>
      <c r="BN25" s="7">
        <v>4.5999999999999996</v>
      </c>
      <c r="BO25" s="5">
        <f t="shared" si="16"/>
        <v>4.34</v>
      </c>
      <c r="BP25" s="5" t="str">
        <f t="shared" si="17"/>
        <v>ALTO</v>
      </c>
      <c r="BQ25" s="5">
        <v>1</v>
      </c>
      <c r="BR25" s="7">
        <v>4.5</v>
      </c>
      <c r="BS25" s="7">
        <v>4</v>
      </c>
      <c r="BT25" s="7">
        <v>4.4000000000000004</v>
      </c>
      <c r="BU25" s="5">
        <f t="shared" si="18"/>
        <v>4.2700000000000005</v>
      </c>
      <c r="BV25" s="5" t="str">
        <f t="shared" si="19"/>
        <v>ALTO</v>
      </c>
      <c r="BW25" s="5">
        <v>1</v>
      </c>
      <c r="BX25" s="7">
        <v>4</v>
      </c>
      <c r="BY25" s="7">
        <v>4.4000000000000004</v>
      </c>
      <c r="BZ25" s="7">
        <v>4.5999999999999996</v>
      </c>
      <c r="CA25" s="5">
        <f t="shared" si="20"/>
        <v>4.34</v>
      </c>
      <c r="CB25" s="5" t="str">
        <f t="shared" si="21"/>
        <v>ALTO</v>
      </c>
      <c r="CC25" s="5">
        <v>1</v>
      </c>
      <c r="CD25" s="7">
        <v>4.5</v>
      </c>
      <c r="CE25" s="7">
        <v>4.5999999999999996</v>
      </c>
      <c r="CF25" s="7">
        <v>4.5999999999999996</v>
      </c>
      <c r="CG25" s="5">
        <f t="shared" si="22"/>
        <v>4.5699999999999994</v>
      </c>
      <c r="CH25" s="5" t="str">
        <f t="shared" si="23"/>
        <v>SUPERIOR</v>
      </c>
      <c r="CI25" s="5">
        <v>1</v>
      </c>
      <c r="CJ25" s="7">
        <v>4.7</v>
      </c>
      <c r="CK25" s="7">
        <v>4.5999999999999996</v>
      </c>
      <c r="CL25" s="7">
        <v>4.5999999999999996</v>
      </c>
      <c r="CM25" s="5">
        <f t="shared" si="24"/>
        <v>4.63</v>
      </c>
      <c r="CN25" s="5" t="str">
        <f t="shared" si="25"/>
        <v>SUPERIOR</v>
      </c>
      <c r="CO25" s="5">
        <v>1</v>
      </c>
      <c r="CP25" s="7">
        <v>5</v>
      </c>
      <c r="CQ25" s="7">
        <v>5</v>
      </c>
      <c r="CR25" s="7">
        <v>5</v>
      </c>
      <c r="CS25" s="5">
        <f t="shared" si="26"/>
        <v>5</v>
      </c>
      <c r="CT25" s="5" t="str">
        <f t="shared" si="27"/>
        <v>SUPERIOR</v>
      </c>
      <c r="CU25" s="5">
        <v>2</v>
      </c>
      <c r="CV25" s="7">
        <v>3.5</v>
      </c>
      <c r="CW25" s="7">
        <v>3.5</v>
      </c>
      <c r="CX25" s="7">
        <v>3.5</v>
      </c>
      <c r="CY25" s="5">
        <f t="shared" si="28"/>
        <v>3.5</v>
      </c>
      <c r="CZ25" s="5" t="str">
        <f t="shared" si="29"/>
        <v>BASICO</v>
      </c>
      <c r="DA25" s="5">
        <v>2</v>
      </c>
      <c r="DB25" s="7">
        <v>4</v>
      </c>
      <c r="DC25" s="7">
        <v>4</v>
      </c>
      <c r="DD25" s="7">
        <v>4.5</v>
      </c>
      <c r="DE25" s="5">
        <f t="shared" si="30"/>
        <v>4.1499999999999995</v>
      </c>
      <c r="DF25" s="5" t="str">
        <f t="shared" si="31"/>
        <v>ALTO</v>
      </c>
      <c r="DG25" s="5">
        <v>0</v>
      </c>
      <c r="DH25" s="7">
        <v>4.5</v>
      </c>
      <c r="DI25" s="5" t="str">
        <f t="shared" si="32"/>
        <v>SUPERIOR</v>
      </c>
      <c r="DJ25" s="5">
        <f t="shared" si="33"/>
        <v>3.9970588235294118</v>
      </c>
      <c r="DK25" s="5" t="str">
        <f t="shared" si="36"/>
        <v>Comprende el concepto de números reales, su relación de orden y las propiedades de sus operaciones, así como las relaciones de semejanza y congruencia de distintas figuras geométricas.</v>
      </c>
      <c r="DL25" s="5" t="str">
        <f t="shared" ref="DL25:FJ25" si="61">DL24</f>
        <v>Aplica correctamente las propiedades de las operaciones de números reales y expresiones algebraicas en la resolución de problemas.</v>
      </c>
      <c r="DM25" s="5" t="str">
        <f t="shared" si="61"/>
        <v>Valora el uso del pensamiento lógico a la hora de plantear y resolver problemas de las matemáticas y de la vida cotidiana.</v>
      </c>
      <c r="DN25" s="5" t="str">
        <f t="shared" si="6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5" s="5" t="str">
        <f t="shared" si="61"/>
        <v>Organiza y analiza datos mediante la construcción de tablas de frecuencias y diagramas estadísticos, identificando variables aleatorias y utilizando estas representaciones para resolver situaciones problema.</v>
      </c>
      <c r="DP25" s="5" t="str">
        <f t="shared" si="61"/>
        <v>Muestra disposición y responsabilidad en el manejo y análisis de datos, participando activamente en actividades individuales y colaborativas, y comunicando información estadística con claridad y sentido crítico.</v>
      </c>
      <c r="DQ25" s="5" t="str">
        <f t="shared" si="61"/>
        <v>Analiza las características de la literatura prehispánica y la literatura del descubrimiento y la conquista en Colombia identificando sus elementos fundamentales y su impacto en la cultura y el lenguaje actual.</v>
      </c>
      <c r="DR25" s="5" t="str">
        <f t="shared" si="61"/>
        <v>Realiza comprensión lectora cuando analiza un texto desde el discurso de la Enunciación e identifica la función de cada uno de sus componentes.
Responde preguntas en los tres niveles de lectura a una leyenda del Caribe.</v>
      </c>
      <c r="DS25" s="5" t="str">
        <f t="shared" si="61"/>
        <v>Muestra disposición para participar activamente en las clases, promoviendo el respeto por las ideas ajenas y reconociendo la importancia de la precisión como una herramienta clave para una comunicación</v>
      </c>
      <c r="DT25" s="5" t="str">
        <f t="shared" si="61"/>
        <v>Comprende el contenido del cuento A la deriva, identificando su tema central, la secuencia de los hechos, los personajes y las ideas explícitas e implícitas del texto.</v>
      </c>
      <c r="DU25" s="5" t="str">
        <f t="shared" si="61"/>
        <v>Analiza críticamente el cuento A la deriva mediante la identificación de información literal, inferencial y crítica, sustentando sus respuestas de forma oral y escrita.</v>
      </c>
      <c r="DV25" s="5" t="str">
        <f t="shared" si="61"/>
        <v>Valora la lectura literaria como una oportunidad para reflexionar sobre la vida, la naturaleza y la condición humana, participando con interés, respeto y sentido crítico en las actividades propuestas.</v>
      </c>
      <c r="DW25" s="5" t="str">
        <f t="shared" si="61"/>
        <v>Comprende y reconoce vocabulario y estructuras basicas del ingles para interpretar textos cortos y conversaciones sobre temas cotidianos de la vida diaria.</v>
      </c>
      <c r="DX25" s="5" t="str">
        <f t="shared" si="61"/>
        <v>Produce de forma oral y escrita frases y parrafos cortos en Ingles, utilizando correctamente las estructuras conocidas para describir rutinas, narrar experiencias y participar en conversaciones.</v>
      </c>
      <c r="DY25" s="5" t="str">
        <f t="shared" si="61"/>
        <v>Muestra disposicion positiva hacia el aprendizaje del Ingles participando activamente en clase.</v>
      </c>
      <c r="DZ25" s="5" t="str">
        <f t="shared" si="61"/>
        <v>Identifica vocabulario en Ingles  de situaciones cotidianas.</v>
      </c>
      <c r="EA25" s="5" t="str">
        <f t="shared" si="61"/>
        <v>Participa en actividades utilizando vocabulario aprendido para expresar gustos,emociones y necesidades.</v>
      </c>
      <c r="EB25" s="5" t="str">
        <f t="shared" si="61"/>
        <v>Respeta la opinion de los demas, muestra disposicion para participar en actividades orales.</v>
      </c>
      <c r="EC25" s="5" t="str">
        <f t="shared" si="61"/>
        <v>Identifica la conformación y funcionamiento del sistema inmunolófico y diferencia las característics de los estados de la materia.</v>
      </c>
      <c r="ED25" s="5" t="str">
        <f t="shared" si="61"/>
        <v>Reconoce experimentalmente las características de materiales en los diferentes estados de la materia.</v>
      </c>
      <c r="EE25" s="5" t="str">
        <f t="shared" si="61"/>
        <v xml:space="preserve">Valora la importancia de tener habitos saludables, para lograr el mantenimiento saludable del sistema inmune. </v>
      </c>
      <c r="EF25" s="5" t="str">
        <f t="shared" si="61"/>
        <v>Describe correctamente la secuencia de eventos biologicos de la fecundacion,incluyendo las recciones acrosomicas,la funcion de gametos y la formacion de gametos.</v>
      </c>
      <c r="EG25" s="5" t="str">
        <f t="shared" si="61"/>
        <v>Mide la capacidad del labolatrio para lograr la fecundacion exitosa de los ovulos con el espermatozoide.</v>
      </c>
      <c r="EH25" s="5" t="str">
        <f t="shared" si="61"/>
        <v>Valora la importancia del cuidado del cuerpo y de la salud reproductiva como la base para una fecundacion saludable.</v>
      </c>
      <c r="EI25" s="5" t="str">
        <f t="shared" si="61"/>
        <v>Explico las principales caracteristicas de algunas revoluciones de los siglos XVIII y XIX (Revolucion francesa, Industrial...)</v>
      </c>
      <c r="EJ25" s="5" t="str">
        <f t="shared" si="61"/>
        <v>Analiza las causas y consecuencias de procesos historicos como la Revolucion Industrial y Francesa.</v>
      </c>
      <c r="EK25" s="5" t="str">
        <f t="shared" si="61"/>
        <v>Muestra interes y curiosidad por comprender los procesos historicos y su impacto en la sociedad.</v>
      </c>
      <c r="EL25" s="5" t="str">
        <f t="shared" si="61"/>
        <v xml:space="preserve">Identifica los procesos historicos de algunas revoluciones de los siglos XVIII y XIX </v>
      </c>
      <c r="EM25" s="5">
        <f t="shared" si="61"/>
        <v>0</v>
      </c>
      <c r="EN25" s="5">
        <f t="shared" si="61"/>
        <v>0</v>
      </c>
      <c r="EO25" s="5" t="str">
        <f t="shared" si="61"/>
        <v xml:space="preserve">Comprende la distribucion espacial de la poblacion antes y despues de las revoluciones </v>
      </c>
      <c r="EP25" s="5" t="str">
        <f t="shared" si="61"/>
        <v xml:space="preserve">Ubica en mapas las regiones donde se desarrollaron las principales revoluciones y explica sus caracteristicas geograficas </v>
      </c>
      <c r="EQ25" s="5" t="str">
        <f t="shared" si="61"/>
        <v>Muestra interes por comprender la relacion entre sociedad, economia y territorio</v>
      </c>
      <c r="ER25" s="5" t="str">
        <f t="shared" si="61"/>
        <v>Comprende el concepto de cultura de paz y su importancia en la sociedad</v>
      </c>
      <c r="ES25" s="5" t="str">
        <f t="shared" si="61"/>
        <v>Practica normas de convivencia en diferentes espacios( aula, hogar, comunidad)</v>
      </c>
      <c r="ET25" s="5" t="str">
        <f t="shared" si="61"/>
        <v>Muestra actitud de respeto hacia la diversidad cuktural, social y de pensamiento</v>
      </c>
      <c r="EU25" s="5">
        <f t="shared" si="61"/>
        <v>0</v>
      </c>
      <c r="EV25" s="5">
        <f t="shared" si="61"/>
        <v>0</v>
      </c>
      <c r="EW25" s="5">
        <f t="shared" si="61"/>
        <v>0</v>
      </c>
      <c r="EX25" s="5">
        <f t="shared" si="61"/>
        <v>0</v>
      </c>
      <c r="EY25" s="5">
        <f t="shared" si="61"/>
        <v>0</v>
      </c>
      <c r="EZ25" s="5">
        <f t="shared" si="61"/>
        <v>0</v>
      </c>
      <c r="FA25" s="5">
        <f t="shared" si="61"/>
        <v>0</v>
      </c>
      <c r="FB25" s="5">
        <f t="shared" si="61"/>
        <v>0</v>
      </c>
      <c r="FC25" s="5">
        <f t="shared" si="61"/>
        <v>0</v>
      </c>
      <c r="FD25" s="5" t="str">
        <f t="shared" si="61"/>
        <v xml:space="preserve"> Identifica las expresiones motrices relacionadas con el juego del voleibol,  como una oportunidad para mejorar la salud, la estética y las relaciones con los demás.</v>
      </c>
      <c r="FE25" s="5" t="str">
        <f t="shared" si="61"/>
        <v>Pone en práctica los fundamentos básicos del voleibol.</v>
      </c>
      <c r="FF25" s="5" t="str">
        <f t="shared" si="61"/>
        <v>Muestra  responsabilidad y buena actitud al realizar el juego de voleibol.</v>
      </c>
      <c r="FG25" s="5" t="str">
        <f t="shared" si="61"/>
        <v>Comprende el concepto de variable como espacio de almacenamiento de datos y reconoce el uso de estructuras condicionales (si, si-no) para la toma de decisiones en un programa.</v>
      </c>
      <c r="FH25" s="5" t="str">
        <f t="shared" si="61"/>
        <v>Diseña y desarrolla programas que utilizan variables y estructuras condicionales para resolver problemas, evaluando condiciones y generando respuestas según diferentes situaciones.</v>
      </c>
      <c r="FI25" s="5" t="str">
        <f t="shared" si="61"/>
        <v>Muestra pensamiento lógico, perseverancia y actitud crítica al analizar errores y proponer soluciones en la construcción de programas con variables y condicionales.</v>
      </c>
      <c r="FJ25" s="5" t="str">
        <f t="shared" si="61"/>
        <v>Identifica y reconoce sus pricipales deberes y derechos dentro y fuera  de la Institución educativa.</v>
      </c>
    </row>
    <row r="26" spans="1:166" ht="15.75" customHeight="1">
      <c r="A26" s="9">
        <v>25</v>
      </c>
      <c r="B26" s="9" t="s">
        <v>159</v>
      </c>
      <c r="C26" s="10">
        <v>1043688227</v>
      </c>
      <c r="D26" s="5" t="s">
        <v>134</v>
      </c>
      <c r="E26" s="5" t="s">
        <v>135</v>
      </c>
      <c r="F26" s="5" t="s">
        <v>70</v>
      </c>
      <c r="G26" s="5" t="s">
        <v>71</v>
      </c>
      <c r="H26" s="5">
        <v>2026</v>
      </c>
      <c r="I26" s="7">
        <v>4</v>
      </c>
      <c r="J26" s="7"/>
      <c r="K26" s="7"/>
      <c r="L26" s="7"/>
      <c r="M26" s="5">
        <f t="shared" si="0"/>
        <v>0</v>
      </c>
      <c r="N26" s="5" t="str">
        <f t="shared" si="1"/>
        <v>BAJO</v>
      </c>
      <c r="O26" s="5">
        <v>1</v>
      </c>
      <c r="P26" s="7"/>
      <c r="Q26" s="7"/>
      <c r="R26" s="7"/>
      <c r="S26" s="5">
        <f t="shared" si="2"/>
        <v>0</v>
      </c>
      <c r="T26" s="5" t="str">
        <f t="shared" si="3"/>
        <v>BAJO</v>
      </c>
      <c r="U26" s="5">
        <v>4</v>
      </c>
      <c r="V26" s="7"/>
      <c r="W26" s="7"/>
      <c r="X26" s="7"/>
      <c r="Y26" s="5">
        <f t="shared" si="4"/>
        <v>0</v>
      </c>
      <c r="Z26" s="5" t="str">
        <f t="shared" si="5"/>
        <v>BAJO</v>
      </c>
      <c r="AA26" s="5">
        <v>1</v>
      </c>
      <c r="AB26" s="7"/>
      <c r="AC26" s="7"/>
      <c r="AD26" s="7"/>
      <c r="AE26" s="5">
        <f t="shared" si="6"/>
        <v>0</v>
      </c>
      <c r="AF26" s="5" t="str">
        <f t="shared" si="7"/>
        <v>BAJO</v>
      </c>
      <c r="AG26" s="5">
        <v>2</v>
      </c>
      <c r="AH26" s="11"/>
      <c r="AI26" s="11"/>
      <c r="AJ26" s="11"/>
      <c r="AK26" s="5">
        <f t="shared" si="8"/>
        <v>0</v>
      </c>
      <c r="AL26" s="5" t="str">
        <f t="shared" si="9"/>
        <v>BAJO</v>
      </c>
      <c r="AM26" s="5">
        <v>1</v>
      </c>
      <c r="AN26" s="11"/>
      <c r="AO26" s="11"/>
      <c r="AP26" s="11"/>
      <c r="AQ26" s="5">
        <f t="shared" si="10"/>
        <v>0</v>
      </c>
      <c r="AR26" s="5" t="str">
        <f t="shared" si="11"/>
        <v>BAJO</v>
      </c>
      <c r="AS26" s="5">
        <v>4</v>
      </c>
      <c r="AT26" s="7"/>
      <c r="AU26" s="7"/>
      <c r="AV26" s="7"/>
      <c r="AW26" s="5">
        <f t="shared" si="34"/>
        <v>0</v>
      </c>
      <c r="AX26" s="5" t="str">
        <f t="shared" si="51"/>
        <v>BAJO</v>
      </c>
      <c r="AY26" s="5">
        <v>1</v>
      </c>
      <c r="AZ26" s="7"/>
      <c r="BA26" s="7"/>
      <c r="BB26" s="7"/>
      <c r="BC26" s="5">
        <f t="shared" si="13"/>
        <v>0</v>
      </c>
      <c r="BD26" s="5" t="str">
        <f t="shared" si="14"/>
        <v>BAJO</v>
      </c>
      <c r="BE26" s="7">
        <v>2</v>
      </c>
      <c r="BF26" s="7"/>
      <c r="BG26" s="7"/>
      <c r="BH26" s="7"/>
      <c r="BI26" s="5">
        <f t="shared" si="59"/>
        <v>0</v>
      </c>
      <c r="BJ26" s="5" t="str">
        <f t="shared" si="15"/>
        <v>BAJO</v>
      </c>
      <c r="BK26" s="5">
        <v>1</v>
      </c>
      <c r="BL26" s="7"/>
      <c r="BM26" s="7"/>
      <c r="BN26" s="7"/>
      <c r="BO26" s="5">
        <f t="shared" si="16"/>
        <v>0</v>
      </c>
      <c r="BP26" s="5" t="str">
        <f t="shared" si="17"/>
        <v>BAJO</v>
      </c>
      <c r="BQ26" s="5">
        <v>1</v>
      </c>
      <c r="BR26" s="7"/>
      <c r="BS26" s="7"/>
      <c r="BT26" s="7"/>
      <c r="BU26" s="5">
        <f t="shared" si="18"/>
        <v>0</v>
      </c>
      <c r="BV26" s="5" t="str">
        <f t="shared" si="19"/>
        <v>BAJO</v>
      </c>
      <c r="BW26" s="5">
        <v>1</v>
      </c>
      <c r="BX26" s="7"/>
      <c r="BY26" s="7"/>
      <c r="BZ26" s="7"/>
      <c r="CA26" s="5">
        <f t="shared" si="20"/>
        <v>0</v>
      </c>
      <c r="CB26" s="5" t="str">
        <f t="shared" si="21"/>
        <v>BAJO</v>
      </c>
      <c r="CC26" s="5">
        <v>1</v>
      </c>
      <c r="CD26" s="7"/>
      <c r="CE26" s="7"/>
      <c r="CF26" s="7"/>
      <c r="CG26" s="5">
        <f t="shared" si="22"/>
        <v>0</v>
      </c>
      <c r="CH26" s="5" t="str">
        <f t="shared" si="23"/>
        <v>BAJO</v>
      </c>
      <c r="CI26" s="5">
        <v>1</v>
      </c>
      <c r="CJ26" s="7"/>
      <c r="CK26" s="7"/>
      <c r="CL26" s="7"/>
      <c r="CM26" s="5">
        <f t="shared" si="24"/>
        <v>0</v>
      </c>
      <c r="CN26" s="5" t="str">
        <f t="shared" si="25"/>
        <v>BAJO</v>
      </c>
      <c r="CO26" s="5">
        <v>1</v>
      </c>
      <c r="CP26" s="7"/>
      <c r="CQ26" s="7"/>
      <c r="CR26" s="7"/>
      <c r="CS26" s="5">
        <f t="shared" si="26"/>
        <v>0</v>
      </c>
      <c r="CT26" s="5" t="str">
        <f t="shared" si="27"/>
        <v>BAJO</v>
      </c>
      <c r="CU26" s="5">
        <v>2</v>
      </c>
      <c r="CV26" s="7"/>
      <c r="CW26" s="7"/>
      <c r="CX26" s="7"/>
      <c r="CY26" s="5">
        <f t="shared" si="28"/>
        <v>0</v>
      </c>
      <c r="CZ26" s="5" t="str">
        <f t="shared" si="29"/>
        <v>BAJO</v>
      </c>
      <c r="DA26" s="5">
        <v>2</v>
      </c>
      <c r="DB26" s="5"/>
      <c r="DC26" s="5"/>
      <c r="DD26" s="5"/>
      <c r="DE26" s="5">
        <f t="shared" si="30"/>
        <v>0</v>
      </c>
      <c r="DF26" s="5" t="str">
        <f t="shared" si="31"/>
        <v>BAJO</v>
      </c>
      <c r="DG26" s="5">
        <v>0</v>
      </c>
      <c r="DH26" s="5"/>
      <c r="DI26" s="5" t="str">
        <f t="shared" si="32"/>
        <v>BAJO</v>
      </c>
      <c r="DJ26" s="5">
        <f t="shared" si="33"/>
        <v>0</v>
      </c>
      <c r="DK26" s="5" t="str">
        <f t="shared" si="36"/>
        <v>Comprende el concepto de números reales, su relación de orden y las propiedades de sus operaciones, así como las relaciones de semejanza y congruencia de distintas figuras geométricas.</v>
      </c>
      <c r="DL26" s="5" t="str">
        <f t="shared" ref="DL26:FJ26" si="62">DL25</f>
        <v>Aplica correctamente las propiedades de las operaciones de números reales y expresiones algebraicas en la resolución de problemas.</v>
      </c>
      <c r="DM26" s="5" t="str">
        <f t="shared" si="62"/>
        <v>Valora el uso del pensamiento lógico a la hora de plantear y resolver problemas de las matemáticas y de la vida cotidiana.</v>
      </c>
      <c r="DN26" s="5" t="str">
        <f t="shared" si="6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6" s="5" t="str">
        <f t="shared" si="62"/>
        <v>Organiza y analiza datos mediante la construcción de tablas de frecuencias y diagramas estadísticos, identificando variables aleatorias y utilizando estas representaciones para resolver situaciones problema.</v>
      </c>
      <c r="DP26" s="5" t="str">
        <f t="shared" si="62"/>
        <v>Muestra disposición y responsabilidad en el manejo y análisis de datos, participando activamente en actividades individuales y colaborativas, y comunicando información estadística con claridad y sentido crítico.</v>
      </c>
      <c r="DQ26" s="5" t="str">
        <f t="shared" si="62"/>
        <v>Analiza las características de la literatura prehispánica y la literatura del descubrimiento y la conquista en Colombia identificando sus elementos fundamentales y su impacto en la cultura y el lenguaje actual.</v>
      </c>
      <c r="DR26" s="5" t="str">
        <f t="shared" si="62"/>
        <v>Realiza comprensión lectora cuando analiza un texto desde el discurso de la Enunciación e identifica la función de cada uno de sus componentes.
Responde preguntas en los tres niveles de lectura a una leyenda del Caribe.</v>
      </c>
      <c r="DS26" s="5" t="str">
        <f t="shared" si="62"/>
        <v>Muestra disposición para participar activamente en las clases, promoviendo el respeto por las ideas ajenas y reconociendo la importancia de la precisión como una herramienta clave para una comunicación</v>
      </c>
      <c r="DT26" s="5" t="str">
        <f t="shared" si="62"/>
        <v>Comprende el contenido del cuento A la deriva, identificando su tema central, la secuencia de los hechos, los personajes y las ideas explícitas e implícitas del texto.</v>
      </c>
      <c r="DU26" s="5" t="str">
        <f t="shared" si="62"/>
        <v>Analiza críticamente el cuento A la deriva mediante la identificación de información literal, inferencial y crítica, sustentando sus respuestas de forma oral y escrita.</v>
      </c>
      <c r="DV26" s="5" t="str">
        <f t="shared" si="62"/>
        <v>Valora la lectura literaria como una oportunidad para reflexionar sobre la vida, la naturaleza y la condición humana, participando con interés, respeto y sentido crítico en las actividades propuestas.</v>
      </c>
      <c r="DW26" s="5" t="str">
        <f t="shared" si="62"/>
        <v>Comprende y reconoce vocabulario y estructuras basicas del ingles para interpretar textos cortos y conversaciones sobre temas cotidianos de la vida diaria.</v>
      </c>
      <c r="DX26" s="5" t="str">
        <f t="shared" si="62"/>
        <v>Produce de forma oral y escrita frases y parrafos cortos en Ingles, utilizando correctamente las estructuras conocidas para describir rutinas, narrar experiencias y participar en conversaciones.</v>
      </c>
      <c r="DY26" s="5" t="str">
        <f t="shared" si="62"/>
        <v>Muestra disposicion positiva hacia el aprendizaje del Ingles participando activamente en clase.</v>
      </c>
      <c r="DZ26" s="5" t="str">
        <f t="shared" si="62"/>
        <v>Identifica vocabulario en Ingles  de situaciones cotidianas.</v>
      </c>
      <c r="EA26" s="5" t="str">
        <f t="shared" si="62"/>
        <v>Participa en actividades utilizando vocabulario aprendido para expresar gustos,emociones y necesidades.</v>
      </c>
      <c r="EB26" s="5" t="str">
        <f t="shared" si="62"/>
        <v>Respeta la opinion de los demas, muestra disposicion para participar en actividades orales.</v>
      </c>
      <c r="EC26" s="5" t="str">
        <f t="shared" si="62"/>
        <v>Identifica la conformación y funcionamiento del sistema inmunolófico y diferencia las característics de los estados de la materia.</v>
      </c>
      <c r="ED26" s="5" t="str">
        <f t="shared" si="62"/>
        <v>Reconoce experimentalmente las características de materiales en los diferentes estados de la materia.</v>
      </c>
      <c r="EE26" s="5" t="str">
        <f t="shared" si="62"/>
        <v xml:space="preserve">Valora la importancia de tener habitos saludables, para lograr el mantenimiento saludable del sistema inmune. </v>
      </c>
      <c r="EF26" s="5" t="str">
        <f t="shared" si="62"/>
        <v>Describe correctamente la secuencia de eventos biologicos de la fecundacion,incluyendo las recciones acrosomicas,la funcion de gametos y la formacion de gametos.</v>
      </c>
      <c r="EG26" s="5" t="str">
        <f t="shared" si="62"/>
        <v>Mide la capacidad del labolatrio para lograr la fecundacion exitosa de los ovulos con el espermatozoide.</v>
      </c>
      <c r="EH26" s="5" t="str">
        <f t="shared" si="62"/>
        <v>Valora la importancia del cuidado del cuerpo y de la salud reproductiva como la base para una fecundacion saludable.</v>
      </c>
      <c r="EI26" s="5" t="str">
        <f t="shared" si="62"/>
        <v>Explico las principales caracteristicas de algunas revoluciones de los siglos XVIII y XIX (Revolucion francesa, Industrial...)</v>
      </c>
      <c r="EJ26" s="5" t="str">
        <f t="shared" si="62"/>
        <v>Analiza las causas y consecuencias de procesos historicos como la Revolucion Industrial y Francesa.</v>
      </c>
      <c r="EK26" s="5" t="str">
        <f t="shared" si="62"/>
        <v>Muestra interes y curiosidad por comprender los procesos historicos y su impacto en la sociedad.</v>
      </c>
      <c r="EL26" s="5" t="str">
        <f t="shared" si="62"/>
        <v xml:space="preserve">Identifica los procesos historicos de algunas revoluciones de los siglos XVIII y XIX </v>
      </c>
      <c r="EM26" s="5">
        <f t="shared" si="62"/>
        <v>0</v>
      </c>
      <c r="EN26" s="5">
        <f t="shared" si="62"/>
        <v>0</v>
      </c>
      <c r="EO26" s="5" t="str">
        <f t="shared" si="62"/>
        <v xml:space="preserve">Comprende la distribucion espacial de la poblacion antes y despues de las revoluciones </v>
      </c>
      <c r="EP26" s="5" t="str">
        <f t="shared" si="62"/>
        <v xml:space="preserve">Ubica en mapas las regiones donde se desarrollaron las principales revoluciones y explica sus caracteristicas geograficas </v>
      </c>
      <c r="EQ26" s="5" t="str">
        <f t="shared" si="62"/>
        <v>Muestra interes por comprender la relacion entre sociedad, economia y territorio</v>
      </c>
      <c r="ER26" s="5" t="str">
        <f t="shared" si="62"/>
        <v>Comprende el concepto de cultura de paz y su importancia en la sociedad</v>
      </c>
      <c r="ES26" s="5" t="str">
        <f t="shared" si="62"/>
        <v>Practica normas de convivencia en diferentes espacios( aula, hogar, comunidad)</v>
      </c>
      <c r="ET26" s="5" t="str">
        <f t="shared" si="62"/>
        <v>Muestra actitud de respeto hacia la diversidad cuktural, social y de pensamiento</v>
      </c>
      <c r="EU26" s="5">
        <f t="shared" si="62"/>
        <v>0</v>
      </c>
      <c r="EV26" s="5">
        <f t="shared" si="62"/>
        <v>0</v>
      </c>
      <c r="EW26" s="5">
        <f t="shared" si="62"/>
        <v>0</v>
      </c>
      <c r="EX26" s="5">
        <f t="shared" si="62"/>
        <v>0</v>
      </c>
      <c r="EY26" s="5">
        <f t="shared" si="62"/>
        <v>0</v>
      </c>
      <c r="EZ26" s="5">
        <f t="shared" si="62"/>
        <v>0</v>
      </c>
      <c r="FA26" s="5">
        <f t="shared" si="62"/>
        <v>0</v>
      </c>
      <c r="FB26" s="5">
        <f t="shared" si="62"/>
        <v>0</v>
      </c>
      <c r="FC26" s="5">
        <f t="shared" si="62"/>
        <v>0</v>
      </c>
      <c r="FD26" s="5" t="str">
        <f t="shared" si="62"/>
        <v xml:space="preserve"> Identifica las expresiones motrices relacionadas con el juego del voleibol,  como una oportunidad para mejorar la salud, la estética y las relaciones con los demás.</v>
      </c>
      <c r="FE26" s="5" t="str">
        <f t="shared" si="62"/>
        <v>Pone en práctica los fundamentos básicos del voleibol.</v>
      </c>
      <c r="FF26" s="5" t="str">
        <f t="shared" si="62"/>
        <v>Muestra  responsabilidad y buena actitud al realizar el juego de voleibol.</v>
      </c>
      <c r="FG26" s="5" t="str">
        <f t="shared" si="62"/>
        <v>Comprende el concepto de variable como espacio de almacenamiento de datos y reconoce el uso de estructuras condicionales (si, si-no) para la toma de decisiones en un programa.</v>
      </c>
      <c r="FH26" s="5" t="str">
        <f t="shared" si="62"/>
        <v>Diseña y desarrolla programas que utilizan variables y estructuras condicionales para resolver problemas, evaluando condiciones y generando respuestas según diferentes situaciones.</v>
      </c>
      <c r="FI26" s="5" t="str">
        <f t="shared" si="62"/>
        <v>Muestra pensamiento lógico, perseverancia y actitud crítica al analizar errores y proponer soluciones en la construcción de programas con variables y condicionales.</v>
      </c>
      <c r="FJ26" s="5" t="str">
        <f t="shared" si="62"/>
        <v>Identifica y reconoce sus pricipales deberes y derechos dentro y fuera  de la Institución educativa.</v>
      </c>
    </row>
    <row r="27" spans="1:166" ht="15.75" customHeight="1">
      <c r="A27" s="5">
        <v>26</v>
      </c>
      <c r="B27" s="5" t="s">
        <v>160</v>
      </c>
      <c r="C27" s="6">
        <v>1043460922</v>
      </c>
      <c r="D27" s="5" t="s">
        <v>134</v>
      </c>
      <c r="E27" s="5" t="s">
        <v>135</v>
      </c>
      <c r="F27" s="5" t="s">
        <v>70</v>
      </c>
      <c r="G27" s="5" t="s">
        <v>71</v>
      </c>
      <c r="H27" s="5">
        <v>2026</v>
      </c>
      <c r="I27" s="5">
        <v>4</v>
      </c>
      <c r="J27" s="7">
        <v>4</v>
      </c>
      <c r="K27" s="7">
        <v>4</v>
      </c>
      <c r="L27" s="7">
        <v>4</v>
      </c>
      <c r="M27" s="5">
        <f t="shared" si="0"/>
        <v>4</v>
      </c>
      <c r="N27" s="5" t="str">
        <f t="shared" si="1"/>
        <v>ALTO</v>
      </c>
      <c r="O27" s="5">
        <v>1</v>
      </c>
      <c r="P27" s="7">
        <v>4.3</v>
      </c>
      <c r="Q27" s="7">
        <v>4.3</v>
      </c>
      <c r="R27" s="7">
        <v>4.3</v>
      </c>
      <c r="S27" s="5">
        <f t="shared" si="2"/>
        <v>4.3</v>
      </c>
      <c r="T27" s="5" t="str">
        <f t="shared" si="3"/>
        <v>ALTO</v>
      </c>
      <c r="U27" s="5">
        <v>4</v>
      </c>
      <c r="V27" s="7"/>
      <c r="W27" s="7"/>
      <c r="X27" s="7"/>
      <c r="Y27" s="5">
        <f t="shared" si="4"/>
        <v>0</v>
      </c>
      <c r="Z27" s="5" t="str">
        <f t="shared" si="5"/>
        <v>BAJO</v>
      </c>
      <c r="AA27" s="5">
        <v>1</v>
      </c>
      <c r="AB27" s="7">
        <v>4.5</v>
      </c>
      <c r="AC27" s="7">
        <v>4.5</v>
      </c>
      <c r="AD27" s="7">
        <v>4.5</v>
      </c>
      <c r="AE27" s="5">
        <f t="shared" si="6"/>
        <v>4.5</v>
      </c>
      <c r="AF27" s="5" t="str">
        <f t="shared" si="7"/>
        <v>SUPERIOR</v>
      </c>
      <c r="AG27" s="5">
        <v>2</v>
      </c>
      <c r="AH27" s="8">
        <v>4</v>
      </c>
      <c r="AI27" s="8">
        <v>4</v>
      </c>
      <c r="AJ27" s="8">
        <v>4</v>
      </c>
      <c r="AK27" s="5">
        <f t="shared" si="8"/>
        <v>4</v>
      </c>
      <c r="AL27" s="5" t="str">
        <f t="shared" si="9"/>
        <v>ALTO</v>
      </c>
      <c r="AM27" s="5">
        <v>1</v>
      </c>
      <c r="AN27" s="8">
        <v>4</v>
      </c>
      <c r="AO27" s="8">
        <v>4</v>
      </c>
      <c r="AP27" s="8">
        <v>4</v>
      </c>
      <c r="AQ27" s="5">
        <f t="shared" si="10"/>
        <v>4</v>
      </c>
      <c r="AR27" s="5" t="str">
        <f t="shared" si="11"/>
        <v>ALTO</v>
      </c>
      <c r="AS27" s="5">
        <v>4</v>
      </c>
      <c r="AT27" s="7">
        <v>4.5</v>
      </c>
      <c r="AU27" s="7">
        <v>4.5</v>
      </c>
      <c r="AV27" s="7">
        <v>4.5</v>
      </c>
      <c r="AW27" s="5">
        <f t="shared" si="34"/>
        <v>4.5</v>
      </c>
      <c r="AX27" s="5" t="str">
        <f t="shared" si="51"/>
        <v>SUPERIOR</v>
      </c>
      <c r="AY27" s="5">
        <v>1</v>
      </c>
      <c r="AZ27" s="7">
        <v>4</v>
      </c>
      <c r="BA27" s="7">
        <v>4</v>
      </c>
      <c r="BB27" s="7">
        <v>4</v>
      </c>
      <c r="BC27" s="5">
        <f t="shared" si="13"/>
        <v>4</v>
      </c>
      <c r="BD27" s="5" t="str">
        <f t="shared" si="14"/>
        <v>ALTO</v>
      </c>
      <c r="BE27" s="7">
        <v>2</v>
      </c>
      <c r="BF27" s="7">
        <v>4</v>
      </c>
      <c r="BG27" s="7">
        <v>4.4000000000000004</v>
      </c>
      <c r="BH27" s="7">
        <v>3.8</v>
      </c>
      <c r="BI27" s="5">
        <f t="shared" si="59"/>
        <v>4.0999999999999996</v>
      </c>
      <c r="BJ27" s="5" t="str">
        <f t="shared" si="15"/>
        <v>ALTO</v>
      </c>
      <c r="BK27" s="5">
        <v>1</v>
      </c>
      <c r="BL27" s="7">
        <v>3.5</v>
      </c>
      <c r="BM27" s="7">
        <v>3.8</v>
      </c>
      <c r="BN27" s="7">
        <v>4</v>
      </c>
      <c r="BO27" s="5">
        <f t="shared" si="16"/>
        <v>3.7700000000000005</v>
      </c>
      <c r="BP27" s="5" t="str">
        <f t="shared" si="17"/>
        <v>BASICO</v>
      </c>
      <c r="BQ27" s="5">
        <v>1</v>
      </c>
      <c r="BR27" s="7">
        <v>4</v>
      </c>
      <c r="BS27" s="7">
        <v>4.4000000000000004</v>
      </c>
      <c r="BT27" s="7">
        <v>4.5</v>
      </c>
      <c r="BU27" s="5">
        <f t="shared" si="18"/>
        <v>4.3099999999999996</v>
      </c>
      <c r="BV27" s="5" t="str">
        <f t="shared" si="19"/>
        <v>ALTO</v>
      </c>
      <c r="BW27" s="5">
        <v>1</v>
      </c>
      <c r="BX27" s="7">
        <v>3.8</v>
      </c>
      <c r="BY27" s="7">
        <v>4</v>
      </c>
      <c r="BZ27" s="7">
        <v>4.5</v>
      </c>
      <c r="CA27" s="5">
        <f t="shared" si="20"/>
        <v>4.09</v>
      </c>
      <c r="CB27" s="5" t="str">
        <f t="shared" si="21"/>
        <v>ALTO</v>
      </c>
      <c r="CC27" s="5">
        <v>1</v>
      </c>
      <c r="CD27" s="7">
        <v>4</v>
      </c>
      <c r="CE27" s="7">
        <v>4</v>
      </c>
      <c r="CF27" s="7">
        <v>4</v>
      </c>
      <c r="CG27" s="5">
        <f t="shared" si="22"/>
        <v>4</v>
      </c>
      <c r="CH27" s="5" t="str">
        <f t="shared" si="23"/>
        <v>ALTO</v>
      </c>
      <c r="CI27" s="5">
        <v>1</v>
      </c>
      <c r="CJ27" s="7">
        <v>4.5</v>
      </c>
      <c r="CK27" s="7">
        <v>4.5</v>
      </c>
      <c r="CL27" s="7">
        <v>4.5</v>
      </c>
      <c r="CM27" s="5">
        <f t="shared" si="24"/>
        <v>4.5</v>
      </c>
      <c r="CN27" s="5" t="str">
        <f t="shared" si="25"/>
        <v>SUPERIOR</v>
      </c>
      <c r="CO27" s="5">
        <v>1</v>
      </c>
      <c r="CP27" s="7">
        <v>5</v>
      </c>
      <c r="CQ27" s="7">
        <v>5</v>
      </c>
      <c r="CR27" s="7">
        <v>5</v>
      </c>
      <c r="CS27" s="5">
        <f t="shared" si="26"/>
        <v>5</v>
      </c>
      <c r="CT27" s="5" t="str">
        <f t="shared" si="27"/>
        <v>SUPERIOR</v>
      </c>
      <c r="CU27" s="5">
        <v>2</v>
      </c>
      <c r="CV27" s="7">
        <v>3.8</v>
      </c>
      <c r="CW27" s="7">
        <v>3.8</v>
      </c>
      <c r="CX27" s="7">
        <v>3.8</v>
      </c>
      <c r="CY27" s="5">
        <f t="shared" si="28"/>
        <v>3.8</v>
      </c>
      <c r="CZ27" s="5" t="str">
        <f t="shared" si="29"/>
        <v>BASICO</v>
      </c>
      <c r="DA27" s="5">
        <v>2</v>
      </c>
      <c r="DB27" s="7">
        <v>3.8</v>
      </c>
      <c r="DC27" s="7">
        <v>3.8</v>
      </c>
      <c r="DD27" s="7">
        <v>4.2</v>
      </c>
      <c r="DE27" s="5">
        <f t="shared" si="30"/>
        <v>3.92</v>
      </c>
      <c r="DF27" s="5" t="str">
        <f t="shared" si="31"/>
        <v>BASICO</v>
      </c>
      <c r="DG27" s="5">
        <v>0</v>
      </c>
      <c r="DH27" s="7">
        <v>4.2</v>
      </c>
      <c r="DI27" s="5" t="str">
        <f t="shared" si="32"/>
        <v>ALTO</v>
      </c>
      <c r="DJ27" s="5">
        <f t="shared" si="33"/>
        <v>3.922352941176471</v>
      </c>
      <c r="DK27" s="5" t="str">
        <f t="shared" si="36"/>
        <v>Comprende el concepto de números reales, su relación de orden y las propiedades de sus operaciones, así como las relaciones de semejanza y congruencia de distintas figuras geométricas.</v>
      </c>
      <c r="DL27" s="5" t="str">
        <f t="shared" ref="DL27:FJ27" si="63">DL26</f>
        <v>Aplica correctamente las propiedades de las operaciones de números reales y expresiones algebraicas en la resolución de problemas.</v>
      </c>
      <c r="DM27" s="5" t="str">
        <f t="shared" si="63"/>
        <v>Valora el uso del pensamiento lógico a la hora de plantear y resolver problemas de las matemáticas y de la vida cotidiana.</v>
      </c>
      <c r="DN27" s="5" t="str">
        <f t="shared" si="6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7" s="5" t="str">
        <f t="shared" si="63"/>
        <v>Organiza y analiza datos mediante la construcción de tablas de frecuencias y diagramas estadísticos, identificando variables aleatorias y utilizando estas representaciones para resolver situaciones problema.</v>
      </c>
      <c r="DP27" s="5" t="str">
        <f t="shared" si="63"/>
        <v>Muestra disposición y responsabilidad en el manejo y análisis de datos, participando activamente en actividades individuales y colaborativas, y comunicando información estadística con claridad y sentido crítico.</v>
      </c>
      <c r="DQ27" s="5" t="str">
        <f t="shared" si="63"/>
        <v>Analiza las características de la literatura prehispánica y la literatura del descubrimiento y la conquista en Colombia identificando sus elementos fundamentales y su impacto en la cultura y el lenguaje actual.</v>
      </c>
      <c r="DR27" s="5" t="str">
        <f t="shared" si="63"/>
        <v>Realiza comprensión lectora cuando analiza un texto desde el discurso de la Enunciación e identifica la función de cada uno de sus componentes.
Responde preguntas en los tres niveles de lectura a una leyenda del Caribe.</v>
      </c>
      <c r="DS27" s="5" t="str">
        <f t="shared" si="63"/>
        <v>Muestra disposición para participar activamente en las clases, promoviendo el respeto por las ideas ajenas y reconociendo la importancia de la precisión como una herramienta clave para una comunicación</v>
      </c>
      <c r="DT27" s="5" t="str">
        <f t="shared" si="63"/>
        <v>Comprende el contenido del cuento A la deriva, identificando su tema central, la secuencia de los hechos, los personajes y las ideas explícitas e implícitas del texto.</v>
      </c>
      <c r="DU27" s="5" t="str">
        <f t="shared" si="63"/>
        <v>Analiza críticamente el cuento A la deriva mediante la identificación de información literal, inferencial y crítica, sustentando sus respuestas de forma oral y escrita.</v>
      </c>
      <c r="DV27" s="5" t="str">
        <f t="shared" si="63"/>
        <v>Valora la lectura literaria como una oportunidad para reflexionar sobre la vida, la naturaleza y la condición humana, participando con interés, respeto y sentido crítico en las actividades propuestas.</v>
      </c>
      <c r="DW27" s="5" t="str">
        <f t="shared" si="63"/>
        <v>Comprende y reconoce vocabulario y estructuras basicas del ingles para interpretar textos cortos y conversaciones sobre temas cotidianos de la vida diaria.</v>
      </c>
      <c r="DX27" s="5" t="str">
        <f t="shared" si="63"/>
        <v>Produce de forma oral y escrita frases y parrafos cortos en Ingles, utilizando correctamente las estructuras conocidas para describir rutinas, narrar experiencias y participar en conversaciones.</v>
      </c>
      <c r="DY27" s="5" t="str">
        <f t="shared" si="63"/>
        <v>Muestra disposicion positiva hacia el aprendizaje del Ingles participando activamente en clase.</v>
      </c>
      <c r="DZ27" s="5" t="str">
        <f t="shared" si="63"/>
        <v>Identifica vocabulario en Ingles  de situaciones cotidianas.</v>
      </c>
      <c r="EA27" s="5" t="str">
        <f t="shared" si="63"/>
        <v>Participa en actividades utilizando vocabulario aprendido para expresar gustos,emociones y necesidades.</v>
      </c>
      <c r="EB27" s="5" t="str">
        <f t="shared" si="63"/>
        <v>Respeta la opinion de los demas, muestra disposicion para participar en actividades orales.</v>
      </c>
      <c r="EC27" s="5" t="str">
        <f t="shared" si="63"/>
        <v>Identifica la conformación y funcionamiento del sistema inmunolófico y diferencia las característics de los estados de la materia.</v>
      </c>
      <c r="ED27" s="5" t="str">
        <f t="shared" si="63"/>
        <v>Reconoce experimentalmente las características de materiales en los diferentes estados de la materia.</v>
      </c>
      <c r="EE27" s="5" t="str">
        <f t="shared" si="63"/>
        <v xml:space="preserve">Valora la importancia de tener habitos saludables, para lograr el mantenimiento saludable del sistema inmune. </v>
      </c>
      <c r="EF27" s="5" t="str">
        <f t="shared" si="63"/>
        <v>Describe correctamente la secuencia de eventos biologicos de la fecundacion,incluyendo las recciones acrosomicas,la funcion de gametos y la formacion de gametos.</v>
      </c>
      <c r="EG27" s="5" t="str">
        <f t="shared" si="63"/>
        <v>Mide la capacidad del labolatrio para lograr la fecundacion exitosa de los ovulos con el espermatozoide.</v>
      </c>
      <c r="EH27" s="5" t="str">
        <f t="shared" si="63"/>
        <v>Valora la importancia del cuidado del cuerpo y de la salud reproductiva como la base para una fecundacion saludable.</v>
      </c>
      <c r="EI27" s="5" t="str">
        <f t="shared" si="63"/>
        <v>Explico las principales caracteristicas de algunas revoluciones de los siglos XVIII y XIX (Revolucion francesa, Industrial...)</v>
      </c>
      <c r="EJ27" s="5" t="str">
        <f t="shared" si="63"/>
        <v>Analiza las causas y consecuencias de procesos historicos como la Revolucion Industrial y Francesa.</v>
      </c>
      <c r="EK27" s="5" t="str">
        <f t="shared" si="63"/>
        <v>Muestra interes y curiosidad por comprender los procesos historicos y su impacto en la sociedad.</v>
      </c>
      <c r="EL27" s="5" t="str">
        <f t="shared" si="63"/>
        <v xml:space="preserve">Identifica los procesos historicos de algunas revoluciones de los siglos XVIII y XIX </v>
      </c>
      <c r="EM27" s="5">
        <f t="shared" si="63"/>
        <v>0</v>
      </c>
      <c r="EN27" s="5">
        <f t="shared" si="63"/>
        <v>0</v>
      </c>
      <c r="EO27" s="5" t="str">
        <f t="shared" si="63"/>
        <v xml:space="preserve">Comprende la distribucion espacial de la poblacion antes y despues de las revoluciones </v>
      </c>
      <c r="EP27" s="5" t="str">
        <f t="shared" si="63"/>
        <v xml:space="preserve">Ubica en mapas las regiones donde se desarrollaron las principales revoluciones y explica sus caracteristicas geograficas </v>
      </c>
      <c r="EQ27" s="5" t="str">
        <f t="shared" si="63"/>
        <v>Muestra interes por comprender la relacion entre sociedad, economia y territorio</v>
      </c>
      <c r="ER27" s="5" t="str">
        <f t="shared" si="63"/>
        <v>Comprende el concepto de cultura de paz y su importancia en la sociedad</v>
      </c>
      <c r="ES27" s="5" t="str">
        <f t="shared" si="63"/>
        <v>Practica normas de convivencia en diferentes espacios( aula, hogar, comunidad)</v>
      </c>
      <c r="ET27" s="5" t="str">
        <f t="shared" si="63"/>
        <v>Muestra actitud de respeto hacia la diversidad cuktural, social y de pensamiento</v>
      </c>
      <c r="EU27" s="5">
        <f t="shared" si="63"/>
        <v>0</v>
      </c>
      <c r="EV27" s="5">
        <f t="shared" si="63"/>
        <v>0</v>
      </c>
      <c r="EW27" s="5">
        <f t="shared" si="63"/>
        <v>0</v>
      </c>
      <c r="EX27" s="5">
        <f t="shared" si="63"/>
        <v>0</v>
      </c>
      <c r="EY27" s="5">
        <f t="shared" si="63"/>
        <v>0</v>
      </c>
      <c r="EZ27" s="5">
        <f t="shared" si="63"/>
        <v>0</v>
      </c>
      <c r="FA27" s="5">
        <f t="shared" si="63"/>
        <v>0</v>
      </c>
      <c r="FB27" s="5">
        <f t="shared" si="63"/>
        <v>0</v>
      </c>
      <c r="FC27" s="5">
        <f t="shared" si="63"/>
        <v>0</v>
      </c>
      <c r="FD27" s="5" t="str">
        <f t="shared" si="63"/>
        <v xml:space="preserve"> Identifica las expresiones motrices relacionadas con el juego del voleibol,  como una oportunidad para mejorar la salud, la estética y las relaciones con los demás.</v>
      </c>
      <c r="FE27" s="5" t="str">
        <f t="shared" si="63"/>
        <v>Pone en práctica los fundamentos básicos del voleibol.</v>
      </c>
      <c r="FF27" s="5" t="str">
        <f t="shared" si="63"/>
        <v>Muestra  responsabilidad y buena actitud al realizar el juego de voleibol.</v>
      </c>
      <c r="FG27" s="5" t="str">
        <f t="shared" si="63"/>
        <v>Comprende el concepto de variable como espacio de almacenamiento de datos y reconoce el uso de estructuras condicionales (si, si-no) para la toma de decisiones en un programa.</v>
      </c>
      <c r="FH27" s="5" t="str">
        <f t="shared" si="63"/>
        <v>Diseña y desarrolla programas que utilizan variables y estructuras condicionales para resolver problemas, evaluando condiciones y generando respuestas según diferentes situaciones.</v>
      </c>
      <c r="FI27" s="5" t="str">
        <f t="shared" si="63"/>
        <v>Muestra pensamiento lógico, perseverancia y actitud crítica al analizar errores y proponer soluciones en la construcción de programas con variables y condicionales.</v>
      </c>
      <c r="FJ27" s="5" t="str">
        <f t="shared" si="63"/>
        <v>Identifica y reconoce sus pricipales deberes y derechos dentro y fuera  de la Institución educativa.</v>
      </c>
    </row>
    <row r="28" spans="1:166" ht="15.75" customHeight="1">
      <c r="A28" s="5">
        <v>27</v>
      </c>
      <c r="B28" s="5" t="s">
        <v>161</v>
      </c>
      <c r="C28" s="6">
        <v>1047463662</v>
      </c>
      <c r="D28" s="5" t="s">
        <v>134</v>
      </c>
      <c r="E28" s="5" t="s">
        <v>135</v>
      </c>
      <c r="F28" s="5" t="s">
        <v>70</v>
      </c>
      <c r="G28" s="5" t="s">
        <v>71</v>
      </c>
      <c r="H28" s="5">
        <v>2026</v>
      </c>
      <c r="I28" s="5">
        <v>4</v>
      </c>
      <c r="J28" s="7">
        <v>3</v>
      </c>
      <c r="K28" s="7">
        <v>3</v>
      </c>
      <c r="L28" s="7">
        <v>3</v>
      </c>
      <c r="M28" s="5">
        <f t="shared" si="0"/>
        <v>3</v>
      </c>
      <c r="N28" s="5" t="str">
        <f t="shared" si="1"/>
        <v>BASICO</v>
      </c>
      <c r="O28" s="5">
        <v>1</v>
      </c>
      <c r="P28" s="7">
        <v>2.7</v>
      </c>
      <c r="Q28" s="7">
        <v>2.7</v>
      </c>
      <c r="R28" s="7">
        <v>2.7</v>
      </c>
      <c r="S28" s="5">
        <f t="shared" si="2"/>
        <v>2.7</v>
      </c>
      <c r="T28" s="5" t="str">
        <f t="shared" si="3"/>
        <v>BAJO</v>
      </c>
      <c r="U28" s="5">
        <v>4</v>
      </c>
      <c r="V28" s="7"/>
      <c r="W28" s="7"/>
      <c r="X28" s="7"/>
      <c r="Y28" s="5">
        <f t="shared" si="4"/>
        <v>0</v>
      </c>
      <c r="Z28" s="5" t="str">
        <f t="shared" si="5"/>
        <v>BAJO</v>
      </c>
      <c r="AA28" s="5">
        <v>1</v>
      </c>
      <c r="AB28" s="7">
        <v>3.7</v>
      </c>
      <c r="AC28" s="7">
        <v>3.7</v>
      </c>
      <c r="AD28" s="7">
        <v>3.7</v>
      </c>
      <c r="AE28" s="5">
        <f t="shared" si="6"/>
        <v>3.7</v>
      </c>
      <c r="AF28" s="5" t="str">
        <f t="shared" si="7"/>
        <v>BASICO</v>
      </c>
      <c r="AG28" s="5">
        <v>2</v>
      </c>
      <c r="AH28" s="8">
        <v>3.5</v>
      </c>
      <c r="AI28" s="8">
        <v>3.5</v>
      </c>
      <c r="AJ28" s="8">
        <v>3.5</v>
      </c>
      <c r="AK28" s="5">
        <f t="shared" si="8"/>
        <v>3.5</v>
      </c>
      <c r="AL28" s="5" t="str">
        <f t="shared" si="9"/>
        <v>BASICO</v>
      </c>
      <c r="AM28" s="5">
        <v>1</v>
      </c>
      <c r="AN28" s="8">
        <v>3.5</v>
      </c>
      <c r="AO28" s="8">
        <v>3.5</v>
      </c>
      <c r="AP28" s="8">
        <v>3.5</v>
      </c>
      <c r="AQ28" s="5">
        <f t="shared" si="10"/>
        <v>3.5</v>
      </c>
      <c r="AR28" s="5" t="str">
        <f t="shared" si="11"/>
        <v>BASICO</v>
      </c>
      <c r="AS28" s="5">
        <v>4</v>
      </c>
      <c r="AT28" s="7">
        <v>3</v>
      </c>
      <c r="AU28" s="7">
        <v>3</v>
      </c>
      <c r="AV28" s="7">
        <v>3</v>
      </c>
      <c r="AW28" s="5">
        <f t="shared" si="34"/>
        <v>3</v>
      </c>
      <c r="AX28" s="5" t="str">
        <f t="shared" si="51"/>
        <v>BASICO</v>
      </c>
      <c r="AY28" s="5">
        <v>1</v>
      </c>
      <c r="AZ28" s="7">
        <v>4.5</v>
      </c>
      <c r="BA28" s="7">
        <v>4.5</v>
      </c>
      <c r="BB28" s="7">
        <v>4.5</v>
      </c>
      <c r="BC28" s="5">
        <f t="shared" si="13"/>
        <v>4.5</v>
      </c>
      <c r="BD28" s="5" t="str">
        <f t="shared" si="14"/>
        <v>SUPERIOR</v>
      </c>
      <c r="BE28" s="7">
        <v>2</v>
      </c>
      <c r="BF28" s="7">
        <v>3.5</v>
      </c>
      <c r="BG28" s="7">
        <v>3.8</v>
      </c>
      <c r="BH28" s="7">
        <v>4</v>
      </c>
      <c r="BI28" s="5">
        <f t="shared" si="59"/>
        <v>3.7700000000000005</v>
      </c>
      <c r="BJ28" s="5" t="str">
        <f t="shared" si="15"/>
        <v>BASICO</v>
      </c>
      <c r="BK28" s="5">
        <v>1</v>
      </c>
      <c r="BL28" s="7">
        <v>4.5999999999999996</v>
      </c>
      <c r="BM28" s="7">
        <v>4.4000000000000004</v>
      </c>
      <c r="BN28" s="7">
        <v>4.3</v>
      </c>
      <c r="BO28" s="5">
        <f t="shared" si="16"/>
        <v>4.43</v>
      </c>
      <c r="BP28" s="5" t="str">
        <f t="shared" si="17"/>
        <v>ALTO</v>
      </c>
      <c r="BQ28" s="5">
        <v>1</v>
      </c>
      <c r="BR28" s="7">
        <v>4.3</v>
      </c>
      <c r="BS28" s="7">
        <v>4.5</v>
      </c>
      <c r="BT28" s="7">
        <v>4.4000000000000004</v>
      </c>
      <c r="BU28" s="5">
        <f t="shared" si="18"/>
        <v>4.41</v>
      </c>
      <c r="BV28" s="5" t="str">
        <f t="shared" si="19"/>
        <v>ALTO</v>
      </c>
      <c r="BW28" s="5">
        <v>1</v>
      </c>
      <c r="BX28" s="7">
        <v>3.8</v>
      </c>
      <c r="BY28" s="7">
        <v>3.5</v>
      </c>
      <c r="BZ28" s="7">
        <v>3.7</v>
      </c>
      <c r="CA28" s="5">
        <f t="shared" si="20"/>
        <v>3.6500000000000004</v>
      </c>
      <c r="CB28" s="5" t="str">
        <f t="shared" si="21"/>
        <v>BASICO</v>
      </c>
      <c r="CC28" s="5">
        <v>1</v>
      </c>
      <c r="CD28" s="7">
        <v>3</v>
      </c>
      <c r="CE28" s="7">
        <v>3</v>
      </c>
      <c r="CF28" s="7">
        <v>3</v>
      </c>
      <c r="CG28" s="5">
        <f t="shared" si="22"/>
        <v>3</v>
      </c>
      <c r="CH28" s="5" t="str">
        <f t="shared" si="23"/>
        <v>BASICO</v>
      </c>
      <c r="CI28" s="5">
        <v>1</v>
      </c>
      <c r="CJ28" s="7">
        <v>4.5999999999999996</v>
      </c>
      <c r="CK28" s="7">
        <v>4.5</v>
      </c>
      <c r="CL28" s="7">
        <v>4.4000000000000004</v>
      </c>
      <c r="CM28" s="5">
        <f t="shared" si="24"/>
        <v>4.5</v>
      </c>
      <c r="CN28" s="5" t="str">
        <f t="shared" si="25"/>
        <v>SUPERIOR</v>
      </c>
      <c r="CO28" s="5">
        <v>1</v>
      </c>
      <c r="CP28" s="7">
        <v>5</v>
      </c>
      <c r="CQ28" s="7">
        <v>5</v>
      </c>
      <c r="CR28" s="7">
        <v>5</v>
      </c>
      <c r="CS28" s="5">
        <f t="shared" si="26"/>
        <v>5</v>
      </c>
      <c r="CT28" s="5" t="str">
        <f t="shared" si="27"/>
        <v>SUPERIOR</v>
      </c>
      <c r="CU28" s="5">
        <v>2</v>
      </c>
      <c r="CV28" s="7">
        <v>2.5</v>
      </c>
      <c r="CW28" s="7">
        <v>2.5</v>
      </c>
      <c r="CX28" s="7">
        <v>2.5</v>
      </c>
      <c r="CY28" s="5">
        <f t="shared" si="28"/>
        <v>2.5</v>
      </c>
      <c r="CZ28" s="5" t="str">
        <f t="shared" si="29"/>
        <v>BAJO</v>
      </c>
      <c r="DA28" s="5">
        <v>2</v>
      </c>
      <c r="DB28" s="7">
        <v>3.5</v>
      </c>
      <c r="DC28" s="7">
        <v>3.5</v>
      </c>
      <c r="DD28" s="7">
        <v>3.8</v>
      </c>
      <c r="DE28" s="5">
        <f t="shared" si="30"/>
        <v>3.59</v>
      </c>
      <c r="DF28" s="5" t="str">
        <f t="shared" si="31"/>
        <v>BASICO</v>
      </c>
      <c r="DG28" s="5">
        <v>0</v>
      </c>
      <c r="DH28" s="7">
        <v>3.8</v>
      </c>
      <c r="DI28" s="5" t="str">
        <f t="shared" si="32"/>
        <v>BASICO</v>
      </c>
      <c r="DJ28" s="5">
        <f t="shared" si="33"/>
        <v>3.42</v>
      </c>
      <c r="DK28" s="5" t="str">
        <f t="shared" si="36"/>
        <v>Comprende el concepto de números reales, su relación de orden y las propiedades de sus operaciones, así como las relaciones de semejanza y congruencia de distintas figuras geométricas.</v>
      </c>
      <c r="DL28" s="5" t="str">
        <f t="shared" ref="DL28:FJ28" si="64">DL27</f>
        <v>Aplica correctamente las propiedades de las operaciones de números reales y expresiones algebraicas en la resolución de problemas.</v>
      </c>
      <c r="DM28" s="5" t="str">
        <f t="shared" si="64"/>
        <v>Valora el uso del pensamiento lógico a la hora de plantear y resolver problemas de las matemáticas y de la vida cotidiana.</v>
      </c>
      <c r="DN28" s="5" t="str">
        <f t="shared" si="6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8" s="5" t="str">
        <f t="shared" si="64"/>
        <v>Organiza y analiza datos mediante la construcción de tablas de frecuencias y diagramas estadísticos, identificando variables aleatorias y utilizando estas representaciones para resolver situaciones problema.</v>
      </c>
      <c r="DP28" s="5" t="str">
        <f t="shared" si="64"/>
        <v>Muestra disposición y responsabilidad en el manejo y análisis de datos, participando activamente en actividades individuales y colaborativas, y comunicando información estadística con claridad y sentido crítico.</v>
      </c>
      <c r="DQ28" s="5" t="str">
        <f t="shared" si="64"/>
        <v>Analiza las características de la literatura prehispánica y la literatura del descubrimiento y la conquista en Colombia identificando sus elementos fundamentales y su impacto en la cultura y el lenguaje actual.</v>
      </c>
      <c r="DR28" s="5" t="str">
        <f t="shared" si="64"/>
        <v>Realiza comprensión lectora cuando analiza un texto desde el discurso de la Enunciación e identifica la función de cada uno de sus componentes.
Responde preguntas en los tres niveles de lectura a una leyenda del Caribe.</v>
      </c>
      <c r="DS28" s="5" t="str">
        <f t="shared" si="64"/>
        <v>Muestra disposición para participar activamente en las clases, promoviendo el respeto por las ideas ajenas y reconociendo la importancia de la precisión como una herramienta clave para una comunicación</v>
      </c>
      <c r="DT28" s="5" t="str">
        <f t="shared" si="64"/>
        <v>Comprende el contenido del cuento A la deriva, identificando su tema central, la secuencia de los hechos, los personajes y las ideas explícitas e implícitas del texto.</v>
      </c>
      <c r="DU28" s="5" t="str">
        <f t="shared" si="64"/>
        <v>Analiza críticamente el cuento A la deriva mediante la identificación de información literal, inferencial y crítica, sustentando sus respuestas de forma oral y escrita.</v>
      </c>
      <c r="DV28" s="5" t="str">
        <f t="shared" si="64"/>
        <v>Valora la lectura literaria como una oportunidad para reflexionar sobre la vida, la naturaleza y la condición humana, participando con interés, respeto y sentido crítico en las actividades propuestas.</v>
      </c>
      <c r="DW28" s="5" t="str">
        <f t="shared" si="64"/>
        <v>Comprende y reconoce vocabulario y estructuras basicas del ingles para interpretar textos cortos y conversaciones sobre temas cotidianos de la vida diaria.</v>
      </c>
      <c r="DX28" s="5" t="str">
        <f t="shared" si="64"/>
        <v>Produce de forma oral y escrita frases y parrafos cortos en Ingles, utilizando correctamente las estructuras conocidas para describir rutinas, narrar experiencias y participar en conversaciones.</v>
      </c>
      <c r="DY28" s="5" t="str">
        <f t="shared" si="64"/>
        <v>Muestra disposicion positiva hacia el aprendizaje del Ingles participando activamente en clase.</v>
      </c>
      <c r="DZ28" s="5" t="str">
        <f t="shared" si="64"/>
        <v>Identifica vocabulario en Ingles  de situaciones cotidianas.</v>
      </c>
      <c r="EA28" s="5" t="str">
        <f t="shared" si="64"/>
        <v>Participa en actividades utilizando vocabulario aprendido para expresar gustos,emociones y necesidades.</v>
      </c>
      <c r="EB28" s="5" t="str">
        <f t="shared" si="64"/>
        <v>Respeta la opinion de los demas, muestra disposicion para participar en actividades orales.</v>
      </c>
      <c r="EC28" s="5" t="str">
        <f t="shared" si="64"/>
        <v>Identifica la conformación y funcionamiento del sistema inmunolófico y diferencia las característics de los estados de la materia.</v>
      </c>
      <c r="ED28" s="5" t="str">
        <f t="shared" si="64"/>
        <v>Reconoce experimentalmente las características de materiales en los diferentes estados de la materia.</v>
      </c>
      <c r="EE28" s="5" t="str">
        <f t="shared" si="64"/>
        <v xml:space="preserve">Valora la importancia de tener habitos saludables, para lograr el mantenimiento saludable del sistema inmune. </v>
      </c>
      <c r="EF28" s="5" t="str">
        <f t="shared" si="64"/>
        <v>Describe correctamente la secuencia de eventos biologicos de la fecundacion,incluyendo las recciones acrosomicas,la funcion de gametos y la formacion de gametos.</v>
      </c>
      <c r="EG28" s="5" t="str">
        <f t="shared" si="64"/>
        <v>Mide la capacidad del labolatrio para lograr la fecundacion exitosa de los ovulos con el espermatozoide.</v>
      </c>
      <c r="EH28" s="5" t="str">
        <f t="shared" si="64"/>
        <v>Valora la importancia del cuidado del cuerpo y de la salud reproductiva como la base para una fecundacion saludable.</v>
      </c>
      <c r="EI28" s="5" t="str">
        <f t="shared" si="64"/>
        <v>Explico las principales caracteristicas de algunas revoluciones de los siglos XVIII y XIX (Revolucion francesa, Industrial...)</v>
      </c>
      <c r="EJ28" s="5" t="str">
        <f t="shared" si="64"/>
        <v>Analiza las causas y consecuencias de procesos historicos como la Revolucion Industrial y Francesa.</v>
      </c>
      <c r="EK28" s="5" t="str">
        <f t="shared" si="64"/>
        <v>Muestra interes y curiosidad por comprender los procesos historicos y su impacto en la sociedad.</v>
      </c>
      <c r="EL28" s="5" t="str">
        <f t="shared" si="64"/>
        <v xml:space="preserve">Identifica los procesos historicos de algunas revoluciones de los siglos XVIII y XIX </v>
      </c>
      <c r="EM28" s="5">
        <f t="shared" si="64"/>
        <v>0</v>
      </c>
      <c r="EN28" s="5">
        <f t="shared" si="64"/>
        <v>0</v>
      </c>
      <c r="EO28" s="5" t="str">
        <f t="shared" si="64"/>
        <v xml:space="preserve">Comprende la distribucion espacial de la poblacion antes y despues de las revoluciones </v>
      </c>
      <c r="EP28" s="5" t="str">
        <f t="shared" si="64"/>
        <v xml:space="preserve">Ubica en mapas las regiones donde se desarrollaron las principales revoluciones y explica sus caracteristicas geograficas </v>
      </c>
      <c r="EQ28" s="5" t="str">
        <f t="shared" si="64"/>
        <v>Muestra interes por comprender la relacion entre sociedad, economia y territorio</v>
      </c>
      <c r="ER28" s="5" t="str">
        <f t="shared" si="64"/>
        <v>Comprende el concepto de cultura de paz y su importancia en la sociedad</v>
      </c>
      <c r="ES28" s="5" t="str">
        <f t="shared" si="64"/>
        <v>Practica normas de convivencia en diferentes espacios( aula, hogar, comunidad)</v>
      </c>
      <c r="ET28" s="5" t="str">
        <f t="shared" si="64"/>
        <v>Muestra actitud de respeto hacia la diversidad cuktural, social y de pensamiento</v>
      </c>
      <c r="EU28" s="5">
        <f t="shared" si="64"/>
        <v>0</v>
      </c>
      <c r="EV28" s="5">
        <f t="shared" si="64"/>
        <v>0</v>
      </c>
      <c r="EW28" s="5">
        <f t="shared" si="64"/>
        <v>0</v>
      </c>
      <c r="EX28" s="5">
        <f t="shared" si="64"/>
        <v>0</v>
      </c>
      <c r="EY28" s="5">
        <f t="shared" si="64"/>
        <v>0</v>
      </c>
      <c r="EZ28" s="5">
        <f t="shared" si="64"/>
        <v>0</v>
      </c>
      <c r="FA28" s="5">
        <f t="shared" si="64"/>
        <v>0</v>
      </c>
      <c r="FB28" s="5">
        <f t="shared" si="64"/>
        <v>0</v>
      </c>
      <c r="FC28" s="5">
        <f t="shared" si="64"/>
        <v>0</v>
      </c>
      <c r="FD28" s="5" t="str">
        <f t="shared" si="64"/>
        <v xml:space="preserve"> Identifica las expresiones motrices relacionadas con el juego del voleibol,  como una oportunidad para mejorar la salud, la estética y las relaciones con los demás.</v>
      </c>
      <c r="FE28" s="5" t="str">
        <f t="shared" si="64"/>
        <v>Pone en práctica los fundamentos básicos del voleibol.</v>
      </c>
      <c r="FF28" s="5" t="str">
        <f t="shared" si="64"/>
        <v>Muestra  responsabilidad y buena actitud al realizar el juego de voleibol.</v>
      </c>
      <c r="FG28" s="5" t="str">
        <f t="shared" si="64"/>
        <v>Comprende el concepto de variable como espacio de almacenamiento de datos y reconoce el uso de estructuras condicionales (si, si-no) para la toma de decisiones en un programa.</v>
      </c>
      <c r="FH28" s="5" t="str">
        <f t="shared" si="64"/>
        <v>Diseña y desarrolla programas que utilizan variables y estructuras condicionales para resolver problemas, evaluando condiciones y generando respuestas según diferentes situaciones.</v>
      </c>
      <c r="FI28" s="5" t="str">
        <f t="shared" si="64"/>
        <v>Muestra pensamiento lógico, perseverancia y actitud crítica al analizar errores y proponer soluciones en la construcción de programas con variables y condicionales.</v>
      </c>
      <c r="FJ28" s="5" t="str">
        <f t="shared" si="64"/>
        <v>Identifica y reconoce sus pricipales deberes y derechos dentro y fuera  de la Institución educativa.</v>
      </c>
    </row>
    <row r="29" spans="1:166" ht="15.75" customHeight="1">
      <c r="A29" s="5">
        <v>28</v>
      </c>
      <c r="B29" s="7" t="s">
        <v>162</v>
      </c>
      <c r="C29" s="6">
        <v>1044647746</v>
      </c>
      <c r="D29" s="5" t="s">
        <v>134</v>
      </c>
      <c r="E29" s="5" t="s">
        <v>135</v>
      </c>
      <c r="F29" s="5" t="s">
        <v>70</v>
      </c>
      <c r="G29" s="5" t="s">
        <v>71</v>
      </c>
      <c r="H29" s="5">
        <v>2026</v>
      </c>
      <c r="I29" s="5">
        <v>4</v>
      </c>
      <c r="J29" s="7">
        <v>2.8</v>
      </c>
      <c r="K29" s="7">
        <v>3</v>
      </c>
      <c r="L29" s="7">
        <v>3.2</v>
      </c>
      <c r="M29" s="5">
        <f t="shared" si="0"/>
        <v>3</v>
      </c>
      <c r="N29" s="5" t="str">
        <f t="shared" si="1"/>
        <v>BASICO</v>
      </c>
      <c r="O29" s="5">
        <v>1</v>
      </c>
      <c r="P29" s="7">
        <v>3.5</v>
      </c>
      <c r="Q29" s="7">
        <v>3.5</v>
      </c>
      <c r="R29" s="7">
        <v>3.5</v>
      </c>
      <c r="S29" s="5">
        <f t="shared" si="2"/>
        <v>3.5</v>
      </c>
      <c r="T29" s="5" t="str">
        <f t="shared" si="3"/>
        <v>BASICO</v>
      </c>
      <c r="U29" s="5">
        <v>4</v>
      </c>
      <c r="V29" s="7"/>
      <c r="W29" s="7"/>
      <c r="X29" s="7"/>
      <c r="Y29" s="5">
        <f t="shared" si="4"/>
        <v>0</v>
      </c>
      <c r="Z29" s="5" t="str">
        <f t="shared" si="5"/>
        <v>BAJO</v>
      </c>
      <c r="AA29" s="5">
        <v>1</v>
      </c>
      <c r="AB29" s="7">
        <v>3.4</v>
      </c>
      <c r="AC29" s="7">
        <v>3.4</v>
      </c>
      <c r="AD29" s="7">
        <v>3.4</v>
      </c>
      <c r="AE29" s="5">
        <f t="shared" si="6"/>
        <v>3.4</v>
      </c>
      <c r="AF29" s="5" t="str">
        <f t="shared" si="7"/>
        <v>BASICO</v>
      </c>
      <c r="AG29" s="5">
        <v>2</v>
      </c>
      <c r="AH29" s="8">
        <v>3</v>
      </c>
      <c r="AI29" s="8">
        <v>3</v>
      </c>
      <c r="AJ29" s="8">
        <v>3</v>
      </c>
      <c r="AK29" s="5">
        <f t="shared" si="8"/>
        <v>3</v>
      </c>
      <c r="AL29" s="5" t="str">
        <f t="shared" si="9"/>
        <v>BASICO</v>
      </c>
      <c r="AM29" s="5">
        <v>1</v>
      </c>
      <c r="AN29" s="8">
        <v>3</v>
      </c>
      <c r="AO29" s="8">
        <v>3</v>
      </c>
      <c r="AP29" s="8">
        <v>3</v>
      </c>
      <c r="AQ29" s="5">
        <f t="shared" si="10"/>
        <v>3</v>
      </c>
      <c r="AR29" s="5" t="str">
        <f t="shared" si="11"/>
        <v>BASICO</v>
      </c>
      <c r="AS29" s="5">
        <v>4</v>
      </c>
      <c r="AT29" s="7">
        <v>3.5</v>
      </c>
      <c r="AU29" s="7">
        <v>3.5</v>
      </c>
      <c r="AV29" s="7">
        <v>3.5</v>
      </c>
      <c r="AW29" s="5">
        <f t="shared" si="34"/>
        <v>3.5</v>
      </c>
      <c r="AX29" s="5" t="str">
        <f t="shared" si="51"/>
        <v>BASICO</v>
      </c>
      <c r="AY29" s="5">
        <v>1</v>
      </c>
      <c r="AZ29" s="7">
        <v>4.5</v>
      </c>
      <c r="BA29" s="7">
        <v>4</v>
      </c>
      <c r="BB29" s="7">
        <v>4</v>
      </c>
      <c r="BC29" s="5">
        <f t="shared" si="13"/>
        <v>4.1500000000000004</v>
      </c>
      <c r="BD29" s="5" t="str">
        <f t="shared" si="14"/>
        <v>ALTO</v>
      </c>
      <c r="BE29" s="7">
        <v>2</v>
      </c>
      <c r="BF29" s="7">
        <v>3.2</v>
      </c>
      <c r="BG29" s="7">
        <v>3.2</v>
      </c>
      <c r="BH29" s="7">
        <v>3.6</v>
      </c>
      <c r="BI29" s="5">
        <f t="shared" si="59"/>
        <v>3.3200000000000003</v>
      </c>
      <c r="BJ29" s="5" t="str">
        <f t="shared" si="15"/>
        <v>BASICO</v>
      </c>
      <c r="BK29" s="5">
        <v>1</v>
      </c>
      <c r="BL29" s="7">
        <v>3.2</v>
      </c>
      <c r="BM29" s="7">
        <v>3.6</v>
      </c>
      <c r="BN29" s="7">
        <v>3.8</v>
      </c>
      <c r="BO29" s="5">
        <f t="shared" si="16"/>
        <v>3.54</v>
      </c>
      <c r="BP29" s="5" t="str">
        <f t="shared" si="17"/>
        <v>BASICO</v>
      </c>
      <c r="BQ29" s="5">
        <v>1</v>
      </c>
      <c r="BR29" s="7">
        <v>3.6</v>
      </c>
      <c r="BS29" s="7">
        <v>3.8</v>
      </c>
      <c r="BT29" s="7">
        <v>3.3</v>
      </c>
      <c r="BU29" s="5">
        <f t="shared" si="18"/>
        <v>3.59</v>
      </c>
      <c r="BV29" s="5" t="str">
        <f t="shared" si="19"/>
        <v>BASICO</v>
      </c>
      <c r="BW29" s="5">
        <v>1</v>
      </c>
      <c r="BX29" s="7">
        <v>3.3</v>
      </c>
      <c r="BY29" s="7">
        <v>3.4</v>
      </c>
      <c r="BZ29" s="7">
        <v>3.3</v>
      </c>
      <c r="CA29" s="5">
        <f t="shared" si="20"/>
        <v>3.34</v>
      </c>
      <c r="CB29" s="5" t="str">
        <f t="shared" si="21"/>
        <v>BASICO</v>
      </c>
      <c r="CC29" s="5">
        <v>1</v>
      </c>
      <c r="CD29" s="7">
        <v>3.8</v>
      </c>
      <c r="CE29" s="7">
        <v>3.7</v>
      </c>
      <c r="CF29" s="7">
        <v>3.7</v>
      </c>
      <c r="CG29" s="5">
        <f t="shared" si="22"/>
        <v>3.7300000000000004</v>
      </c>
      <c r="CH29" s="5" t="str">
        <f t="shared" si="23"/>
        <v>BASICO</v>
      </c>
      <c r="CI29" s="5">
        <v>1</v>
      </c>
      <c r="CJ29" s="7">
        <v>4.5</v>
      </c>
      <c r="CK29" s="7">
        <v>4.5</v>
      </c>
      <c r="CL29" s="7">
        <v>4.5</v>
      </c>
      <c r="CM29" s="5">
        <f t="shared" si="24"/>
        <v>4.5</v>
      </c>
      <c r="CN29" s="5" t="str">
        <f t="shared" si="25"/>
        <v>SUPERIOR</v>
      </c>
      <c r="CO29" s="5">
        <v>1</v>
      </c>
      <c r="CP29" s="7">
        <v>5</v>
      </c>
      <c r="CQ29" s="7">
        <v>5</v>
      </c>
      <c r="CR29" s="7">
        <v>5</v>
      </c>
      <c r="CS29" s="5">
        <f t="shared" si="26"/>
        <v>5</v>
      </c>
      <c r="CT29" s="5" t="str">
        <f t="shared" si="27"/>
        <v>SUPERIOR</v>
      </c>
      <c r="CU29" s="5">
        <v>2</v>
      </c>
      <c r="CV29" s="7">
        <v>2</v>
      </c>
      <c r="CW29" s="7">
        <v>2</v>
      </c>
      <c r="CX29" s="7">
        <v>2</v>
      </c>
      <c r="CY29" s="5">
        <f t="shared" si="28"/>
        <v>2</v>
      </c>
      <c r="CZ29" s="5" t="str">
        <f t="shared" si="29"/>
        <v>BAJO</v>
      </c>
      <c r="DA29" s="5">
        <v>2</v>
      </c>
      <c r="DB29" s="7">
        <v>4</v>
      </c>
      <c r="DC29" s="7">
        <v>4</v>
      </c>
      <c r="DD29" s="7">
        <v>4</v>
      </c>
      <c r="DE29" s="5">
        <f t="shared" si="30"/>
        <v>4</v>
      </c>
      <c r="DF29" s="5" t="str">
        <f t="shared" si="31"/>
        <v>ALTO</v>
      </c>
      <c r="DG29" s="5">
        <v>0</v>
      </c>
      <c r="DH29" s="7">
        <v>4</v>
      </c>
      <c r="DI29" s="5" t="str">
        <f t="shared" si="32"/>
        <v>ALTO</v>
      </c>
      <c r="DJ29" s="5">
        <f t="shared" si="33"/>
        <v>3.3517647058823532</v>
      </c>
      <c r="DK29" s="5" t="str">
        <f t="shared" si="36"/>
        <v>Comprende el concepto de números reales, su relación de orden y las propiedades de sus operaciones, así como las relaciones de semejanza y congruencia de distintas figuras geométricas.</v>
      </c>
      <c r="DL29" s="5" t="str">
        <f t="shared" ref="DL29:FJ29" si="65">DL28</f>
        <v>Aplica correctamente las propiedades de las operaciones de números reales y expresiones algebraicas en la resolución de problemas.</v>
      </c>
      <c r="DM29" s="5" t="str">
        <f t="shared" si="65"/>
        <v>Valora el uso del pensamiento lógico a la hora de plantear y resolver problemas de las matemáticas y de la vida cotidiana.</v>
      </c>
      <c r="DN29" s="5" t="str">
        <f t="shared" si="6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9" s="5" t="str">
        <f t="shared" si="65"/>
        <v>Organiza y analiza datos mediante la construcción de tablas de frecuencias y diagramas estadísticos, identificando variables aleatorias y utilizando estas representaciones para resolver situaciones problema.</v>
      </c>
      <c r="DP29" s="5" t="str">
        <f t="shared" si="65"/>
        <v>Muestra disposición y responsabilidad en el manejo y análisis de datos, participando activamente en actividades individuales y colaborativas, y comunicando información estadística con claridad y sentido crítico.</v>
      </c>
      <c r="DQ29" s="5" t="str">
        <f t="shared" si="65"/>
        <v>Analiza las características de la literatura prehispánica y la literatura del descubrimiento y la conquista en Colombia identificando sus elementos fundamentales y su impacto en la cultura y el lenguaje actual.</v>
      </c>
      <c r="DR29" s="5" t="str">
        <f t="shared" si="65"/>
        <v>Realiza comprensión lectora cuando analiza un texto desde el discurso de la Enunciación e identifica la función de cada uno de sus componentes.
Responde preguntas en los tres niveles de lectura a una leyenda del Caribe.</v>
      </c>
      <c r="DS29" s="5" t="str">
        <f t="shared" si="65"/>
        <v>Muestra disposición para participar activamente en las clases, promoviendo el respeto por las ideas ajenas y reconociendo la importancia de la precisión como una herramienta clave para una comunicación</v>
      </c>
      <c r="DT29" s="5" t="str">
        <f t="shared" si="65"/>
        <v>Comprende el contenido del cuento A la deriva, identificando su tema central, la secuencia de los hechos, los personajes y las ideas explícitas e implícitas del texto.</v>
      </c>
      <c r="DU29" s="5" t="str">
        <f t="shared" si="65"/>
        <v>Analiza críticamente el cuento A la deriva mediante la identificación de información literal, inferencial y crítica, sustentando sus respuestas de forma oral y escrita.</v>
      </c>
      <c r="DV29" s="5" t="str">
        <f t="shared" si="65"/>
        <v>Valora la lectura literaria como una oportunidad para reflexionar sobre la vida, la naturaleza y la condición humana, participando con interés, respeto y sentido crítico en las actividades propuestas.</v>
      </c>
      <c r="DW29" s="5" t="str">
        <f t="shared" si="65"/>
        <v>Comprende y reconoce vocabulario y estructuras basicas del ingles para interpretar textos cortos y conversaciones sobre temas cotidianos de la vida diaria.</v>
      </c>
      <c r="DX29" s="5" t="str">
        <f t="shared" si="65"/>
        <v>Produce de forma oral y escrita frases y parrafos cortos en Ingles, utilizando correctamente las estructuras conocidas para describir rutinas, narrar experiencias y participar en conversaciones.</v>
      </c>
      <c r="DY29" s="5" t="str">
        <f t="shared" si="65"/>
        <v>Muestra disposicion positiva hacia el aprendizaje del Ingles participando activamente en clase.</v>
      </c>
      <c r="DZ29" s="5" t="str">
        <f t="shared" si="65"/>
        <v>Identifica vocabulario en Ingles  de situaciones cotidianas.</v>
      </c>
      <c r="EA29" s="5" t="str">
        <f t="shared" si="65"/>
        <v>Participa en actividades utilizando vocabulario aprendido para expresar gustos,emociones y necesidades.</v>
      </c>
      <c r="EB29" s="5" t="str">
        <f t="shared" si="65"/>
        <v>Respeta la opinion de los demas, muestra disposicion para participar en actividades orales.</v>
      </c>
      <c r="EC29" s="5" t="str">
        <f t="shared" si="65"/>
        <v>Identifica la conformación y funcionamiento del sistema inmunolófico y diferencia las característics de los estados de la materia.</v>
      </c>
      <c r="ED29" s="5" t="str">
        <f t="shared" si="65"/>
        <v>Reconoce experimentalmente las características de materiales en los diferentes estados de la materia.</v>
      </c>
      <c r="EE29" s="5" t="str">
        <f t="shared" si="65"/>
        <v xml:space="preserve">Valora la importancia de tener habitos saludables, para lograr el mantenimiento saludable del sistema inmune. </v>
      </c>
      <c r="EF29" s="5" t="str">
        <f t="shared" si="65"/>
        <v>Describe correctamente la secuencia de eventos biologicos de la fecundacion,incluyendo las recciones acrosomicas,la funcion de gametos y la formacion de gametos.</v>
      </c>
      <c r="EG29" s="5" t="str">
        <f t="shared" si="65"/>
        <v>Mide la capacidad del labolatrio para lograr la fecundacion exitosa de los ovulos con el espermatozoide.</v>
      </c>
      <c r="EH29" s="5" t="str">
        <f t="shared" si="65"/>
        <v>Valora la importancia del cuidado del cuerpo y de la salud reproductiva como la base para una fecundacion saludable.</v>
      </c>
      <c r="EI29" s="5" t="str">
        <f t="shared" si="65"/>
        <v>Explico las principales caracteristicas de algunas revoluciones de los siglos XVIII y XIX (Revolucion francesa, Industrial...)</v>
      </c>
      <c r="EJ29" s="5" t="str">
        <f t="shared" si="65"/>
        <v>Analiza las causas y consecuencias de procesos historicos como la Revolucion Industrial y Francesa.</v>
      </c>
      <c r="EK29" s="5" t="str">
        <f t="shared" si="65"/>
        <v>Muestra interes y curiosidad por comprender los procesos historicos y su impacto en la sociedad.</v>
      </c>
      <c r="EL29" s="5" t="str">
        <f t="shared" si="65"/>
        <v xml:space="preserve">Identifica los procesos historicos de algunas revoluciones de los siglos XVIII y XIX </v>
      </c>
      <c r="EM29" s="5">
        <f t="shared" si="65"/>
        <v>0</v>
      </c>
      <c r="EN29" s="5">
        <f t="shared" si="65"/>
        <v>0</v>
      </c>
      <c r="EO29" s="5" t="str">
        <f t="shared" si="65"/>
        <v xml:space="preserve">Comprende la distribucion espacial de la poblacion antes y despues de las revoluciones </v>
      </c>
      <c r="EP29" s="5" t="str">
        <f t="shared" si="65"/>
        <v xml:space="preserve">Ubica en mapas las regiones donde se desarrollaron las principales revoluciones y explica sus caracteristicas geograficas </v>
      </c>
      <c r="EQ29" s="5" t="str">
        <f t="shared" si="65"/>
        <v>Muestra interes por comprender la relacion entre sociedad, economia y territorio</v>
      </c>
      <c r="ER29" s="5" t="str">
        <f t="shared" si="65"/>
        <v>Comprende el concepto de cultura de paz y su importancia en la sociedad</v>
      </c>
      <c r="ES29" s="5" t="str">
        <f t="shared" si="65"/>
        <v>Practica normas de convivencia en diferentes espacios( aula, hogar, comunidad)</v>
      </c>
      <c r="ET29" s="5" t="str">
        <f t="shared" si="65"/>
        <v>Muestra actitud de respeto hacia la diversidad cuktural, social y de pensamiento</v>
      </c>
      <c r="EU29" s="5">
        <f t="shared" si="65"/>
        <v>0</v>
      </c>
      <c r="EV29" s="5">
        <f t="shared" si="65"/>
        <v>0</v>
      </c>
      <c r="EW29" s="5">
        <f t="shared" si="65"/>
        <v>0</v>
      </c>
      <c r="EX29" s="5">
        <f t="shared" si="65"/>
        <v>0</v>
      </c>
      <c r="EY29" s="5">
        <f t="shared" si="65"/>
        <v>0</v>
      </c>
      <c r="EZ29" s="5">
        <f t="shared" si="65"/>
        <v>0</v>
      </c>
      <c r="FA29" s="5">
        <f t="shared" si="65"/>
        <v>0</v>
      </c>
      <c r="FB29" s="5">
        <f t="shared" si="65"/>
        <v>0</v>
      </c>
      <c r="FC29" s="5">
        <f t="shared" si="65"/>
        <v>0</v>
      </c>
      <c r="FD29" s="5" t="str">
        <f t="shared" si="65"/>
        <v xml:space="preserve"> Identifica las expresiones motrices relacionadas con el juego del voleibol,  como una oportunidad para mejorar la salud, la estética y las relaciones con los demás.</v>
      </c>
      <c r="FE29" s="5" t="str">
        <f t="shared" si="65"/>
        <v>Pone en práctica los fundamentos básicos del voleibol.</v>
      </c>
      <c r="FF29" s="5" t="str">
        <f t="shared" si="65"/>
        <v>Muestra  responsabilidad y buena actitud al realizar el juego de voleibol.</v>
      </c>
      <c r="FG29" s="5" t="str">
        <f t="shared" si="65"/>
        <v>Comprende el concepto de variable como espacio de almacenamiento de datos y reconoce el uso de estructuras condicionales (si, si-no) para la toma de decisiones en un programa.</v>
      </c>
      <c r="FH29" s="5" t="str">
        <f t="shared" si="65"/>
        <v>Diseña y desarrolla programas que utilizan variables y estructuras condicionales para resolver problemas, evaluando condiciones y generando respuestas según diferentes situaciones.</v>
      </c>
      <c r="FI29" s="5" t="str">
        <f t="shared" si="65"/>
        <v>Muestra pensamiento lógico, perseverancia y actitud crítica al analizar errores y proponer soluciones en la construcción de programas con variables y condicionales.</v>
      </c>
      <c r="FJ29" s="5" t="str">
        <f t="shared" si="65"/>
        <v>Identifica y reconoce sus pricipales deberes y derechos dentro y fuera  de la Institución educativa.</v>
      </c>
    </row>
    <row r="30" spans="1:166" ht="15.75" customHeight="1">
      <c r="A30" s="5">
        <v>29</v>
      </c>
      <c r="B30" s="5" t="s">
        <v>163</v>
      </c>
      <c r="C30" s="6">
        <v>1043169678</v>
      </c>
      <c r="D30" s="5" t="s">
        <v>134</v>
      </c>
      <c r="E30" s="5" t="s">
        <v>135</v>
      </c>
      <c r="F30" s="5" t="s">
        <v>70</v>
      </c>
      <c r="G30" s="5" t="s">
        <v>71</v>
      </c>
      <c r="H30" s="5">
        <v>2026</v>
      </c>
      <c r="I30" s="5">
        <v>4</v>
      </c>
      <c r="J30" s="7">
        <v>2.2999999999999998</v>
      </c>
      <c r="K30" s="7">
        <v>2.5</v>
      </c>
      <c r="L30" s="7">
        <v>2.7</v>
      </c>
      <c r="M30" s="5">
        <f t="shared" si="0"/>
        <v>2.5</v>
      </c>
      <c r="N30" s="5" t="str">
        <f t="shared" si="1"/>
        <v>BAJO</v>
      </c>
      <c r="O30" s="5">
        <v>1</v>
      </c>
      <c r="P30" s="7">
        <v>2.7</v>
      </c>
      <c r="Q30" s="7">
        <v>2.7</v>
      </c>
      <c r="R30" s="7">
        <v>2.7</v>
      </c>
      <c r="S30" s="5">
        <f t="shared" si="2"/>
        <v>2.7</v>
      </c>
      <c r="T30" s="5" t="str">
        <f t="shared" si="3"/>
        <v>BAJO</v>
      </c>
      <c r="U30" s="5">
        <v>4</v>
      </c>
      <c r="V30" s="7"/>
      <c r="W30" s="7"/>
      <c r="X30" s="7"/>
      <c r="Y30" s="5">
        <f t="shared" si="4"/>
        <v>0</v>
      </c>
      <c r="Z30" s="5" t="str">
        <f t="shared" si="5"/>
        <v>BAJO</v>
      </c>
      <c r="AA30" s="5">
        <v>1</v>
      </c>
      <c r="AB30" s="7">
        <v>3.3</v>
      </c>
      <c r="AC30" s="7">
        <v>3.3</v>
      </c>
      <c r="AD30" s="7">
        <v>3.3</v>
      </c>
      <c r="AE30" s="5">
        <f t="shared" si="6"/>
        <v>3.3</v>
      </c>
      <c r="AF30" s="5" t="str">
        <f t="shared" si="7"/>
        <v>BASICO</v>
      </c>
      <c r="AG30" s="5">
        <v>2</v>
      </c>
      <c r="AH30" s="8">
        <v>2.5</v>
      </c>
      <c r="AI30" s="8">
        <v>3</v>
      </c>
      <c r="AJ30" s="8">
        <v>3</v>
      </c>
      <c r="AK30" s="5">
        <f t="shared" si="8"/>
        <v>2.85</v>
      </c>
      <c r="AL30" s="5" t="str">
        <f t="shared" si="9"/>
        <v>BAJO</v>
      </c>
      <c r="AM30" s="5">
        <v>1</v>
      </c>
      <c r="AN30" s="8">
        <v>2.5</v>
      </c>
      <c r="AO30" s="8">
        <v>3</v>
      </c>
      <c r="AP30" s="8">
        <v>3</v>
      </c>
      <c r="AQ30" s="5">
        <f t="shared" si="10"/>
        <v>2.85</v>
      </c>
      <c r="AR30" s="5" t="str">
        <f t="shared" si="11"/>
        <v>BAJO</v>
      </c>
      <c r="AS30" s="5">
        <v>4</v>
      </c>
      <c r="AT30" s="7">
        <v>3.5</v>
      </c>
      <c r="AU30" s="7">
        <v>3.5</v>
      </c>
      <c r="AV30" s="7">
        <v>3.5</v>
      </c>
      <c r="AW30" s="5">
        <f t="shared" si="34"/>
        <v>3.5</v>
      </c>
      <c r="AX30" s="5" t="str">
        <f t="shared" si="51"/>
        <v>BASICO</v>
      </c>
      <c r="AY30" s="5">
        <v>1</v>
      </c>
      <c r="AZ30" s="7">
        <v>4</v>
      </c>
      <c r="BA30" s="7">
        <v>3</v>
      </c>
      <c r="BB30" s="7">
        <v>3.5</v>
      </c>
      <c r="BC30" s="5">
        <f t="shared" si="13"/>
        <v>3.45</v>
      </c>
      <c r="BD30" s="5" t="str">
        <f t="shared" si="14"/>
        <v>BASICO</v>
      </c>
      <c r="BE30" s="7">
        <v>2</v>
      </c>
      <c r="BF30" s="7">
        <v>2</v>
      </c>
      <c r="BG30" s="7">
        <v>2.5</v>
      </c>
      <c r="BH30" s="7">
        <v>2.8</v>
      </c>
      <c r="BI30" s="5">
        <f t="shared" si="59"/>
        <v>2.44</v>
      </c>
      <c r="BJ30" s="5" t="str">
        <f t="shared" si="15"/>
        <v>BAJO</v>
      </c>
      <c r="BK30" s="5">
        <v>1</v>
      </c>
      <c r="BL30" s="7">
        <v>2.5</v>
      </c>
      <c r="BM30" s="7">
        <v>2.8</v>
      </c>
      <c r="BN30" s="7">
        <v>2.6</v>
      </c>
      <c r="BO30" s="5">
        <f t="shared" si="16"/>
        <v>2.65</v>
      </c>
      <c r="BP30" s="5" t="str">
        <f t="shared" si="17"/>
        <v>BAJO</v>
      </c>
      <c r="BQ30" s="5">
        <v>1</v>
      </c>
      <c r="BR30" s="7">
        <v>2</v>
      </c>
      <c r="BS30" s="7">
        <v>2.2000000000000002</v>
      </c>
      <c r="BT30" s="7">
        <v>2.8</v>
      </c>
      <c r="BU30" s="5">
        <f t="shared" si="18"/>
        <v>2.3199999999999998</v>
      </c>
      <c r="BV30" s="5" t="str">
        <f t="shared" si="19"/>
        <v>BAJO</v>
      </c>
      <c r="BW30" s="5">
        <v>1</v>
      </c>
      <c r="BX30" s="7">
        <v>2</v>
      </c>
      <c r="BY30" s="7">
        <v>2.2000000000000002</v>
      </c>
      <c r="BZ30" s="7">
        <v>2.5</v>
      </c>
      <c r="CA30" s="5">
        <f t="shared" si="20"/>
        <v>2.23</v>
      </c>
      <c r="CB30" s="5" t="str">
        <f t="shared" si="21"/>
        <v>BAJO</v>
      </c>
      <c r="CC30" s="5">
        <v>1</v>
      </c>
      <c r="CD30" s="7">
        <v>3</v>
      </c>
      <c r="CE30" s="7">
        <v>3</v>
      </c>
      <c r="CF30" s="7">
        <v>3</v>
      </c>
      <c r="CG30" s="5">
        <f t="shared" si="22"/>
        <v>3</v>
      </c>
      <c r="CH30" s="5" t="str">
        <f t="shared" si="23"/>
        <v>BASICO</v>
      </c>
      <c r="CI30" s="5">
        <v>1</v>
      </c>
      <c r="CJ30" s="7">
        <v>4</v>
      </c>
      <c r="CK30" s="7">
        <v>4</v>
      </c>
      <c r="CL30" s="7">
        <v>4</v>
      </c>
      <c r="CM30" s="5">
        <f t="shared" si="24"/>
        <v>4</v>
      </c>
      <c r="CN30" s="5" t="str">
        <f t="shared" si="25"/>
        <v>ALTO</v>
      </c>
      <c r="CO30" s="5">
        <v>1</v>
      </c>
      <c r="CP30" s="7">
        <v>5</v>
      </c>
      <c r="CQ30" s="7">
        <v>5</v>
      </c>
      <c r="CR30" s="7">
        <v>5</v>
      </c>
      <c r="CS30" s="5">
        <f t="shared" si="26"/>
        <v>5</v>
      </c>
      <c r="CT30" s="5" t="str">
        <f t="shared" si="27"/>
        <v>SUPERIOR</v>
      </c>
      <c r="CU30" s="5">
        <v>2</v>
      </c>
      <c r="CV30" s="7">
        <v>3.8</v>
      </c>
      <c r="CW30" s="7">
        <v>3.8</v>
      </c>
      <c r="CX30" s="7">
        <v>3.8</v>
      </c>
      <c r="CY30" s="5">
        <f t="shared" si="28"/>
        <v>3.8</v>
      </c>
      <c r="CZ30" s="5" t="str">
        <f t="shared" si="29"/>
        <v>BASICO</v>
      </c>
      <c r="DA30" s="5">
        <v>2</v>
      </c>
      <c r="DB30" s="7">
        <v>3</v>
      </c>
      <c r="DC30" s="7">
        <v>3</v>
      </c>
      <c r="DD30" s="7">
        <v>3.5</v>
      </c>
      <c r="DE30" s="5">
        <f t="shared" si="30"/>
        <v>3.1500000000000004</v>
      </c>
      <c r="DF30" s="5" t="str">
        <f t="shared" si="31"/>
        <v>BASICO</v>
      </c>
      <c r="DG30" s="5">
        <v>0</v>
      </c>
      <c r="DH30" s="7">
        <v>3.5</v>
      </c>
      <c r="DI30" s="5" t="str">
        <f t="shared" si="32"/>
        <v>BASICO</v>
      </c>
      <c r="DJ30" s="5">
        <f t="shared" si="33"/>
        <v>2.9952941176470591</v>
      </c>
      <c r="DK30" s="5" t="str">
        <f t="shared" si="36"/>
        <v>Comprende el concepto de números reales, su relación de orden y las propiedades de sus operaciones, así como las relaciones de semejanza y congruencia de distintas figuras geométricas.</v>
      </c>
      <c r="DL30" s="5" t="str">
        <f t="shared" ref="DL30:FJ30" si="66">DL29</f>
        <v>Aplica correctamente las propiedades de las operaciones de números reales y expresiones algebraicas en la resolución de problemas.</v>
      </c>
      <c r="DM30" s="5" t="str">
        <f t="shared" si="66"/>
        <v>Valora el uso del pensamiento lógico a la hora de plantear y resolver problemas de las matemáticas y de la vida cotidiana.</v>
      </c>
      <c r="DN30" s="5" t="str">
        <f t="shared" si="6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0" s="5" t="str">
        <f t="shared" si="66"/>
        <v>Organiza y analiza datos mediante la construcción de tablas de frecuencias y diagramas estadísticos, identificando variables aleatorias y utilizando estas representaciones para resolver situaciones problema.</v>
      </c>
      <c r="DP30" s="5" t="str">
        <f t="shared" si="66"/>
        <v>Muestra disposición y responsabilidad en el manejo y análisis de datos, participando activamente en actividades individuales y colaborativas, y comunicando información estadística con claridad y sentido crítico.</v>
      </c>
      <c r="DQ30" s="5" t="str">
        <f t="shared" si="66"/>
        <v>Analiza las características de la literatura prehispánica y la literatura del descubrimiento y la conquista en Colombia identificando sus elementos fundamentales y su impacto en la cultura y el lenguaje actual.</v>
      </c>
      <c r="DR30" s="5" t="str">
        <f t="shared" si="66"/>
        <v>Realiza comprensión lectora cuando analiza un texto desde el discurso de la Enunciación e identifica la función de cada uno de sus componentes.
Responde preguntas en los tres niveles de lectura a una leyenda del Caribe.</v>
      </c>
      <c r="DS30" s="5" t="str">
        <f t="shared" si="66"/>
        <v>Muestra disposición para participar activamente en las clases, promoviendo el respeto por las ideas ajenas y reconociendo la importancia de la precisión como una herramienta clave para una comunicación</v>
      </c>
      <c r="DT30" s="5" t="str">
        <f t="shared" si="66"/>
        <v>Comprende el contenido del cuento A la deriva, identificando su tema central, la secuencia de los hechos, los personajes y las ideas explícitas e implícitas del texto.</v>
      </c>
      <c r="DU30" s="5" t="str">
        <f t="shared" si="66"/>
        <v>Analiza críticamente el cuento A la deriva mediante la identificación de información literal, inferencial y crítica, sustentando sus respuestas de forma oral y escrita.</v>
      </c>
      <c r="DV30" s="5" t="str">
        <f t="shared" si="66"/>
        <v>Valora la lectura literaria como una oportunidad para reflexionar sobre la vida, la naturaleza y la condición humana, participando con interés, respeto y sentido crítico en las actividades propuestas.</v>
      </c>
      <c r="DW30" s="5" t="str">
        <f t="shared" si="66"/>
        <v>Comprende y reconoce vocabulario y estructuras basicas del ingles para interpretar textos cortos y conversaciones sobre temas cotidianos de la vida diaria.</v>
      </c>
      <c r="DX30" s="5" t="str">
        <f t="shared" si="66"/>
        <v>Produce de forma oral y escrita frases y parrafos cortos en Ingles, utilizando correctamente las estructuras conocidas para describir rutinas, narrar experiencias y participar en conversaciones.</v>
      </c>
      <c r="DY30" s="5" t="str">
        <f t="shared" si="66"/>
        <v>Muestra disposicion positiva hacia el aprendizaje del Ingles participando activamente en clase.</v>
      </c>
      <c r="DZ30" s="5" t="str">
        <f t="shared" si="66"/>
        <v>Identifica vocabulario en Ingles  de situaciones cotidianas.</v>
      </c>
      <c r="EA30" s="5" t="str">
        <f t="shared" si="66"/>
        <v>Participa en actividades utilizando vocabulario aprendido para expresar gustos,emociones y necesidades.</v>
      </c>
      <c r="EB30" s="5" t="str">
        <f t="shared" si="66"/>
        <v>Respeta la opinion de los demas, muestra disposicion para participar en actividades orales.</v>
      </c>
      <c r="EC30" s="5" t="str">
        <f t="shared" si="66"/>
        <v>Identifica la conformación y funcionamiento del sistema inmunolófico y diferencia las característics de los estados de la materia.</v>
      </c>
      <c r="ED30" s="5" t="str">
        <f t="shared" si="66"/>
        <v>Reconoce experimentalmente las características de materiales en los diferentes estados de la materia.</v>
      </c>
      <c r="EE30" s="5" t="str">
        <f t="shared" si="66"/>
        <v xml:space="preserve">Valora la importancia de tener habitos saludables, para lograr el mantenimiento saludable del sistema inmune. </v>
      </c>
      <c r="EF30" s="5" t="str">
        <f t="shared" si="66"/>
        <v>Describe correctamente la secuencia de eventos biologicos de la fecundacion,incluyendo las recciones acrosomicas,la funcion de gametos y la formacion de gametos.</v>
      </c>
      <c r="EG30" s="5" t="str">
        <f t="shared" si="66"/>
        <v>Mide la capacidad del labolatrio para lograr la fecundacion exitosa de los ovulos con el espermatozoide.</v>
      </c>
      <c r="EH30" s="5" t="str">
        <f t="shared" si="66"/>
        <v>Valora la importancia del cuidado del cuerpo y de la salud reproductiva como la base para una fecundacion saludable.</v>
      </c>
      <c r="EI30" s="5" t="str">
        <f t="shared" si="66"/>
        <v>Explico las principales caracteristicas de algunas revoluciones de los siglos XVIII y XIX (Revolucion francesa, Industrial...)</v>
      </c>
      <c r="EJ30" s="5" t="str">
        <f t="shared" si="66"/>
        <v>Analiza las causas y consecuencias de procesos historicos como la Revolucion Industrial y Francesa.</v>
      </c>
      <c r="EK30" s="5" t="str">
        <f t="shared" si="66"/>
        <v>Muestra interes y curiosidad por comprender los procesos historicos y su impacto en la sociedad.</v>
      </c>
      <c r="EL30" s="5" t="str">
        <f t="shared" si="66"/>
        <v xml:space="preserve">Identifica los procesos historicos de algunas revoluciones de los siglos XVIII y XIX </v>
      </c>
      <c r="EM30" s="5">
        <f t="shared" si="66"/>
        <v>0</v>
      </c>
      <c r="EN30" s="5">
        <f t="shared" si="66"/>
        <v>0</v>
      </c>
      <c r="EO30" s="5" t="str">
        <f t="shared" si="66"/>
        <v xml:space="preserve">Comprende la distribucion espacial de la poblacion antes y despues de las revoluciones </v>
      </c>
      <c r="EP30" s="5" t="str">
        <f t="shared" si="66"/>
        <v xml:space="preserve">Ubica en mapas las regiones donde se desarrollaron las principales revoluciones y explica sus caracteristicas geograficas </v>
      </c>
      <c r="EQ30" s="5" t="str">
        <f t="shared" si="66"/>
        <v>Muestra interes por comprender la relacion entre sociedad, economia y territorio</v>
      </c>
      <c r="ER30" s="5" t="str">
        <f t="shared" si="66"/>
        <v>Comprende el concepto de cultura de paz y su importancia en la sociedad</v>
      </c>
      <c r="ES30" s="5" t="str">
        <f t="shared" si="66"/>
        <v>Practica normas de convivencia en diferentes espacios( aula, hogar, comunidad)</v>
      </c>
      <c r="ET30" s="5" t="str">
        <f t="shared" si="66"/>
        <v>Muestra actitud de respeto hacia la diversidad cuktural, social y de pensamiento</v>
      </c>
      <c r="EU30" s="5">
        <f t="shared" si="66"/>
        <v>0</v>
      </c>
      <c r="EV30" s="5">
        <f t="shared" si="66"/>
        <v>0</v>
      </c>
      <c r="EW30" s="5">
        <f t="shared" si="66"/>
        <v>0</v>
      </c>
      <c r="EX30" s="5">
        <f t="shared" si="66"/>
        <v>0</v>
      </c>
      <c r="EY30" s="5">
        <f t="shared" si="66"/>
        <v>0</v>
      </c>
      <c r="EZ30" s="5">
        <f t="shared" si="66"/>
        <v>0</v>
      </c>
      <c r="FA30" s="5">
        <f t="shared" si="66"/>
        <v>0</v>
      </c>
      <c r="FB30" s="5">
        <f t="shared" si="66"/>
        <v>0</v>
      </c>
      <c r="FC30" s="5">
        <f t="shared" si="66"/>
        <v>0</v>
      </c>
      <c r="FD30" s="5" t="str">
        <f t="shared" si="66"/>
        <v xml:space="preserve"> Identifica las expresiones motrices relacionadas con el juego del voleibol,  como una oportunidad para mejorar la salud, la estética y las relaciones con los demás.</v>
      </c>
      <c r="FE30" s="5" t="str">
        <f t="shared" si="66"/>
        <v>Pone en práctica los fundamentos básicos del voleibol.</v>
      </c>
      <c r="FF30" s="5" t="str">
        <f t="shared" si="66"/>
        <v>Muestra  responsabilidad y buena actitud al realizar el juego de voleibol.</v>
      </c>
      <c r="FG30" s="5" t="str">
        <f t="shared" si="66"/>
        <v>Comprende el concepto de variable como espacio de almacenamiento de datos y reconoce el uso de estructuras condicionales (si, si-no) para la toma de decisiones en un programa.</v>
      </c>
      <c r="FH30" s="5" t="str">
        <f t="shared" si="66"/>
        <v>Diseña y desarrolla programas que utilizan variables y estructuras condicionales para resolver problemas, evaluando condiciones y generando respuestas según diferentes situaciones.</v>
      </c>
      <c r="FI30" s="5" t="str">
        <f t="shared" si="66"/>
        <v>Muestra pensamiento lógico, perseverancia y actitud crítica al analizar errores y proponer soluciones en la construcción de programas con variables y condicionales.</v>
      </c>
      <c r="FJ30" s="5" t="str">
        <f t="shared" si="66"/>
        <v>Identifica y reconoce sus pricipales deberes y derechos dentro y fuera  de la Institución educativa.</v>
      </c>
    </row>
    <row r="31" spans="1:166" ht="15.75" customHeight="1">
      <c r="A31" s="5">
        <v>30</v>
      </c>
      <c r="B31" s="5" t="s">
        <v>164</v>
      </c>
      <c r="C31" s="6">
        <v>1046709606</v>
      </c>
      <c r="D31" s="5" t="s">
        <v>134</v>
      </c>
      <c r="E31" s="5" t="s">
        <v>135</v>
      </c>
      <c r="F31" s="5" t="s">
        <v>70</v>
      </c>
      <c r="G31" s="5" t="s">
        <v>71</v>
      </c>
      <c r="H31" s="5">
        <v>2026</v>
      </c>
      <c r="I31" s="5">
        <v>4</v>
      </c>
      <c r="J31" s="7">
        <v>3</v>
      </c>
      <c r="K31" s="7">
        <v>3.4</v>
      </c>
      <c r="L31" s="7">
        <v>3.8</v>
      </c>
      <c r="M31" s="5">
        <f t="shared" si="0"/>
        <v>3.3999999999999995</v>
      </c>
      <c r="N31" s="5" t="str">
        <f t="shared" si="1"/>
        <v>BASICO</v>
      </c>
      <c r="O31" s="5">
        <v>1</v>
      </c>
      <c r="P31" s="7">
        <v>2.8</v>
      </c>
      <c r="Q31" s="7">
        <v>2.8</v>
      </c>
      <c r="R31" s="7">
        <v>2.8</v>
      </c>
      <c r="S31" s="5">
        <f t="shared" si="2"/>
        <v>2.8</v>
      </c>
      <c r="T31" s="5" t="str">
        <f t="shared" si="3"/>
        <v>BAJO</v>
      </c>
      <c r="U31" s="5">
        <v>4</v>
      </c>
      <c r="V31" s="7"/>
      <c r="W31" s="7"/>
      <c r="X31" s="7"/>
      <c r="Y31" s="5">
        <f t="shared" si="4"/>
        <v>0</v>
      </c>
      <c r="Z31" s="5" t="str">
        <f t="shared" si="5"/>
        <v>BAJO</v>
      </c>
      <c r="AA31" s="5">
        <v>1</v>
      </c>
      <c r="AB31" s="7">
        <v>3</v>
      </c>
      <c r="AC31" s="7">
        <v>3</v>
      </c>
      <c r="AD31" s="7">
        <v>3</v>
      </c>
      <c r="AE31" s="5">
        <f t="shared" si="6"/>
        <v>3</v>
      </c>
      <c r="AF31" s="5" t="str">
        <f t="shared" si="7"/>
        <v>BASICO</v>
      </c>
      <c r="AG31" s="5">
        <v>2</v>
      </c>
      <c r="AH31" s="8">
        <v>3</v>
      </c>
      <c r="AI31" s="8">
        <v>3</v>
      </c>
      <c r="AJ31" s="8">
        <v>3</v>
      </c>
      <c r="AK31" s="5">
        <f t="shared" si="8"/>
        <v>3</v>
      </c>
      <c r="AL31" s="5" t="str">
        <f t="shared" si="9"/>
        <v>BASICO</v>
      </c>
      <c r="AM31" s="5">
        <v>1</v>
      </c>
      <c r="AN31" s="8">
        <v>3</v>
      </c>
      <c r="AO31" s="8">
        <v>3</v>
      </c>
      <c r="AP31" s="8">
        <v>3</v>
      </c>
      <c r="AQ31" s="5">
        <f t="shared" si="10"/>
        <v>3</v>
      </c>
      <c r="AR31" s="5" t="str">
        <f t="shared" si="11"/>
        <v>BASICO</v>
      </c>
      <c r="AS31" s="5">
        <v>4</v>
      </c>
      <c r="AT31" s="7">
        <v>3.3</v>
      </c>
      <c r="AU31" s="7">
        <v>3.3</v>
      </c>
      <c r="AV31" s="7">
        <v>3.3</v>
      </c>
      <c r="AW31" s="5">
        <f t="shared" si="34"/>
        <v>3.3</v>
      </c>
      <c r="AX31" s="5" t="str">
        <f t="shared" si="51"/>
        <v>BASICO</v>
      </c>
      <c r="AY31" s="5">
        <v>1</v>
      </c>
      <c r="AZ31" s="7">
        <v>4</v>
      </c>
      <c r="BA31" s="7">
        <v>3.5</v>
      </c>
      <c r="BB31" s="7">
        <v>3.5</v>
      </c>
      <c r="BC31" s="5">
        <f t="shared" si="13"/>
        <v>3.6500000000000004</v>
      </c>
      <c r="BD31" s="5" t="str">
        <f t="shared" si="14"/>
        <v>BASICO</v>
      </c>
      <c r="BE31" s="7">
        <v>2</v>
      </c>
      <c r="BF31" s="7">
        <v>3.5</v>
      </c>
      <c r="BG31" s="7">
        <v>3.8</v>
      </c>
      <c r="BH31" s="7">
        <v>4</v>
      </c>
      <c r="BI31" s="5">
        <f t="shared" si="59"/>
        <v>3.7700000000000005</v>
      </c>
      <c r="BJ31" s="5" t="str">
        <f t="shared" si="15"/>
        <v>BASICO</v>
      </c>
      <c r="BK31" s="5">
        <v>1</v>
      </c>
      <c r="BL31" s="7">
        <v>3.6</v>
      </c>
      <c r="BM31" s="7">
        <v>3.8</v>
      </c>
      <c r="BN31" s="7">
        <v>4</v>
      </c>
      <c r="BO31" s="5">
        <f t="shared" si="16"/>
        <v>3.8</v>
      </c>
      <c r="BP31" s="5" t="str">
        <f t="shared" si="17"/>
        <v>BASICO</v>
      </c>
      <c r="BQ31" s="5">
        <v>1</v>
      </c>
      <c r="BR31" s="7">
        <v>3.5</v>
      </c>
      <c r="BS31" s="7">
        <v>3.4</v>
      </c>
      <c r="BT31" s="7">
        <v>3.8</v>
      </c>
      <c r="BU31" s="5">
        <f t="shared" si="18"/>
        <v>3.55</v>
      </c>
      <c r="BV31" s="5" t="str">
        <f t="shared" si="19"/>
        <v>BASICO</v>
      </c>
      <c r="BW31" s="5">
        <v>1</v>
      </c>
      <c r="BX31" s="7">
        <v>3.3</v>
      </c>
      <c r="BY31" s="7">
        <v>4</v>
      </c>
      <c r="BZ31" s="7">
        <v>3.8</v>
      </c>
      <c r="CA31" s="5">
        <f t="shared" si="20"/>
        <v>3.7299999999999995</v>
      </c>
      <c r="CB31" s="5" t="str">
        <f t="shared" si="21"/>
        <v>BASICO</v>
      </c>
      <c r="CC31" s="5">
        <v>1</v>
      </c>
      <c r="CD31" s="7">
        <v>4.5</v>
      </c>
      <c r="CE31" s="7">
        <v>4.5</v>
      </c>
      <c r="CF31" s="7">
        <v>4.5</v>
      </c>
      <c r="CG31" s="5">
        <f t="shared" si="22"/>
        <v>4.5</v>
      </c>
      <c r="CH31" s="5" t="str">
        <f t="shared" si="23"/>
        <v>SUPERIOR</v>
      </c>
      <c r="CI31" s="5">
        <v>1</v>
      </c>
      <c r="CJ31" s="7">
        <v>4.5999999999999996</v>
      </c>
      <c r="CK31" s="7">
        <v>4.5999999999999996</v>
      </c>
      <c r="CL31" s="7">
        <v>4.5999999999999996</v>
      </c>
      <c r="CM31" s="5">
        <f t="shared" si="24"/>
        <v>4.5999999999999996</v>
      </c>
      <c r="CN31" s="5" t="str">
        <f t="shared" si="25"/>
        <v>SUPERIOR</v>
      </c>
      <c r="CO31" s="5">
        <v>1</v>
      </c>
      <c r="CP31" s="7">
        <v>5</v>
      </c>
      <c r="CQ31" s="7">
        <v>5</v>
      </c>
      <c r="CR31" s="7">
        <v>5</v>
      </c>
      <c r="CS31" s="5">
        <f t="shared" si="26"/>
        <v>5</v>
      </c>
      <c r="CT31" s="5" t="str">
        <f t="shared" si="27"/>
        <v>SUPERIOR</v>
      </c>
      <c r="CU31" s="5">
        <v>2</v>
      </c>
      <c r="CV31" s="7">
        <v>2</v>
      </c>
      <c r="CW31" s="7">
        <v>2</v>
      </c>
      <c r="CX31" s="7">
        <v>2</v>
      </c>
      <c r="CY31" s="5">
        <f t="shared" si="28"/>
        <v>2</v>
      </c>
      <c r="CZ31" s="5" t="str">
        <f t="shared" si="29"/>
        <v>BAJO</v>
      </c>
      <c r="DA31" s="5">
        <v>2</v>
      </c>
      <c r="DB31" s="7">
        <v>4</v>
      </c>
      <c r="DC31" s="7">
        <v>3.8</v>
      </c>
      <c r="DD31" s="7">
        <v>3.8</v>
      </c>
      <c r="DE31" s="5">
        <f t="shared" si="30"/>
        <v>3.8599999999999994</v>
      </c>
      <c r="DF31" s="5" t="str">
        <f t="shared" si="31"/>
        <v>BASICO</v>
      </c>
      <c r="DG31" s="5">
        <v>0</v>
      </c>
      <c r="DH31" s="7">
        <v>3.8</v>
      </c>
      <c r="DI31" s="5" t="str">
        <f t="shared" si="32"/>
        <v>BASICO</v>
      </c>
      <c r="DJ31" s="5">
        <f t="shared" si="33"/>
        <v>3.3652941176470588</v>
      </c>
      <c r="DK31" s="5" t="str">
        <f t="shared" si="36"/>
        <v>Comprende el concepto de números reales, su relación de orden y las propiedades de sus operaciones, así como las relaciones de semejanza y congruencia de distintas figuras geométricas.</v>
      </c>
      <c r="DL31" s="5" t="str">
        <f t="shared" ref="DL31:FJ31" si="67">DL30</f>
        <v>Aplica correctamente las propiedades de las operaciones de números reales y expresiones algebraicas en la resolución de problemas.</v>
      </c>
      <c r="DM31" s="5" t="str">
        <f t="shared" si="67"/>
        <v>Valora el uso del pensamiento lógico a la hora de plantear y resolver problemas de las matemáticas y de la vida cotidiana.</v>
      </c>
      <c r="DN31" s="5" t="str">
        <f t="shared" si="6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1" s="5" t="str">
        <f t="shared" si="67"/>
        <v>Organiza y analiza datos mediante la construcción de tablas de frecuencias y diagramas estadísticos, identificando variables aleatorias y utilizando estas representaciones para resolver situaciones problema.</v>
      </c>
      <c r="DP31" s="5" t="str">
        <f t="shared" si="67"/>
        <v>Muestra disposición y responsabilidad en el manejo y análisis de datos, participando activamente en actividades individuales y colaborativas, y comunicando información estadística con claridad y sentido crítico.</v>
      </c>
      <c r="DQ31" s="5" t="str">
        <f t="shared" si="67"/>
        <v>Analiza las características de la literatura prehispánica y la literatura del descubrimiento y la conquista en Colombia identificando sus elementos fundamentales y su impacto en la cultura y el lenguaje actual.</v>
      </c>
      <c r="DR31" s="5" t="str">
        <f t="shared" si="67"/>
        <v>Realiza comprensión lectora cuando analiza un texto desde el discurso de la Enunciación e identifica la función de cada uno de sus componentes.
Responde preguntas en los tres niveles de lectura a una leyenda del Caribe.</v>
      </c>
      <c r="DS31" s="5" t="str">
        <f t="shared" si="67"/>
        <v>Muestra disposición para participar activamente en las clases, promoviendo el respeto por las ideas ajenas y reconociendo la importancia de la precisión como una herramienta clave para una comunicación</v>
      </c>
      <c r="DT31" s="5" t="str">
        <f t="shared" si="67"/>
        <v>Comprende el contenido del cuento A la deriva, identificando su tema central, la secuencia de los hechos, los personajes y las ideas explícitas e implícitas del texto.</v>
      </c>
      <c r="DU31" s="5" t="str">
        <f t="shared" si="67"/>
        <v>Analiza críticamente el cuento A la deriva mediante la identificación de información literal, inferencial y crítica, sustentando sus respuestas de forma oral y escrita.</v>
      </c>
      <c r="DV31" s="5" t="str">
        <f t="shared" si="67"/>
        <v>Valora la lectura literaria como una oportunidad para reflexionar sobre la vida, la naturaleza y la condición humana, participando con interés, respeto y sentido crítico en las actividades propuestas.</v>
      </c>
      <c r="DW31" s="5" t="str">
        <f t="shared" si="67"/>
        <v>Comprende y reconoce vocabulario y estructuras basicas del ingles para interpretar textos cortos y conversaciones sobre temas cotidianos de la vida diaria.</v>
      </c>
      <c r="DX31" s="5" t="str">
        <f t="shared" si="67"/>
        <v>Produce de forma oral y escrita frases y parrafos cortos en Ingles, utilizando correctamente las estructuras conocidas para describir rutinas, narrar experiencias y participar en conversaciones.</v>
      </c>
      <c r="DY31" s="5" t="str">
        <f t="shared" si="67"/>
        <v>Muestra disposicion positiva hacia el aprendizaje del Ingles participando activamente en clase.</v>
      </c>
      <c r="DZ31" s="5" t="str">
        <f t="shared" si="67"/>
        <v>Identifica vocabulario en Ingles  de situaciones cotidianas.</v>
      </c>
      <c r="EA31" s="5" t="str">
        <f t="shared" si="67"/>
        <v>Participa en actividades utilizando vocabulario aprendido para expresar gustos,emociones y necesidades.</v>
      </c>
      <c r="EB31" s="5" t="str">
        <f t="shared" si="67"/>
        <v>Respeta la opinion de los demas, muestra disposicion para participar en actividades orales.</v>
      </c>
      <c r="EC31" s="5" t="str">
        <f t="shared" si="67"/>
        <v>Identifica la conformación y funcionamiento del sistema inmunolófico y diferencia las característics de los estados de la materia.</v>
      </c>
      <c r="ED31" s="5" t="str">
        <f t="shared" si="67"/>
        <v>Reconoce experimentalmente las características de materiales en los diferentes estados de la materia.</v>
      </c>
      <c r="EE31" s="5" t="str">
        <f t="shared" si="67"/>
        <v xml:space="preserve">Valora la importancia de tener habitos saludables, para lograr el mantenimiento saludable del sistema inmune. </v>
      </c>
      <c r="EF31" s="5" t="str">
        <f t="shared" si="67"/>
        <v>Describe correctamente la secuencia de eventos biologicos de la fecundacion,incluyendo las recciones acrosomicas,la funcion de gametos y la formacion de gametos.</v>
      </c>
      <c r="EG31" s="5" t="str">
        <f t="shared" si="67"/>
        <v>Mide la capacidad del labolatrio para lograr la fecundacion exitosa de los ovulos con el espermatozoide.</v>
      </c>
      <c r="EH31" s="5" t="str">
        <f t="shared" si="67"/>
        <v>Valora la importancia del cuidado del cuerpo y de la salud reproductiva como la base para una fecundacion saludable.</v>
      </c>
      <c r="EI31" s="5" t="str">
        <f t="shared" si="67"/>
        <v>Explico las principales caracteristicas de algunas revoluciones de los siglos XVIII y XIX (Revolucion francesa, Industrial...)</v>
      </c>
      <c r="EJ31" s="5" t="str">
        <f t="shared" si="67"/>
        <v>Analiza las causas y consecuencias de procesos historicos como la Revolucion Industrial y Francesa.</v>
      </c>
      <c r="EK31" s="5" t="str">
        <f t="shared" si="67"/>
        <v>Muestra interes y curiosidad por comprender los procesos historicos y su impacto en la sociedad.</v>
      </c>
      <c r="EL31" s="5" t="str">
        <f t="shared" si="67"/>
        <v xml:space="preserve">Identifica los procesos historicos de algunas revoluciones de los siglos XVIII y XIX </v>
      </c>
      <c r="EM31" s="5">
        <f t="shared" si="67"/>
        <v>0</v>
      </c>
      <c r="EN31" s="5">
        <f t="shared" si="67"/>
        <v>0</v>
      </c>
      <c r="EO31" s="5" t="str">
        <f t="shared" si="67"/>
        <v xml:space="preserve">Comprende la distribucion espacial de la poblacion antes y despues de las revoluciones </v>
      </c>
      <c r="EP31" s="5" t="str">
        <f t="shared" si="67"/>
        <v xml:space="preserve">Ubica en mapas las regiones donde se desarrollaron las principales revoluciones y explica sus caracteristicas geograficas </v>
      </c>
      <c r="EQ31" s="5" t="str">
        <f t="shared" si="67"/>
        <v>Muestra interes por comprender la relacion entre sociedad, economia y territorio</v>
      </c>
      <c r="ER31" s="5" t="str">
        <f t="shared" si="67"/>
        <v>Comprende el concepto de cultura de paz y su importancia en la sociedad</v>
      </c>
      <c r="ES31" s="5" t="str">
        <f t="shared" si="67"/>
        <v>Practica normas de convivencia en diferentes espacios( aula, hogar, comunidad)</v>
      </c>
      <c r="ET31" s="5" t="str">
        <f t="shared" si="67"/>
        <v>Muestra actitud de respeto hacia la diversidad cuktural, social y de pensamiento</v>
      </c>
      <c r="EU31" s="5">
        <f t="shared" si="67"/>
        <v>0</v>
      </c>
      <c r="EV31" s="5">
        <f t="shared" si="67"/>
        <v>0</v>
      </c>
      <c r="EW31" s="5">
        <f t="shared" si="67"/>
        <v>0</v>
      </c>
      <c r="EX31" s="5">
        <f t="shared" si="67"/>
        <v>0</v>
      </c>
      <c r="EY31" s="5">
        <f t="shared" si="67"/>
        <v>0</v>
      </c>
      <c r="EZ31" s="5">
        <f t="shared" si="67"/>
        <v>0</v>
      </c>
      <c r="FA31" s="5">
        <f t="shared" si="67"/>
        <v>0</v>
      </c>
      <c r="FB31" s="5">
        <f t="shared" si="67"/>
        <v>0</v>
      </c>
      <c r="FC31" s="5">
        <f t="shared" si="67"/>
        <v>0</v>
      </c>
      <c r="FD31" s="5" t="str">
        <f t="shared" si="67"/>
        <v xml:space="preserve"> Identifica las expresiones motrices relacionadas con el juego del voleibol,  como una oportunidad para mejorar la salud, la estética y las relaciones con los demás.</v>
      </c>
      <c r="FE31" s="5" t="str">
        <f t="shared" si="67"/>
        <v>Pone en práctica los fundamentos básicos del voleibol.</v>
      </c>
      <c r="FF31" s="5" t="str">
        <f t="shared" si="67"/>
        <v>Muestra  responsabilidad y buena actitud al realizar el juego de voleibol.</v>
      </c>
      <c r="FG31" s="5" t="str">
        <f t="shared" si="67"/>
        <v>Comprende el concepto de variable como espacio de almacenamiento de datos y reconoce el uso de estructuras condicionales (si, si-no) para la toma de decisiones en un programa.</v>
      </c>
      <c r="FH31" s="5" t="str">
        <f t="shared" si="67"/>
        <v>Diseña y desarrolla programas que utilizan variables y estructuras condicionales para resolver problemas, evaluando condiciones y generando respuestas según diferentes situaciones.</v>
      </c>
      <c r="FI31" s="5" t="str">
        <f t="shared" si="67"/>
        <v>Muestra pensamiento lógico, perseverancia y actitud crítica al analizar errores y proponer soluciones en la construcción de programas con variables y condicionales.</v>
      </c>
      <c r="FJ31" s="5" t="str">
        <f t="shared" si="67"/>
        <v>Identifica y reconoce sus pricipales deberes y derechos dentro y fuera  de la Institución educativa.</v>
      </c>
    </row>
    <row r="32" spans="1:166" ht="15.75" customHeight="1">
      <c r="A32" s="5">
        <v>31</v>
      </c>
      <c r="B32" s="5" t="s">
        <v>165</v>
      </c>
      <c r="C32" s="6">
        <v>1052991037</v>
      </c>
      <c r="D32" s="5" t="s">
        <v>134</v>
      </c>
      <c r="E32" s="5" t="s">
        <v>135</v>
      </c>
      <c r="F32" s="5" t="s">
        <v>70</v>
      </c>
      <c r="G32" s="5" t="s">
        <v>71</v>
      </c>
      <c r="H32" s="5">
        <v>2026</v>
      </c>
      <c r="I32" s="5">
        <v>4</v>
      </c>
      <c r="J32" s="7">
        <v>3</v>
      </c>
      <c r="K32" s="7">
        <v>3</v>
      </c>
      <c r="L32" s="7">
        <v>3</v>
      </c>
      <c r="M32" s="5">
        <f t="shared" si="0"/>
        <v>3</v>
      </c>
      <c r="N32" s="5" t="str">
        <f t="shared" si="1"/>
        <v>BASICO</v>
      </c>
      <c r="O32" s="5">
        <v>1</v>
      </c>
      <c r="P32" s="7">
        <v>3</v>
      </c>
      <c r="Q32" s="7">
        <v>3</v>
      </c>
      <c r="R32" s="7">
        <v>3</v>
      </c>
      <c r="S32" s="5">
        <f t="shared" si="2"/>
        <v>3</v>
      </c>
      <c r="T32" s="5" t="str">
        <f t="shared" si="3"/>
        <v>BASICO</v>
      </c>
      <c r="U32" s="5">
        <v>4</v>
      </c>
      <c r="V32" s="7"/>
      <c r="W32" s="7"/>
      <c r="X32" s="7"/>
      <c r="Y32" s="5">
        <f t="shared" si="4"/>
        <v>0</v>
      </c>
      <c r="Z32" s="5" t="str">
        <f t="shared" si="5"/>
        <v>BAJO</v>
      </c>
      <c r="AA32" s="5">
        <v>1</v>
      </c>
      <c r="AB32" s="7">
        <v>2.6</v>
      </c>
      <c r="AC32" s="7">
        <v>2.6</v>
      </c>
      <c r="AD32" s="7">
        <v>2.6</v>
      </c>
      <c r="AE32" s="5">
        <f t="shared" si="6"/>
        <v>2.6</v>
      </c>
      <c r="AF32" s="5" t="str">
        <f t="shared" si="7"/>
        <v>BAJO</v>
      </c>
      <c r="AG32" s="5">
        <v>2</v>
      </c>
      <c r="AH32" s="8">
        <v>4</v>
      </c>
      <c r="AI32" s="8">
        <v>4</v>
      </c>
      <c r="AJ32" s="8">
        <v>4</v>
      </c>
      <c r="AK32" s="5">
        <f t="shared" si="8"/>
        <v>4</v>
      </c>
      <c r="AL32" s="5" t="str">
        <f t="shared" si="9"/>
        <v>ALTO</v>
      </c>
      <c r="AM32" s="5">
        <v>1</v>
      </c>
      <c r="AN32" s="8">
        <v>4</v>
      </c>
      <c r="AO32" s="8">
        <v>4</v>
      </c>
      <c r="AP32" s="8">
        <v>4</v>
      </c>
      <c r="AQ32" s="5">
        <f t="shared" si="10"/>
        <v>4</v>
      </c>
      <c r="AR32" s="5" t="str">
        <f t="shared" si="11"/>
        <v>ALTO</v>
      </c>
      <c r="AS32" s="5">
        <v>4</v>
      </c>
      <c r="AT32" s="7">
        <v>3</v>
      </c>
      <c r="AU32" s="7">
        <v>3</v>
      </c>
      <c r="AV32" s="7">
        <v>3</v>
      </c>
      <c r="AW32" s="5">
        <f t="shared" si="34"/>
        <v>3</v>
      </c>
      <c r="AX32" s="5" t="str">
        <f t="shared" si="51"/>
        <v>BASICO</v>
      </c>
      <c r="AY32" s="5">
        <v>1</v>
      </c>
      <c r="AZ32" s="7">
        <v>3</v>
      </c>
      <c r="BA32" s="7">
        <v>3</v>
      </c>
      <c r="BB32" s="7">
        <v>3</v>
      </c>
      <c r="BC32" s="5">
        <f t="shared" si="13"/>
        <v>3</v>
      </c>
      <c r="BD32" s="5" t="str">
        <f t="shared" si="14"/>
        <v>BASICO</v>
      </c>
      <c r="BE32" s="7">
        <v>2</v>
      </c>
      <c r="BF32" s="7">
        <v>3.4</v>
      </c>
      <c r="BG32" s="7">
        <v>3.5</v>
      </c>
      <c r="BH32" s="7">
        <v>3.8</v>
      </c>
      <c r="BI32" s="7">
        <v>3.8</v>
      </c>
      <c r="BJ32" s="5" t="str">
        <f t="shared" si="15"/>
        <v>BASICO</v>
      </c>
      <c r="BK32" s="5">
        <v>1</v>
      </c>
      <c r="BL32" s="7">
        <v>3.3</v>
      </c>
      <c r="BM32" s="7">
        <v>3.8</v>
      </c>
      <c r="BN32" s="7">
        <v>4</v>
      </c>
      <c r="BO32" s="7">
        <v>4.3</v>
      </c>
      <c r="BP32" s="5" t="str">
        <f t="shared" si="17"/>
        <v>ALTO</v>
      </c>
      <c r="BQ32" s="5">
        <v>1</v>
      </c>
      <c r="BR32" s="7">
        <v>4.2</v>
      </c>
      <c r="BS32" s="7">
        <v>3.8</v>
      </c>
      <c r="BT32" s="7">
        <v>4</v>
      </c>
      <c r="BU32" s="5">
        <f t="shared" si="18"/>
        <v>3.9800000000000004</v>
      </c>
      <c r="BV32" s="5" t="str">
        <f t="shared" si="19"/>
        <v>BASICO</v>
      </c>
      <c r="BW32" s="5">
        <v>1</v>
      </c>
      <c r="BX32" s="7">
        <v>3.8</v>
      </c>
      <c r="BY32" s="7">
        <v>3.6</v>
      </c>
      <c r="BZ32" s="7">
        <v>4</v>
      </c>
      <c r="CA32" s="5">
        <f t="shared" si="20"/>
        <v>3.7800000000000002</v>
      </c>
      <c r="CB32" s="5" t="str">
        <f t="shared" si="21"/>
        <v>BASICO</v>
      </c>
      <c r="CC32" s="5">
        <v>1</v>
      </c>
      <c r="CD32" s="7">
        <v>4</v>
      </c>
      <c r="CE32" s="7">
        <v>4</v>
      </c>
      <c r="CF32" s="7">
        <v>4</v>
      </c>
      <c r="CG32" s="5">
        <f t="shared" si="22"/>
        <v>4</v>
      </c>
      <c r="CH32" s="5" t="str">
        <f t="shared" si="23"/>
        <v>ALTO</v>
      </c>
      <c r="CI32" s="5">
        <v>1</v>
      </c>
      <c r="CJ32" s="7">
        <v>4</v>
      </c>
      <c r="CK32" s="7">
        <v>4.2</v>
      </c>
      <c r="CL32" s="7">
        <v>4</v>
      </c>
      <c r="CM32" s="5">
        <f t="shared" si="24"/>
        <v>4.08</v>
      </c>
      <c r="CN32" s="5" t="str">
        <f t="shared" si="25"/>
        <v>ALTO</v>
      </c>
      <c r="CO32" s="5">
        <v>1</v>
      </c>
      <c r="CP32" s="7">
        <v>5</v>
      </c>
      <c r="CQ32" s="7">
        <v>5</v>
      </c>
      <c r="CR32" s="7">
        <v>5</v>
      </c>
      <c r="CS32" s="5">
        <f t="shared" si="26"/>
        <v>5</v>
      </c>
      <c r="CT32" s="5" t="str">
        <f t="shared" si="27"/>
        <v>SUPERIOR</v>
      </c>
      <c r="CU32" s="5">
        <v>2</v>
      </c>
      <c r="CV32" s="7">
        <v>3.5</v>
      </c>
      <c r="CW32" s="7">
        <v>3.5</v>
      </c>
      <c r="CX32" s="7">
        <v>3.5</v>
      </c>
      <c r="CY32" s="5">
        <f t="shared" si="28"/>
        <v>3.5</v>
      </c>
      <c r="CZ32" s="5" t="str">
        <f t="shared" si="29"/>
        <v>BASICO</v>
      </c>
      <c r="DA32" s="5">
        <v>2</v>
      </c>
      <c r="DB32" s="7">
        <v>3.5</v>
      </c>
      <c r="DC32" s="7">
        <v>3.5</v>
      </c>
      <c r="DD32" s="7">
        <v>3.5</v>
      </c>
      <c r="DE32" s="5">
        <f t="shared" si="30"/>
        <v>3.5</v>
      </c>
      <c r="DF32" s="5" t="str">
        <f t="shared" si="31"/>
        <v>BASICO</v>
      </c>
      <c r="DG32" s="5">
        <v>0</v>
      </c>
      <c r="DH32" s="7">
        <v>3.5</v>
      </c>
      <c r="DI32" s="5" t="str">
        <f t="shared" si="32"/>
        <v>BASICO</v>
      </c>
      <c r="DJ32" s="5">
        <f t="shared" si="33"/>
        <v>3.415294117647059</v>
      </c>
      <c r="DK32" s="5" t="str">
        <f t="shared" si="36"/>
        <v>Comprende el concepto de números reales, su relación de orden y las propiedades de sus operaciones, así como las relaciones de semejanza y congruencia de distintas figuras geométricas.</v>
      </c>
      <c r="DL32" s="5" t="str">
        <f t="shared" ref="DL32:FJ32" si="68">DL31</f>
        <v>Aplica correctamente las propiedades de las operaciones de números reales y expresiones algebraicas en la resolución de problemas.</v>
      </c>
      <c r="DM32" s="5" t="str">
        <f t="shared" si="68"/>
        <v>Valora el uso del pensamiento lógico a la hora de plantear y resolver problemas de las matemáticas y de la vida cotidiana.</v>
      </c>
      <c r="DN32" s="5" t="str">
        <f t="shared" si="6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2" s="5" t="str">
        <f t="shared" si="68"/>
        <v>Organiza y analiza datos mediante la construcción de tablas de frecuencias y diagramas estadísticos, identificando variables aleatorias y utilizando estas representaciones para resolver situaciones problema.</v>
      </c>
      <c r="DP32" s="5" t="str">
        <f t="shared" si="68"/>
        <v>Muestra disposición y responsabilidad en el manejo y análisis de datos, participando activamente en actividades individuales y colaborativas, y comunicando información estadística con claridad y sentido crítico.</v>
      </c>
      <c r="DQ32" s="5" t="str">
        <f t="shared" si="68"/>
        <v>Analiza las características de la literatura prehispánica y la literatura del descubrimiento y la conquista en Colombia identificando sus elementos fundamentales y su impacto en la cultura y el lenguaje actual.</v>
      </c>
      <c r="DR32" s="5" t="str">
        <f t="shared" si="68"/>
        <v>Realiza comprensión lectora cuando analiza un texto desde el discurso de la Enunciación e identifica la función de cada uno de sus componentes.
Responde preguntas en los tres niveles de lectura a una leyenda del Caribe.</v>
      </c>
      <c r="DS32" s="5" t="str">
        <f t="shared" si="68"/>
        <v>Muestra disposición para participar activamente en las clases, promoviendo el respeto por las ideas ajenas y reconociendo la importancia de la precisión como una herramienta clave para una comunicación</v>
      </c>
      <c r="DT32" s="5" t="str">
        <f t="shared" si="68"/>
        <v>Comprende el contenido del cuento A la deriva, identificando su tema central, la secuencia de los hechos, los personajes y las ideas explícitas e implícitas del texto.</v>
      </c>
      <c r="DU32" s="5" t="str">
        <f t="shared" si="68"/>
        <v>Analiza críticamente el cuento A la deriva mediante la identificación de información literal, inferencial y crítica, sustentando sus respuestas de forma oral y escrita.</v>
      </c>
      <c r="DV32" s="5" t="str">
        <f t="shared" si="68"/>
        <v>Valora la lectura literaria como una oportunidad para reflexionar sobre la vida, la naturaleza y la condición humana, participando con interés, respeto y sentido crítico en las actividades propuestas.</v>
      </c>
      <c r="DW32" s="5" t="str">
        <f t="shared" si="68"/>
        <v>Comprende y reconoce vocabulario y estructuras basicas del ingles para interpretar textos cortos y conversaciones sobre temas cotidianos de la vida diaria.</v>
      </c>
      <c r="DX32" s="5" t="str">
        <f t="shared" si="68"/>
        <v>Produce de forma oral y escrita frases y parrafos cortos en Ingles, utilizando correctamente las estructuras conocidas para describir rutinas, narrar experiencias y participar en conversaciones.</v>
      </c>
      <c r="DY32" s="5" t="str">
        <f t="shared" si="68"/>
        <v>Muestra disposicion positiva hacia el aprendizaje del Ingles participando activamente en clase.</v>
      </c>
      <c r="DZ32" s="5" t="str">
        <f t="shared" si="68"/>
        <v>Identifica vocabulario en Ingles  de situaciones cotidianas.</v>
      </c>
      <c r="EA32" s="5" t="str">
        <f t="shared" si="68"/>
        <v>Participa en actividades utilizando vocabulario aprendido para expresar gustos,emociones y necesidades.</v>
      </c>
      <c r="EB32" s="5" t="str">
        <f t="shared" si="68"/>
        <v>Respeta la opinion de los demas, muestra disposicion para participar en actividades orales.</v>
      </c>
      <c r="EC32" s="5" t="str">
        <f t="shared" si="68"/>
        <v>Identifica la conformación y funcionamiento del sistema inmunolófico y diferencia las característics de los estados de la materia.</v>
      </c>
      <c r="ED32" s="5" t="str">
        <f t="shared" si="68"/>
        <v>Reconoce experimentalmente las características de materiales en los diferentes estados de la materia.</v>
      </c>
      <c r="EE32" s="5" t="str">
        <f t="shared" si="68"/>
        <v xml:space="preserve">Valora la importancia de tener habitos saludables, para lograr el mantenimiento saludable del sistema inmune. </v>
      </c>
      <c r="EF32" s="5" t="str">
        <f t="shared" si="68"/>
        <v>Describe correctamente la secuencia de eventos biologicos de la fecundacion,incluyendo las recciones acrosomicas,la funcion de gametos y la formacion de gametos.</v>
      </c>
      <c r="EG32" s="5" t="str">
        <f t="shared" si="68"/>
        <v>Mide la capacidad del labolatrio para lograr la fecundacion exitosa de los ovulos con el espermatozoide.</v>
      </c>
      <c r="EH32" s="5" t="str">
        <f t="shared" si="68"/>
        <v>Valora la importancia del cuidado del cuerpo y de la salud reproductiva como la base para una fecundacion saludable.</v>
      </c>
      <c r="EI32" s="5" t="str">
        <f t="shared" si="68"/>
        <v>Explico las principales caracteristicas de algunas revoluciones de los siglos XVIII y XIX (Revolucion francesa, Industrial...)</v>
      </c>
      <c r="EJ32" s="5" t="str">
        <f t="shared" si="68"/>
        <v>Analiza las causas y consecuencias de procesos historicos como la Revolucion Industrial y Francesa.</v>
      </c>
      <c r="EK32" s="5" t="str">
        <f t="shared" si="68"/>
        <v>Muestra interes y curiosidad por comprender los procesos historicos y su impacto en la sociedad.</v>
      </c>
      <c r="EL32" s="5" t="str">
        <f t="shared" si="68"/>
        <v xml:space="preserve">Identifica los procesos historicos de algunas revoluciones de los siglos XVIII y XIX </v>
      </c>
      <c r="EM32" s="5">
        <f t="shared" si="68"/>
        <v>0</v>
      </c>
      <c r="EN32" s="5">
        <f t="shared" si="68"/>
        <v>0</v>
      </c>
      <c r="EO32" s="5" t="str">
        <f t="shared" si="68"/>
        <v xml:space="preserve">Comprende la distribucion espacial de la poblacion antes y despues de las revoluciones </v>
      </c>
      <c r="EP32" s="5" t="str">
        <f t="shared" si="68"/>
        <v xml:space="preserve">Ubica en mapas las regiones donde se desarrollaron las principales revoluciones y explica sus caracteristicas geograficas </v>
      </c>
      <c r="EQ32" s="5" t="str">
        <f t="shared" si="68"/>
        <v>Muestra interes por comprender la relacion entre sociedad, economia y territorio</v>
      </c>
      <c r="ER32" s="5" t="str">
        <f t="shared" si="68"/>
        <v>Comprende el concepto de cultura de paz y su importancia en la sociedad</v>
      </c>
      <c r="ES32" s="5" t="str">
        <f t="shared" si="68"/>
        <v>Practica normas de convivencia en diferentes espacios( aula, hogar, comunidad)</v>
      </c>
      <c r="ET32" s="5" t="str">
        <f t="shared" si="68"/>
        <v>Muestra actitud de respeto hacia la diversidad cuktural, social y de pensamiento</v>
      </c>
      <c r="EU32" s="5">
        <f t="shared" si="68"/>
        <v>0</v>
      </c>
      <c r="EV32" s="5">
        <f t="shared" si="68"/>
        <v>0</v>
      </c>
      <c r="EW32" s="5">
        <f t="shared" si="68"/>
        <v>0</v>
      </c>
      <c r="EX32" s="5">
        <f t="shared" si="68"/>
        <v>0</v>
      </c>
      <c r="EY32" s="5">
        <f t="shared" si="68"/>
        <v>0</v>
      </c>
      <c r="EZ32" s="5">
        <f t="shared" si="68"/>
        <v>0</v>
      </c>
      <c r="FA32" s="5">
        <f t="shared" si="68"/>
        <v>0</v>
      </c>
      <c r="FB32" s="5">
        <f t="shared" si="68"/>
        <v>0</v>
      </c>
      <c r="FC32" s="5">
        <f t="shared" si="68"/>
        <v>0</v>
      </c>
      <c r="FD32" s="5" t="str">
        <f t="shared" si="68"/>
        <v xml:space="preserve"> Identifica las expresiones motrices relacionadas con el juego del voleibol,  como una oportunidad para mejorar la salud, la estética y las relaciones con los demás.</v>
      </c>
      <c r="FE32" s="5" t="str">
        <f t="shared" si="68"/>
        <v>Pone en práctica los fundamentos básicos del voleibol.</v>
      </c>
      <c r="FF32" s="5" t="str">
        <f t="shared" si="68"/>
        <v>Muestra  responsabilidad y buena actitud al realizar el juego de voleibol.</v>
      </c>
      <c r="FG32" s="5" t="str">
        <f t="shared" si="68"/>
        <v>Comprende el concepto de variable como espacio de almacenamiento de datos y reconoce el uso de estructuras condicionales (si, si-no) para la toma de decisiones en un programa.</v>
      </c>
      <c r="FH32" s="5" t="str">
        <f t="shared" si="68"/>
        <v>Diseña y desarrolla programas que utilizan variables y estructuras condicionales para resolver problemas, evaluando condiciones y generando respuestas según diferentes situaciones.</v>
      </c>
      <c r="FI32" s="5" t="str">
        <f t="shared" si="68"/>
        <v>Muestra pensamiento lógico, perseverancia y actitud crítica al analizar errores y proponer soluciones en la construcción de programas con variables y condicionales.</v>
      </c>
      <c r="FJ32" s="5" t="str">
        <f t="shared" si="68"/>
        <v>Identifica y reconoce sus pricipales deberes y derechos dentro y fuera  de la Institución educativa.</v>
      </c>
    </row>
    <row r="33" spans="1:166" ht="15.75" customHeight="1">
      <c r="A33" s="5">
        <v>32</v>
      </c>
      <c r="B33" s="5" t="s">
        <v>166</v>
      </c>
      <c r="C33" s="6">
        <v>1043689159</v>
      </c>
      <c r="D33" s="5" t="s">
        <v>134</v>
      </c>
      <c r="E33" s="5" t="s">
        <v>135</v>
      </c>
      <c r="F33" s="5" t="s">
        <v>70</v>
      </c>
      <c r="G33" s="5" t="s">
        <v>71</v>
      </c>
      <c r="H33" s="5">
        <v>2026</v>
      </c>
      <c r="I33" s="5">
        <v>4</v>
      </c>
      <c r="J33" s="7">
        <v>2.7</v>
      </c>
      <c r="K33" s="7">
        <v>3</v>
      </c>
      <c r="L33" s="7">
        <v>3.3</v>
      </c>
      <c r="M33" s="5">
        <f t="shared" si="0"/>
        <v>3</v>
      </c>
      <c r="N33" s="5" t="str">
        <f t="shared" si="1"/>
        <v>BASICO</v>
      </c>
      <c r="O33" s="5">
        <v>1</v>
      </c>
      <c r="P33" s="7">
        <v>2.8</v>
      </c>
      <c r="Q33" s="7">
        <v>2.8</v>
      </c>
      <c r="R33" s="7">
        <v>2.8</v>
      </c>
      <c r="S33" s="5">
        <f t="shared" si="2"/>
        <v>2.8</v>
      </c>
      <c r="T33" s="5" t="str">
        <f t="shared" si="3"/>
        <v>BAJO</v>
      </c>
      <c r="U33" s="5">
        <v>4</v>
      </c>
      <c r="V33" s="7"/>
      <c r="W33" s="7"/>
      <c r="X33" s="7"/>
      <c r="Y33" s="5">
        <f t="shared" si="4"/>
        <v>0</v>
      </c>
      <c r="Z33" s="5" t="str">
        <f t="shared" si="5"/>
        <v>BAJO</v>
      </c>
      <c r="AA33" s="5">
        <v>1</v>
      </c>
      <c r="AB33" s="7">
        <v>4.0999999999999996</v>
      </c>
      <c r="AC33" s="7">
        <v>4.0999999999999996</v>
      </c>
      <c r="AD33" s="7">
        <v>4.0999999999999996</v>
      </c>
      <c r="AE33" s="5">
        <f t="shared" si="6"/>
        <v>4.0999999999999996</v>
      </c>
      <c r="AF33" s="5" t="str">
        <f t="shared" si="7"/>
        <v>ALTO</v>
      </c>
      <c r="AG33" s="5">
        <v>2</v>
      </c>
      <c r="AH33" s="8">
        <v>4.5</v>
      </c>
      <c r="AI33" s="8">
        <v>4.5</v>
      </c>
      <c r="AJ33" s="8">
        <v>4.5</v>
      </c>
      <c r="AK33" s="5">
        <f t="shared" si="8"/>
        <v>4.5</v>
      </c>
      <c r="AL33" s="5" t="str">
        <f t="shared" si="9"/>
        <v>SUPERIOR</v>
      </c>
      <c r="AM33" s="5">
        <v>1</v>
      </c>
      <c r="AN33" s="8">
        <v>4.5</v>
      </c>
      <c r="AO33" s="8">
        <v>4.5</v>
      </c>
      <c r="AP33" s="8">
        <v>4.5</v>
      </c>
      <c r="AQ33" s="5">
        <f t="shared" si="10"/>
        <v>4.5</v>
      </c>
      <c r="AR33" s="5" t="str">
        <f t="shared" si="11"/>
        <v>SUPERIOR</v>
      </c>
      <c r="AS33" s="5">
        <v>4</v>
      </c>
      <c r="AT33" s="7">
        <v>3.5</v>
      </c>
      <c r="AU33" s="7">
        <v>3.5</v>
      </c>
      <c r="AV33" s="7">
        <v>3.5</v>
      </c>
      <c r="AW33" s="5">
        <f t="shared" si="34"/>
        <v>3.5</v>
      </c>
      <c r="AX33" s="5" t="str">
        <f t="shared" si="51"/>
        <v>BASICO</v>
      </c>
      <c r="AY33" s="5">
        <v>1</v>
      </c>
      <c r="AZ33" s="7">
        <v>3</v>
      </c>
      <c r="BA33" s="7">
        <v>3.2</v>
      </c>
      <c r="BB33" s="7">
        <v>3.2</v>
      </c>
      <c r="BC33" s="5">
        <f t="shared" si="13"/>
        <v>3.14</v>
      </c>
      <c r="BD33" s="5" t="str">
        <f t="shared" si="14"/>
        <v>BASICO</v>
      </c>
      <c r="BE33" s="7">
        <v>2</v>
      </c>
      <c r="BF33" s="7">
        <v>4</v>
      </c>
      <c r="BG33" s="7">
        <v>3.8</v>
      </c>
      <c r="BH33" s="7">
        <v>4.3</v>
      </c>
      <c r="BI33" s="5">
        <f t="shared" ref="BI33:BI34" si="69">((BF33*0.3)+(BG33*0.4)+(BH33*0.3))</f>
        <v>4.01</v>
      </c>
      <c r="BJ33" s="5" t="str">
        <f t="shared" si="15"/>
        <v>ALTO</v>
      </c>
      <c r="BK33" s="5">
        <v>1</v>
      </c>
      <c r="BL33" s="7">
        <v>4.2</v>
      </c>
      <c r="BM33" s="7">
        <v>3.9</v>
      </c>
      <c r="BN33" s="7">
        <v>4.2</v>
      </c>
      <c r="BO33" s="5">
        <f t="shared" ref="BO33:BO40" si="70">((BL33*0.3)+(BM33*0.4)+(BN33*0.3))</f>
        <v>4.08</v>
      </c>
      <c r="BP33" s="5" t="str">
        <f t="shared" si="17"/>
        <v>ALTO</v>
      </c>
      <c r="BQ33" s="5">
        <v>1</v>
      </c>
      <c r="BR33" s="7">
        <v>4</v>
      </c>
      <c r="BS33" s="7">
        <v>3.8</v>
      </c>
      <c r="BT33" s="7">
        <v>4.2</v>
      </c>
      <c r="BU33" s="5">
        <f t="shared" si="18"/>
        <v>3.9799999999999995</v>
      </c>
      <c r="BV33" s="5" t="str">
        <f t="shared" si="19"/>
        <v>BASICO</v>
      </c>
      <c r="BW33" s="5">
        <v>1</v>
      </c>
      <c r="BX33" s="7">
        <v>3.5</v>
      </c>
      <c r="BY33" s="7">
        <v>3.8</v>
      </c>
      <c r="BZ33" s="7">
        <v>4</v>
      </c>
      <c r="CA33" s="5">
        <f t="shared" si="20"/>
        <v>3.7700000000000005</v>
      </c>
      <c r="CB33" s="5" t="str">
        <f t="shared" si="21"/>
        <v>BASICO</v>
      </c>
      <c r="CC33" s="5">
        <v>1</v>
      </c>
      <c r="CD33" s="7">
        <v>4</v>
      </c>
      <c r="CE33" s="7">
        <v>3.8</v>
      </c>
      <c r="CF33" s="7">
        <v>3.8</v>
      </c>
      <c r="CG33" s="5">
        <f t="shared" si="22"/>
        <v>3.8599999999999994</v>
      </c>
      <c r="CH33" s="5" t="str">
        <f t="shared" si="23"/>
        <v>BASICO</v>
      </c>
      <c r="CI33" s="5">
        <v>1</v>
      </c>
      <c r="CJ33" s="7">
        <v>4.5</v>
      </c>
      <c r="CK33" s="7">
        <v>4.5</v>
      </c>
      <c r="CL33" s="7">
        <v>4.5</v>
      </c>
      <c r="CM33" s="5">
        <f t="shared" si="24"/>
        <v>4.5</v>
      </c>
      <c r="CN33" s="5" t="str">
        <f t="shared" si="25"/>
        <v>SUPERIOR</v>
      </c>
      <c r="CO33" s="5">
        <v>1</v>
      </c>
      <c r="CP33" s="7">
        <v>5</v>
      </c>
      <c r="CQ33" s="7">
        <v>5</v>
      </c>
      <c r="CR33" s="7">
        <v>5</v>
      </c>
      <c r="CS33" s="5">
        <f t="shared" si="26"/>
        <v>5</v>
      </c>
      <c r="CT33" s="5" t="str">
        <f t="shared" si="27"/>
        <v>SUPERIOR</v>
      </c>
      <c r="CU33" s="5">
        <v>2</v>
      </c>
      <c r="CV33" s="7">
        <v>3.5</v>
      </c>
      <c r="CW33" s="7">
        <v>3.5</v>
      </c>
      <c r="CX33" s="7">
        <v>3.5</v>
      </c>
      <c r="CY33" s="5">
        <f t="shared" si="28"/>
        <v>3.5</v>
      </c>
      <c r="CZ33" s="5" t="str">
        <f t="shared" si="29"/>
        <v>BASICO</v>
      </c>
      <c r="DA33" s="5">
        <v>2</v>
      </c>
      <c r="DB33" s="7">
        <v>4</v>
      </c>
      <c r="DC33" s="7">
        <v>4</v>
      </c>
      <c r="DD33" s="7">
        <v>4.5</v>
      </c>
      <c r="DE33" s="5">
        <f t="shared" si="30"/>
        <v>4.1499999999999995</v>
      </c>
      <c r="DF33" s="5" t="str">
        <f t="shared" si="31"/>
        <v>ALTO</v>
      </c>
      <c r="DG33" s="5">
        <v>0</v>
      </c>
      <c r="DH33" s="7">
        <v>4.5</v>
      </c>
      <c r="DI33" s="5" t="str">
        <f t="shared" si="32"/>
        <v>SUPERIOR</v>
      </c>
      <c r="DJ33" s="5">
        <f t="shared" si="33"/>
        <v>3.7005882352941173</v>
      </c>
      <c r="DK33" s="5" t="str">
        <f t="shared" si="36"/>
        <v>Comprende el concepto de números reales, su relación de orden y las propiedades de sus operaciones, así como las relaciones de semejanza y congruencia de distintas figuras geométricas.</v>
      </c>
      <c r="DL33" s="5" t="str">
        <f t="shared" ref="DL33:FJ33" si="71">DL32</f>
        <v>Aplica correctamente las propiedades de las operaciones de números reales y expresiones algebraicas en la resolución de problemas.</v>
      </c>
      <c r="DM33" s="5" t="str">
        <f t="shared" si="71"/>
        <v>Valora el uso del pensamiento lógico a la hora de plantear y resolver problemas de las matemáticas y de la vida cotidiana.</v>
      </c>
      <c r="DN33" s="5" t="str">
        <f t="shared" si="7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3" s="5" t="str">
        <f t="shared" si="71"/>
        <v>Organiza y analiza datos mediante la construcción de tablas de frecuencias y diagramas estadísticos, identificando variables aleatorias y utilizando estas representaciones para resolver situaciones problema.</v>
      </c>
      <c r="DP33" s="5" t="str">
        <f t="shared" si="71"/>
        <v>Muestra disposición y responsabilidad en el manejo y análisis de datos, participando activamente en actividades individuales y colaborativas, y comunicando información estadística con claridad y sentido crítico.</v>
      </c>
      <c r="DQ33" s="5" t="str">
        <f t="shared" si="71"/>
        <v>Analiza las características de la literatura prehispánica y la literatura del descubrimiento y la conquista en Colombia identificando sus elementos fundamentales y su impacto en la cultura y el lenguaje actual.</v>
      </c>
      <c r="DR33" s="5" t="str">
        <f t="shared" si="71"/>
        <v>Realiza comprensión lectora cuando analiza un texto desde el discurso de la Enunciación e identifica la función de cada uno de sus componentes.
Responde preguntas en los tres niveles de lectura a una leyenda del Caribe.</v>
      </c>
      <c r="DS33" s="5" t="str">
        <f t="shared" si="71"/>
        <v>Muestra disposición para participar activamente en las clases, promoviendo el respeto por las ideas ajenas y reconociendo la importancia de la precisión como una herramienta clave para una comunicación</v>
      </c>
      <c r="DT33" s="5" t="str">
        <f t="shared" si="71"/>
        <v>Comprende el contenido del cuento A la deriva, identificando su tema central, la secuencia de los hechos, los personajes y las ideas explícitas e implícitas del texto.</v>
      </c>
      <c r="DU33" s="5" t="str">
        <f t="shared" si="71"/>
        <v>Analiza críticamente el cuento A la deriva mediante la identificación de información literal, inferencial y crítica, sustentando sus respuestas de forma oral y escrita.</v>
      </c>
      <c r="DV33" s="5" t="str">
        <f t="shared" si="71"/>
        <v>Valora la lectura literaria como una oportunidad para reflexionar sobre la vida, la naturaleza y la condición humana, participando con interés, respeto y sentido crítico en las actividades propuestas.</v>
      </c>
      <c r="DW33" s="5" t="str">
        <f t="shared" si="71"/>
        <v>Comprende y reconoce vocabulario y estructuras basicas del ingles para interpretar textos cortos y conversaciones sobre temas cotidianos de la vida diaria.</v>
      </c>
      <c r="DX33" s="5" t="str">
        <f t="shared" si="71"/>
        <v>Produce de forma oral y escrita frases y parrafos cortos en Ingles, utilizando correctamente las estructuras conocidas para describir rutinas, narrar experiencias y participar en conversaciones.</v>
      </c>
      <c r="DY33" s="5" t="str">
        <f t="shared" si="71"/>
        <v>Muestra disposicion positiva hacia el aprendizaje del Ingles participando activamente en clase.</v>
      </c>
      <c r="DZ33" s="5" t="str">
        <f t="shared" si="71"/>
        <v>Identifica vocabulario en Ingles  de situaciones cotidianas.</v>
      </c>
      <c r="EA33" s="5" t="str">
        <f t="shared" si="71"/>
        <v>Participa en actividades utilizando vocabulario aprendido para expresar gustos,emociones y necesidades.</v>
      </c>
      <c r="EB33" s="5" t="str">
        <f t="shared" si="71"/>
        <v>Respeta la opinion de los demas, muestra disposicion para participar en actividades orales.</v>
      </c>
      <c r="EC33" s="5" t="str">
        <f t="shared" si="71"/>
        <v>Identifica la conformación y funcionamiento del sistema inmunolófico y diferencia las característics de los estados de la materia.</v>
      </c>
      <c r="ED33" s="5" t="str">
        <f t="shared" si="71"/>
        <v>Reconoce experimentalmente las características de materiales en los diferentes estados de la materia.</v>
      </c>
      <c r="EE33" s="5" t="str">
        <f t="shared" si="71"/>
        <v xml:space="preserve">Valora la importancia de tener habitos saludables, para lograr el mantenimiento saludable del sistema inmune. </v>
      </c>
      <c r="EF33" s="5" t="str">
        <f t="shared" si="71"/>
        <v>Describe correctamente la secuencia de eventos biologicos de la fecundacion,incluyendo las recciones acrosomicas,la funcion de gametos y la formacion de gametos.</v>
      </c>
      <c r="EG33" s="5" t="str">
        <f t="shared" si="71"/>
        <v>Mide la capacidad del labolatrio para lograr la fecundacion exitosa de los ovulos con el espermatozoide.</v>
      </c>
      <c r="EH33" s="5" t="str">
        <f t="shared" si="71"/>
        <v>Valora la importancia del cuidado del cuerpo y de la salud reproductiva como la base para una fecundacion saludable.</v>
      </c>
      <c r="EI33" s="5" t="str">
        <f t="shared" si="71"/>
        <v>Explico las principales caracteristicas de algunas revoluciones de los siglos XVIII y XIX (Revolucion francesa, Industrial...)</v>
      </c>
      <c r="EJ33" s="5" t="str">
        <f t="shared" si="71"/>
        <v>Analiza las causas y consecuencias de procesos historicos como la Revolucion Industrial y Francesa.</v>
      </c>
      <c r="EK33" s="5" t="str">
        <f t="shared" si="71"/>
        <v>Muestra interes y curiosidad por comprender los procesos historicos y su impacto en la sociedad.</v>
      </c>
      <c r="EL33" s="5" t="str">
        <f t="shared" si="71"/>
        <v xml:space="preserve">Identifica los procesos historicos de algunas revoluciones de los siglos XVIII y XIX </v>
      </c>
      <c r="EM33" s="5">
        <f t="shared" si="71"/>
        <v>0</v>
      </c>
      <c r="EN33" s="5">
        <f t="shared" si="71"/>
        <v>0</v>
      </c>
      <c r="EO33" s="5" t="str">
        <f t="shared" si="71"/>
        <v xml:space="preserve">Comprende la distribucion espacial de la poblacion antes y despues de las revoluciones </v>
      </c>
      <c r="EP33" s="5" t="str">
        <f t="shared" si="71"/>
        <v xml:space="preserve">Ubica en mapas las regiones donde se desarrollaron las principales revoluciones y explica sus caracteristicas geograficas </v>
      </c>
      <c r="EQ33" s="5" t="str">
        <f t="shared" si="71"/>
        <v>Muestra interes por comprender la relacion entre sociedad, economia y territorio</v>
      </c>
      <c r="ER33" s="5" t="str">
        <f t="shared" si="71"/>
        <v>Comprende el concepto de cultura de paz y su importancia en la sociedad</v>
      </c>
      <c r="ES33" s="5" t="str">
        <f t="shared" si="71"/>
        <v>Practica normas de convivencia en diferentes espacios( aula, hogar, comunidad)</v>
      </c>
      <c r="ET33" s="5" t="str">
        <f t="shared" si="71"/>
        <v>Muestra actitud de respeto hacia la diversidad cuktural, social y de pensamiento</v>
      </c>
      <c r="EU33" s="5">
        <f t="shared" si="71"/>
        <v>0</v>
      </c>
      <c r="EV33" s="5">
        <f t="shared" si="71"/>
        <v>0</v>
      </c>
      <c r="EW33" s="5">
        <f t="shared" si="71"/>
        <v>0</v>
      </c>
      <c r="EX33" s="5">
        <f t="shared" si="71"/>
        <v>0</v>
      </c>
      <c r="EY33" s="5">
        <f t="shared" si="71"/>
        <v>0</v>
      </c>
      <c r="EZ33" s="5">
        <f t="shared" si="71"/>
        <v>0</v>
      </c>
      <c r="FA33" s="5">
        <f t="shared" si="71"/>
        <v>0</v>
      </c>
      <c r="FB33" s="5">
        <f t="shared" si="71"/>
        <v>0</v>
      </c>
      <c r="FC33" s="5">
        <f t="shared" si="71"/>
        <v>0</v>
      </c>
      <c r="FD33" s="5" t="str">
        <f t="shared" si="71"/>
        <v xml:space="preserve"> Identifica las expresiones motrices relacionadas con el juego del voleibol,  como una oportunidad para mejorar la salud, la estética y las relaciones con los demás.</v>
      </c>
      <c r="FE33" s="5" t="str">
        <f t="shared" si="71"/>
        <v>Pone en práctica los fundamentos básicos del voleibol.</v>
      </c>
      <c r="FF33" s="5" t="str">
        <f t="shared" si="71"/>
        <v>Muestra  responsabilidad y buena actitud al realizar el juego de voleibol.</v>
      </c>
      <c r="FG33" s="5" t="str">
        <f t="shared" si="71"/>
        <v>Comprende el concepto de variable como espacio de almacenamiento de datos y reconoce el uso de estructuras condicionales (si, si-no) para la toma de decisiones en un programa.</v>
      </c>
      <c r="FH33" s="5" t="str">
        <f t="shared" si="71"/>
        <v>Diseña y desarrolla programas que utilizan variables y estructuras condicionales para resolver problemas, evaluando condiciones y generando respuestas según diferentes situaciones.</v>
      </c>
      <c r="FI33" s="5" t="str">
        <f t="shared" si="71"/>
        <v>Muestra pensamiento lógico, perseverancia y actitud crítica al analizar errores y proponer soluciones en la construcción de programas con variables y condicionales.</v>
      </c>
      <c r="FJ33" s="5" t="str">
        <f t="shared" si="71"/>
        <v>Identifica y reconoce sus pricipales deberes y derechos dentro y fuera  de la Institución educativa.</v>
      </c>
    </row>
    <row r="34" spans="1:166" ht="15.75" customHeight="1">
      <c r="A34" s="5">
        <v>33</v>
      </c>
      <c r="B34" s="5" t="s">
        <v>167</v>
      </c>
      <c r="C34" s="6" t="s">
        <v>168</v>
      </c>
      <c r="D34" s="5" t="s">
        <v>134</v>
      </c>
      <c r="E34" s="5" t="s">
        <v>135</v>
      </c>
      <c r="F34" s="5" t="s">
        <v>70</v>
      </c>
      <c r="G34" s="5" t="s">
        <v>71</v>
      </c>
      <c r="H34" s="5">
        <v>2026</v>
      </c>
      <c r="I34" s="5">
        <v>4</v>
      </c>
      <c r="J34" s="7">
        <v>3.4</v>
      </c>
      <c r="K34" s="7">
        <v>3.5</v>
      </c>
      <c r="L34" s="7">
        <v>3.6</v>
      </c>
      <c r="M34" s="5">
        <f t="shared" si="0"/>
        <v>3.5</v>
      </c>
      <c r="N34" s="5" t="str">
        <f t="shared" si="1"/>
        <v>BASICO</v>
      </c>
      <c r="O34" s="5">
        <v>1</v>
      </c>
      <c r="P34" s="7">
        <v>2.2000000000000002</v>
      </c>
      <c r="Q34" s="7">
        <v>2.2000000000000002</v>
      </c>
      <c r="R34" s="7">
        <v>2.2000000000000002</v>
      </c>
      <c r="S34" s="5">
        <f t="shared" si="2"/>
        <v>2.2000000000000002</v>
      </c>
      <c r="T34" s="5" t="str">
        <f t="shared" si="3"/>
        <v>BAJO</v>
      </c>
      <c r="U34" s="5">
        <v>4</v>
      </c>
      <c r="V34" s="7"/>
      <c r="W34" s="7"/>
      <c r="X34" s="7"/>
      <c r="Y34" s="5">
        <f t="shared" si="4"/>
        <v>0</v>
      </c>
      <c r="Z34" s="5" t="str">
        <f t="shared" si="5"/>
        <v>BAJO</v>
      </c>
      <c r="AA34" s="5">
        <v>1</v>
      </c>
      <c r="AB34" s="7">
        <v>3</v>
      </c>
      <c r="AC34" s="7">
        <v>3</v>
      </c>
      <c r="AD34" s="7">
        <v>3</v>
      </c>
      <c r="AE34" s="5">
        <f t="shared" si="6"/>
        <v>3</v>
      </c>
      <c r="AF34" s="5" t="str">
        <f t="shared" si="7"/>
        <v>BASICO</v>
      </c>
      <c r="AG34" s="5">
        <v>2</v>
      </c>
      <c r="AH34" s="8">
        <v>4</v>
      </c>
      <c r="AI34" s="8">
        <v>4</v>
      </c>
      <c r="AJ34" s="8">
        <v>4</v>
      </c>
      <c r="AK34" s="5">
        <f t="shared" si="8"/>
        <v>4</v>
      </c>
      <c r="AL34" s="5" t="str">
        <f t="shared" si="9"/>
        <v>ALTO</v>
      </c>
      <c r="AM34" s="5">
        <v>1</v>
      </c>
      <c r="AN34" s="8">
        <v>4</v>
      </c>
      <c r="AO34" s="8">
        <v>4</v>
      </c>
      <c r="AP34" s="8">
        <v>4</v>
      </c>
      <c r="AQ34" s="5">
        <f t="shared" si="10"/>
        <v>4</v>
      </c>
      <c r="AR34" s="5" t="str">
        <f t="shared" si="11"/>
        <v>ALTO</v>
      </c>
      <c r="AS34" s="5">
        <v>4</v>
      </c>
      <c r="AT34" s="7">
        <v>4</v>
      </c>
      <c r="AU34" s="7">
        <v>4</v>
      </c>
      <c r="AV34" s="7">
        <v>4</v>
      </c>
      <c r="AW34" s="5">
        <f t="shared" si="34"/>
        <v>4</v>
      </c>
      <c r="AX34" s="5" t="str">
        <f t="shared" si="51"/>
        <v>ALTO</v>
      </c>
      <c r="AY34" s="5">
        <v>1</v>
      </c>
      <c r="AZ34" s="7">
        <v>4</v>
      </c>
      <c r="BA34" s="7">
        <v>3.2</v>
      </c>
      <c r="BB34" s="7">
        <v>3.4</v>
      </c>
      <c r="BC34" s="5">
        <f t="shared" si="13"/>
        <v>3.5000000000000004</v>
      </c>
      <c r="BD34" s="5" t="str">
        <f t="shared" si="14"/>
        <v>BASICO</v>
      </c>
      <c r="BE34" s="7">
        <v>2</v>
      </c>
      <c r="BF34" s="7">
        <v>3.3</v>
      </c>
      <c r="BG34" s="7">
        <v>3.2</v>
      </c>
      <c r="BH34" s="7">
        <v>3.5</v>
      </c>
      <c r="BI34" s="5">
        <f t="shared" si="69"/>
        <v>3.3200000000000003</v>
      </c>
      <c r="BJ34" s="5" t="str">
        <f t="shared" si="15"/>
        <v>BASICO</v>
      </c>
      <c r="BK34" s="5">
        <v>1</v>
      </c>
      <c r="BL34" s="7">
        <v>3.3</v>
      </c>
      <c r="BM34" s="7">
        <v>3.6</v>
      </c>
      <c r="BN34" s="7">
        <v>3.8</v>
      </c>
      <c r="BO34" s="5">
        <f t="shared" si="70"/>
        <v>3.5700000000000003</v>
      </c>
      <c r="BP34" s="5" t="str">
        <f t="shared" si="17"/>
        <v>BASICO</v>
      </c>
      <c r="BQ34" s="5">
        <v>1</v>
      </c>
      <c r="BR34" s="7">
        <v>3.4</v>
      </c>
      <c r="BS34" s="7">
        <v>3.5</v>
      </c>
      <c r="BT34" s="7">
        <v>3.8</v>
      </c>
      <c r="BU34" s="5">
        <f t="shared" si="18"/>
        <v>3.5599999999999996</v>
      </c>
      <c r="BV34" s="5" t="str">
        <f t="shared" si="19"/>
        <v>BASICO</v>
      </c>
      <c r="BW34" s="5">
        <v>1</v>
      </c>
      <c r="BX34" s="7">
        <v>3.3</v>
      </c>
      <c r="BY34" s="7">
        <v>3.4</v>
      </c>
      <c r="BZ34" s="7">
        <v>3.8</v>
      </c>
      <c r="CA34" s="5">
        <f t="shared" si="20"/>
        <v>3.49</v>
      </c>
      <c r="CB34" s="5" t="str">
        <f t="shared" si="21"/>
        <v>BASICO</v>
      </c>
      <c r="CC34" s="5">
        <v>1</v>
      </c>
      <c r="CD34" s="7">
        <v>3.5</v>
      </c>
      <c r="CE34" s="7">
        <v>3.6</v>
      </c>
      <c r="CF34" s="7">
        <v>3.6</v>
      </c>
      <c r="CG34" s="5">
        <f t="shared" si="22"/>
        <v>3.5700000000000003</v>
      </c>
      <c r="CH34" s="5" t="str">
        <f t="shared" si="23"/>
        <v>BASICO</v>
      </c>
      <c r="CI34" s="5">
        <v>1</v>
      </c>
      <c r="CJ34" s="7">
        <v>4.5</v>
      </c>
      <c r="CK34" s="7">
        <v>4.5</v>
      </c>
      <c r="CL34" s="7">
        <v>4.5</v>
      </c>
      <c r="CM34" s="5">
        <f t="shared" si="24"/>
        <v>4.5</v>
      </c>
      <c r="CN34" s="5" t="str">
        <f t="shared" si="25"/>
        <v>SUPERIOR</v>
      </c>
      <c r="CO34" s="5">
        <v>1</v>
      </c>
      <c r="CP34" s="7">
        <v>5</v>
      </c>
      <c r="CQ34" s="7">
        <v>5</v>
      </c>
      <c r="CR34" s="7">
        <v>5</v>
      </c>
      <c r="CS34" s="5">
        <f t="shared" si="26"/>
        <v>5</v>
      </c>
      <c r="CT34" s="5" t="str">
        <f t="shared" si="27"/>
        <v>SUPERIOR</v>
      </c>
      <c r="CU34" s="5">
        <v>2</v>
      </c>
      <c r="CV34" s="7">
        <v>2.5</v>
      </c>
      <c r="CW34" s="7">
        <v>2.5</v>
      </c>
      <c r="CX34" s="7">
        <v>2.5</v>
      </c>
      <c r="CY34" s="5">
        <f t="shared" si="28"/>
        <v>2.5</v>
      </c>
      <c r="CZ34" s="5" t="str">
        <f t="shared" si="29"/>
        <v>BAJO</v>
      </c>
      <c r="DA34" s="5">
        <v>2</v>
      </c>
      <c r="DB34" s="7">
        <v>3.5</v>
      </c>
      <c r="DC34" s="7">
        <v>3.5</v>
      </c>
      <c r="DD34" s="7">
        <v>4.3</v>
      </c>
      <c r="DE34" s="5">
        <f t="shared" si="30"/>
        <v>3.74</v>
      </c>
      <c r="DF34" s="5" t="str">
        <f t="shared" si="31"/>
        <v>BASICO</v>
      </c>
      <c r="DG34" s="5">
        <v>0</v>
      </c>
      <c r="DH34" s="7">
        <v>4.3</v>
      </c>
      <c r="DI34" s="5" t="str">
        <f t="shared" si="32"/>
        <v>ALTO</v>
      </c>
      <c r="DJ34" s="5">
        <f t="shared" si="33"/>
        <v>3.4229411764705886</v>
      </c>
      <c r="DK34" s="5" t="str">
        <f t="shared" si="36"/>
        <v>Comprende el concepto de números reales, su relación de orden y las propiedades de sus operaciones, así como las relaciones de semejanza y congruencia de distintas figuras geométricas.</v>
      </c>
      <c r="DL34" s="5" t="str">
        <f t="shared" ref="DL34:FJ34" si="72">DL33</f>
        <v>Aplica correctamente las propiedades de las operaciones de números reales y expresiones algebraicas en la resolución de problemas.</v>
      </c>
      <c r="DM34" s="5" t="str">
        <f t="shared" si="72"/>
        <v>Valora el uso del pensamiento lógico a la hora de plantear y resolver problemas de las matemáticas y de la vida cotidiana.</v>
      </c>
      <c r="DN34" s="5" t="str">
        <f t="shared" si="7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4" s="5" t="str">
        <f t="shared" si="72"/>
        <v>Organiza y analiza datos mediante la construcción de tablas de frecuencias y diagramas estadísticos, identificando variables aleatorias y utilizando estas representaciones para resolver situaciones problema.</v>
      </c>
      <c r="DP34" s="5" t="str">
        <f t="shared" si="72"/>
        <v>Muestra disposición y responsabilidad en el manejo y análisis de datos, participando activamente en actividades individuales y colaborativas, y comunicando información estadística con claridad y sentido crítico.</v>
      </c>
      <c r="DQ34" s="5" t="str">
        <f t="shared" si="72"/>
        <v>Analiza las características de la literatura prehispánica y la literatura del descubrimiento y la conquista en Colombia identificando sus elementos fundamentales y su impacto en la cultura y el lenguaje actual.</v>
      </c>
      <c r="DR34" s="5" t="str">
        <f t="shared" si="72"/>
        <v>Realiza comprensión lectora cuando analiza un texto desde el discurso de la Enunciación e identifica la función de cada uno de sus componentes.
Responde preguntas en los tres niveles de lectura a una leyenda del Caribe.</v>
      </c>
      <c r="DS34" s="5" t="str">
        <f t="shared" si="72"/>
        <v>Muestra disposición para participar activamente en las clases, promoviendo el respeto por las ideas ajenas y reconociendo la importancia de la precisión como una herramienta clave para una comunicación</v>
      </c>
      <c r="DT34" s="5" t="str">
        <f t="shared" si="72"/>
        <v>Comprende el contenido del cuento A la deriva, identificando su tema central, la secuencia de los hechos, los personajes y las ideas explícitas e implícitas del texto.</v>
      </c>
      <c r="DU34" s="5" t="str">
        <f t="shared" si="72"/>
        <v>Analiza críticamente el cuento A la deriva mediante la identificación de información literal, inferencial y crítica, sustentando sus respuestas de forma oral y escrita.</v>
      </c>
      <c r="DV34" s="5" t="str">
        <f t="shared" si="72"/>
        <v>Valora la lectura literaria como una oportunidad para reflexionar sobre la vida, la naturaleza y la condición humana, participando con interés, respeto y sentido crítico en las actividades propuestas.</v>
      </c>
      <c r="DW34" s="5" t="str">
        <f t="shared" si="72"/>
        <v>Comprende y reconoce vocabulario y estructuras basicas del ingles para interpretar textos cortos y conversaciones sobre temas cotidianos de la vida diaria.</v>
      </c>
      <c r="DX34" s="5" t="str">
        <f t="shared" si="72"/>
        <v>Produce de forma oral y escrita frases y parrafos cortos en Ingles, utilizando correctamente las estructuras conocidas para describir rutinas, narrar experiencias y participar en conversaciones.</v>
      </c>
      <c r="DY34" s="5" t="str">
        <f t="shared" si="72"/>
        <v>Muestra disposicion positiva hacia el aprendizaje del Ingles participando activamente en clase.</v>
      </c>
      <c r="DZ34" s="5" t="str">
        <f t="shared" si="72"/>
        <v>Identifica vocabulario en Ingles  de situaciones cotidianas.</v>
      </c>
      <c r="EA34" s="5" t="str">
        <f t="shared" si="72"/>
        <v>Participa en actividades utilizando vocabulario aprendido para expresar gustos,emociones y necesidades.</v>
      </c>
      <c r="EB34" s="5" t="str">
        <f t="shared" si="72"/>
        <v>Respeta la opinion de los demas, muestra disposicion para participar en actividades orales.</v>
      </c>
      <c r="EC34" s="5" t="str">
        <f t="shared" si="72"/>
        <v>Identifica la conformación y funcionamiento del sistema inmunolófico y diferencia las característics de los estados de la materia.</v>
      </c>
      <c r="ED34" s="5" t="str">
        <f t="shared" si="72"/>
        <v>Reconoce experimentalmente las características de materiales en los diferentes estados de la materia.</v>
      </c>
      <c r="EE34" s="5" t="str">
        <f t="shared" si="72"/>
        <v xml:space="preserve">Valora la importancia de tener habitos saludables, para lograr el mantenimiento saludable del sistema inmune. </v>
      </c>
      <c r="EF34" s="5" t="str">
        <f t="shared" si="72"/>
        <v>Describe correctamente la secuencia de eventos biologicos de la fecundacion,incluyendo las recciones acrosomicas,la funcion de gametos y la formacion de gametos.</v>
      </c>
      <c r="EG34" s="5" t="str">
        <f t="shared" si="72"/>
        <v>Mide la capacidad del labolatrio para lograr la fecundacion exitosa de los ovulos con el espermatozoide.</v>
      </c>
      <c r="EH34" s="5" t="str">
        <f t="shared" si="72"/>
        <v>Valora la importancia del cuidado del cuerpo y de la salud reproductiva como la base para una fecundacion saludable.</v>
      </c>
      <c r="EI34" s="5" t="str">
        <f t="shared" si="72"/>
        <v>Explico las principales caracteristicas de algunas revoluciones de los siglos XVIII y XIX (Revolucion francesa, Industrial...)</v>
      </c>
      <c r="EJ34" s="5" t="str">
        <f t="shared" si="72"/>
        <v>Analiza las causas y consecuencias de procesos historicos como la Revolucion Industrial y Francesa.</v>
      </c>
      <c r="EK34" s="5" t="str">
        <f t="shared" si="72"/>
        <v>Muestra interes y curiosidad por comprender los procesos historicos y su impacto en la sociedad.</v>
      </c>
      <c r="EL34" s="5" t="str">
        <f t="shared" si="72"/>
        <v xml:space="preserve">Identifica los procesos historicos de algunas revoluciones de los siglos XVIII y XIX </v>
      </c>
      <c r="EM34" s="5">
        <f t="shared" si="72"/>
        <v>0</v>
      </c>
      <c r="EN34" s="5">
        <f t="shared" si="72"/>
        <v>0</v>
      </c>
      <c r="EO34" s="5" t="str">
        <f t="shared" si="72"/>
        <v xml:space="preserve">Comprende la distribucion espacial de la poblacion antes y despues de las revoluciones </v>
      </c>
      <c r="EP34" s="5" t="str">
        <f t="shared" si="72"/>
        <v xml:space="preserve">Ubica en mapas las regiones donde se desarrollaron las principales revoluciones y explica sus caracteristicas geograficas </v>
      </c>
      <c r="EQ34" s="5" t="str">
        <f t="shared" si="72"/>
        <v>Muestra interes por comprender la relacion entre sociedad, economia y territorio</v>
      </c>
      <c r="ER34" s="5" t="str">
        <f t="shared" si="72"/>
        <v>Comprende el concepto de cultura de paz y su importancia en la sociedad</v>
      </c>
      <c r="ES34" s="5" t="str">
        <f t="shared" si="72"/>
        <v>Practica normas de convivencia en diferentes espacios( aula, hogar, comunidad)</v>
      </c>
      <c r="ET34" s="5" t="str">
        <f t="shared" si="72"/>
        <v>Muestra actitud de respeto hacia la diversidad cuktural, social y de pensamiento</v>
      </c>
      <c r="EU34" s="5">
        <f t="shared" si="72"/>
        <v>0</v>
      </c>
      <c r="EV34" s="5">
        <f t="shared" si="72"/>
        <v>0</v>
      </c>
      <c r="EW34" s="5">
        <f t="shared" si="72"/>
        <v>0</v>
      </c>
      <c r="EX34" s="5">
        <f t="shared" si="72"/>
        <v>0</v>
      </c>
      <c r="EY34" s="5">
        <f t="shared" si="72"/>
        <v>0</v>
      </c>
      <c r="EZ34" s="5">
        <f t="shared" si="72"/>
        <v>0</v>
      </c>
      <c r="FA34" s="5">
        <f t="shared" si="72"/>
        <v>0</v>
      </c>
      <c r="FB34" s="5">
        <f t="shared" si="72"/>
        <v>0</v>
      </c>
      <c r="FC34" s="5">
        <f t="shared" si="72"/>
        <v>0</v>
      </c>
      <c r="FD34" s="5" t="str">
        <f t="shared" si="72"/>
        <v xml:space="preserve"> Identifica las expresiones motrices relacionadas con el juego del voleibol,  como una oportunidad para mejorar la salud, la estética y las relaciones con los demás.</v>
      </c>
      <c r="FE34" s="5" t="str">
        <f t="shared" si="72"/>
        <v>Pone en práctica los fundamentos básicos del voleibol.</v>
      </c>
      <c r="FF34" s="5" t="str">
        <f t="shared" si="72"/>
        <v>Muestra  responsabilidad y buena actitud al realizar el juego de voleibol.</v>
      </c>
      <c r="FG34" s="5" t="str">
        <f t="shared" si="72"/>
        <v>Comprende el concepto de variable como espacio de almacenamiento de datos y reconoce el uso de estructuras condicionales (si, si-no) para la toma de decisiones en un programa.</v>
      </c>
      <c r="FH34" s="5" t="str">
        <f t="shared" si="72"/>
        <v>Diseña y desarrolla programas que utilizan variables y estructuras condicionales para resolver problemas, evaluando condiciones y generando respuestas según diferentes situaciones.</v>
      </c>
      <c r="FI34" s="5" t="str">
        <f t="shared" si="72"/>
        <v>Muestra pensamiento lógico, perseverancia y actitud crítica al analizar errores y proponer soluciones en la construcción de programas con variables y condicionales.</v>
      </c>
      <c r="FJ34" s="5" t="str">
        <f t="shared" si="72"/>
        <v>Identifica y reconoce sus pricipales deberes y derechos dentro y fuera  de la Institución educativa.</v>
      </c>
    </row>
    <row r="35" spans="1:166" ht="15.75" customHeight="1">
      <c r="A35" s="5">
        <v>34</v>
      </c>
      <c r="B35" s="5" t="s">
        <v>169</v>
      </c>
      <c r="C35" s="6">
        <v>1143148717</v>
      </c>
      <c r="D35" s="5" t="s">
        <v>134</v>
      </c>
      <c r="E35" s="5" t="s">
        <v>135</v>
      </c>
      <c r="F35" s="5" t="s">
        <v>70</v>
      </c>
      <c r="G35" s="5" t="s">
        <v>71</v>
      </c>
      <c r="H35" s="5">
        <v>2026</v>
      </c>
      <c r="I35" s="5">
        <v>4</v>
      </c>
      <c r="J35" s="7">
        <v>3</v>
      </c>
      <c r="K35" s="7">
        <v>3.1</v>
      </c>
      <c r="L35" s="7">
        <v>3.2</v>
      </c>
      <c r="M35" s="5">
        <f t="shared" si="0"/>
        <v>3.1</v>
      </c>
      <c r="N35" s="5" t="str">
        <f t="shared" si="1"/>
        <v>BASICO</v>
      </c>
      <c r="O35" s="5">
        <v>1</v>
      </c>
      <c r="P35" s="7">
        <v>3.3</v>
      </c>
      <c r="Q35" s="7">
        <v>3.3</v>
      </c>
      <c r="R35" s="7">
        <v>3.3</v>
      </c>
      <c r="S35" s="5">
        <f t="shared" si="2"/>
        <v>3.3</v>
      </c>
      <c r="T35" s="5" t="str">
        <f t="shared" si="3"/>
        <v>BASICO</v>
      </c>
      <c r="U35" s="5">
        <v>4</v>
      </c>
      <c r="V35" s="7"/>
      <c r="W35" s="7"/>
      <c r="X35" s="7"/>
      <c r="Y35" s="5">
        <f t="shared" si="4"/>
        <v>0</v>
      </c>
      <c r="Z35" s="5" t="str">
        <f t="shared" si="5"/>
        <v>BAJO</v>
      </c>
      <c r="AA35" s="5">
        <v>1</v>
      </c>
      <c r="AB35" s="7">
        <v>4.8</v>
      </c>
      <c r="AC35" s="7">
        <v>4.8</v>
      </c>
      <c r="AD35" s="7">
        <v>4.8</v>
      </c>
      <c r="AE35" s="5">
        <f t="shared" si="6"/>
        <v>4.8</v>
      </c>
      <c r="AF35" s="5" t="str">
        <f t="shared" si="7"/>
        <v>SUPERIOR</v>
      </c>
      <c r="AG35" s="5">
        <v>2</v>
      </c>
      <c r="AH35" s="8">
        <v>4</v>
      </c>
      <c r="AI35" s="8">
        <v>4</v>
      </c>
      <c r="AJ35" s="8">
        <v>4</v>
      </c>
      <c r="AK35" s="5">
        <f t="shared" si="8"/>
        <v>4</v>
      </c>
      <c r="AL35" s="5" t="str">
        <f t="shared" si="9"/>
        <v>ALTO</v>
      </c>
      <c r="AM35" s="5">
        <v>1</v>
      </c>
      <c r="AN35" s="8">
        <v>4</v>
      </c>
      <c r="AO35" s="8">
        <v>4</v>
      </c>
      <c r="AP35" s="8">
        <v>4</v>
      </c>
      <c r="AQ35" s="5">
        <f t="shared" si="10"/>
        <v>4</v>
      </c>
      <c r="AR35" s="5" t="str">
        <f t="shared" si="11"/>
        <v>ALTO</v>
      </c>
      <c r="AS35" s="5">
        <v>4</v>
      </c>
      <c r="AT35" s="7">
        <v>3.8</v>
      </c>
      <c r="AU35" s="7">
        <v>3.8</v>
      </c>
      <c r="AV35" s="7">
        <v>3.8</v>
      </c>
      <c r="AW35" s="5">
        <f t="shared" si="34"/>
        <v>3.8</v>
      </c>
      <c r="AX35" s="5" t="str">
        <f t="shared" si="51"/>
        <v>BASICO</v>
      </c>
      <c r="AY35" s="5">
        <v>1</v>
      </c>
      <c r="AZ35" s="7">
        <v>4.5</v>
      </c>
      <c r="BA35" s="7">
        <v>4</v>
      </c>
      <c r="BB35" s="7">
        <v>4</v>
      </c>
      <c r="BC35" s="5">
        <f t="shared" si="13"/>
        <v>4.1500000000000004</v>
      </c>
      <c r="BD35" s="5" t="str">
        <f t="shared" si="14"/>
        <v>ALTO</v>
      </c>
      <c r="BE35" s="7">
        <v>2</v>
      </c>
      <c r="BF35" s="7">
        <v>3.5</v>
      </c>
      <c r="BG35" s="7">
        <v>3.4</v>
      </c>
      <c r="BH35" s="7">
        <v>3.9</v>
      </c>
      <c r="BI35" s="7">
        <v>3.4</v>
      </c>
      <c r="BJ35" s="5" t="str">
        <f t="shared" si="15"/>
        <v>BASICO</v>
      </c>
      <c r="BK35" s="5">
        <v>1</v>
      </c>
      <c r="BL35" s="7">
        <v>3.5</v>
      </c>
      <c r="BM35" s="7">
        <v>3.5</v>
      </c>
      <c r="BN35" s="7">
        <v>4</v>
      </c>
      <c r="BO35" s="5">
        <f t="shared" si="70"/>
        <v>3.6500000000000004</v>
      </c>
      <c r="BP35" s="5" t="str">
        <f t="shared" si="17"/>
        <v>BASICO</v>
      </c>
      <c r="BQ35" s="5">
        <v>1</v>
      </c>
      <c r="BR35" s="7">
        <v>3.8</v>
      </c>
      <c r="BS35" s="7">
        <v>3.6</v>
      </c>
      <c r="BT35" s="7">
        <v>4</v>
      </c>
      <c r="BU35" s="5">
        <f t="shared" si="18"/>
        <v>3.7800000000000002</v>
      </c>
      <c r="BV35" s="5" t="str">
        <f t="shared" si="19"/>
        <v>BASICO</v>
      </c>
      <c r="BW35" s="5">
        <v>1</v>
      </c>
      <c r="BX35" s="7">
        <v>3.3</v>
      </c>
      <c r="BY35" s="7">
        <v>3.8</v>
      </c>
      <c r="BZ35" s="7">
        <v>3.8</v>
      </c>
      <c r="CA35" s="5">
        <f t="shared" si="20"/>
        <v>3.6499999999999995</v>
      </c>
      <c r="CB35" s="5" t="str">
        <f t="shared" si="21"/>
        <v>BASICO</v>
      </c>
      <c r="CC35" s="5">
        <v>1</v>
      </c>
      <c r="CD35" s="7">
        <v>4.7</v>
      </c>
      <c r="CE35" s="7">
        <v>4.5</v>
      </c>
      <c r="CF35" s="7">
        <v>4.5</v>
      </c>
      <c r="CG35" s="5">
        <f t="shared" si="22"/>
        <v>4.5599999999999996</v>
      </c>
      <c r="CH35" s="5" t="str">
        <f t="shared" si="23"/>
        <v>SUPERIOR</v>
      </c>
      <c r="CI35" s="5">
        <v>1</v>
      </c>
      <c r="CJ35" s="7">
        <v>4.5999999999999996</v>
      </c>
      <c r="CK35" s="7">
        <v>4.5</v>
      </c>
      <c r="CL35" s="7">
        <v>4.5</v>
      </c>
      <c r="CM35" s="5">
        <f t="shared" si="24"/>
        <v>4.5299999999999994</v>
      </c>
      <c r="CN35" s="5" t="str">
        <f t="shared" si="25"/>
        <v>SUPERIOR</v>
      </c>
      <c r="CO35" s="5">
        <v>1</v>
      </c>
      <c r="CP35" s="7">
        <v>5</v>
      </c>
      <c r="CQ35" s="7">
        <v>5</v>
      </c>
      <c r="CR35" s="7">
        <v>5</v>
      </c>
      <c r="CS35" s="5">
        <f t="shared" si="26"/>
        <v>5</v>
      </c>
      <c r="CT35" s="5" t="str">
        <f t="shared" si="27"/>
        <v>SUPERIOR</v>
      </c>
      <c r="CU35" s="5">
        <v>2</v>
      </c>
      <c r="CV35" s="7">
        <v>3.5</v>
      </c>
      <c r="CW35" s="7">
        <v>3.5</v>
      </c>
      <c r="CX35" s="7">
        <v>3.5</v>
      </c>
      <c r="CY35" s="5">
        <f t="shared" si="28"/>
        <v>3.5</v>
      </c>
      <c r="CZ35" s="5" t="str">
        <f t="shared" si="29"/>
        <v>BASICO</v>
      </c>
      <c r="DA35" s="5">
        <v>2</v>
      </c>
      <c r="DB35" s="7">
        <v>4</v>
      </c>
      <c r="DC35" s="7">
        <v>4</v>
      </c>
      <c r="DD35" s="7">
        <v>4</v>
      </c>
      <c r="DE35" s="5">
        <f t="shared" si="30"/>
        <v>4</v>
      </c>
      <c r="DF35" s="5" t="str">
        <f t="shared" si="31"/>
        <v>ALTO</v>
      </c>
      <c r="DG35" s="5">
        <v>0</v>
      </c>
      <c r="DH35" s="7">
        <v>4</v>
      </c>
      <c r="DI35" s="5" t="str">
        <f t="shared" si="32"/>
        <v>ALTO</v>
      </c>
      <c r="DJ35" s="5">
        <f t="shared" si="33"/>
        <v>3.7317647058823527</v>
      </c>
      <c r="DK35" s="5" t="str">
        <f t="shared" si="36"/>
        <v>Comprende el concepto de números reales, su relación de orden y las propiedades de sus operaciones, así como las relaciones de semejanza y congruencia de distintas figuras geométricas.</v>
      </c>
      <c r="DL35" s="5" t="str">
        <f t="shared" ref="DL35:FJ35" si="73">DL34</f>
        <v>Aplica correctamente las propiedades de las operaciones de números reales y expresiones algebraicas en la resolución de problemas.</v>
      </c>
      <c r="DM35" s="5" t="str">
        <f t="shared" si="73"/>
        <v>Valora el uso del pensamiento lógico a la hora de plantear y resolver problemas de las matemáticas y de la vida cotidiana.</v>
      </c>
      <c r="DN35" s="5" t="str">
        <f t="shared" si="7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5" s="5" t="str">
        <f t="shared" si="73"/>
        <v>Organiza y analiza datos mediante la construcción de tablas de frecuencias y diagramas estadísticos, identificando variables aleatorias y utilizando estas representaciones para resolver situaciones problema.</v>
      </c>
      <c r="DP35" s="5" t="str">
        <f t="shared" si="73"/>
        <v>Muestra disposición y responsabilidad en el manejo y análisis de datos, participando activamente en actividades individuales y colaborativas, y comunicando información estadística con claridad y sentido crítico.</v>
      </c>
      <c r="DQ35" s="5" t="str">
        <f t="shared" si="73"/>
        <v>Analiza las características de la literatura prehispánica y la literatura del descubrimiento y la conquista en Colombia identificando sus elementos fundamentales y su impacto en la cultura y el lenguaje actual.</v>
      </c>
      <c r="DR35" s="5" t="str">
        <f t="shared" si="73"/>
        <v>Realiza comprensión lectora cuando analiza un texto desde el discurso de la Enunciación e identifica la función de cada uno de sus componentes.
Responde preguntas en los tres niveles de lectura a una leyenda del Caribe.</v>
      </c>
      <c r="DS35" s="5" t="str">
        <f t="shared" si="73"/>
        <v>Muestra disposición para participar activamente en las clases, promoviendo el respeto por las ideas ajenas y reconociendo la importancia de la precisión como una herramienta clave para una comunicación</v>
      </c>
      <c r="DT35" s="5" t="str">
        <f t="shared" si="73"/>
        <v>Comprende el contenido del cuento A la deriva, identificando su tema central, la secuencia de los hechos, los personajes y las ideas explícitas e implícitas del texto.</v>
      </c>
      <c r="DU35" s="5" t="str">
        <f t="shared" si="73"/>
        <v>Analiza críticamente el cuento A la deriva mediante la identificación de información literal, inferencial y crítica, sustentando sus respuestas de forma oral y escrita.</v>
      </c>
      <c r="DV35" s="5" t="str">
        <f t="shared" si="73"/>
        <v>Valora la lectura literaria como una oportunidad para reflexionar sobre la vida, la naturaleza y la condición humana, participando con interés, respeto y sentido crítico en las actividades propuestas.</v>
      </c>
      <c r="DW35" s="5" t="str">
        <f t="shared" si="73"/>
        <v>Comprende y reconoce vocabulario y estructuras basicas del ingles para interpretar textos cortos y conversaciones sobre temas cotidianos de la vida diaria.</v>
      </c>
      <c r="DX35" s="5" t="str">
        <f t="shared" si="73"/>
        <v>Produce de forma oral y escrita frases y parrafos cortos en Ingles, utilizando correctamente las estructuras conocidas para describir rutinas, narrar experiencias y participar en conversaciones.</v>
      </c>
      <c r="DY35" s="5" t="str">
        <f t="shared" si="73"/>
        <v>Muestra disposicion positiva hacia el aprendizaje del Ingles participando activamente en clase.</v>
      </c>
      <c r="DZ35" s="5" t="str">
        <f t="shared" si="73"/>
        <v>Identifica vocabulario en Ingles  de situaciones cotidianas.</v>
      </c>
      <c r="EA35" s="5" t="str">
        <f t="shared" si="73"/>
        <v>Participa en actividades utilizando vocabulario aprendido para expresar gustos,emociones y necesidades.</v>
      </c>
      <c r="EB35" s="5" t="str">
        <f t="shared" si="73"/>
        <v>Respeta la opinion de los demas, muestra disposicion para participar en actividades orales.</v>
      </c>
      <c r="EC35" s="5" t="str">
        <f t="shared" si="73"/>
        <v>Identifica la conformación y funcionamiento del sistema inmunolófico y diferencia las característics de los estados de la materia.</v>
      </c>
      <c r="ED35" s="5" t="str">
        <f t="shared" si="73"/>
        <v>Reconoce experimentalmente las características de materiales en los diferentes estados de la materia.</v>
      </c>
      <c r="EE35" s="5" t="str">
        <f t="shared" si="73"/>
        <v xml:space="preserve">Valora la importancia de tener habitos saludables, para lograr el mantenimiento saludable del sistema inmune. </v>
      </c>
      <c r="EF35" s="5" t="str">
        <f t="shared" si="73"/>
        <v>Describe correctamente la secuencia de eventos biologicos de la fecundacion,incluyendo las recciones acrosomicas,la funcion de gametos y la formacion de gametos.</v>
      </c>
      <c r="EG35" s="5" t="str">
        <f t="shared" si="73"/>
        <v>Mide la capacidad del labolatrio para lograr la fecundacion exitosa de los ovulos con el espermatozoide.</v>
      </c>
      <c r="EH35" s="5" t="str">
        <f t="shared" si="73"/>
        <v>Valora la importancia del cuidado del cuerpo y de la salud reproductiva como la base para una fecundacion saludable.</v>
      </c>
      <c r="EI35" s="5" t="str">
        <f t="shared" si="73"/>
        <v>Explico las principales caracteristicas de algunas revoluciones de los siglos XVIII y XIX (Revolucion francesa, Industrial...)</v>
      </c>
      <c r="EJ35" s="5" t="str">
        <f t="shared" si="73"/>
        <v>Analiza las causas y consecuencias de procesos historicos como la Revolucion Industrial y Francesa.</v>
      </c>
      <c r="EK35" s="5" t="str">
        <f t="shared" si="73"/>
        <v>Muestra interes y curiosidad por comprender los procesos historicos y su impacto en la sociedad.</v>
      </c>
      <c r="EL35" s="5" t="str">
        <f t="shared" si="73"/>
        <v xml:space="preserve">Identifica los procesos historicos de algunas revoluciones de los siglos XVIII y XIX </v>
      </c>
      <c r="EM35" s="5">
        <f t="shared" si="73"/>
        <v>0</v>
      </c>
      <c r="EN35" s="5">
        <f t="shared" si="73"/>
        <v>0</v>
      </c>
      <c r="EO35" s="5" t="str">
        <f t="shared" si="73"/>
        <v xml:space="preserve">Comprende la distribucion espacial de la poblacion antes y despues de las revoluciones </v>
      </c>
      <c r="EP35" s="5" t="str">
        <f t="shared" si="73"/>
        <v xml:space="preserve">Ubica en mapas las regiones donde se desarrollaron las principales revoluciones y explica sus caracteristicas geograficas </v>
      </c>
      <c r="EQ35" s="5" t="str">
        <f t="shared" si="73"/>
        <v>Muestra interes por comprender la relacion entre sociedad, economia y territorio</v>
      </c>
      <c r="ER35" s="5" t="str">
        <f t="shared" si="73"/>
        <v>Comprende el concepto de cultura de paz y su importancia en la sociedad</v>
      </c>
      <c r="ES35" s="5" t="str">
        <f t="shared" si="73"/>
        <v>Practica normas de convivencia en diferentes espacios( aula, hogar, comunidad)</v>
      </c>
      <c r="ET35" s="5" t="str">
        <f t="shared" si="73"/>
        <v>Muestra actitud de respeto hacia la diversidad cuktural, social y de pensamiento</v>
      </c>
      <c r="EU35" s="5">
        <f t="shared" si="73"/>
        <v>0</v>
      </c>
      <c r="EV35" s="5">
        <f t="shared" si="73"/>
        <v>0</v>
      </c>
      <c r="EW35" s="5">
        <f t="shared" si="73"/>
        <v>0</v>
      </c>
      <c r="EX35" s="5">
        <f t="shared" si="73"/>
        <v>0</v>
      </c>
      <c r="EY35" s="5">
        <f t="shared" si="73"/>
        <v>0</v>
      </c>
      <c r="EZ35" s="5">
        <f t="shared" si="73"/>
        <v>0</v>
      </c>
      <c r="FA35" s="5">
        <f t="shared" si="73"/>
        <v>0</v>
      </c>
      <c r="FB35" s="5">
        <f t="shared" si="73"/>
        <v>0</v>
      </c>
      <c r="FC35" s="5">
        <f t="shared" si="73"/>
        <v>0</v>
      </c>
      <c r="FD35" s="5" t="str">
        <f t="shared" si="73"/>
        <v xml:space="preserve"> Identifica las expresiones motrices relacionadas con el juego del voleibol,  como una oportunidad para mejorar la salud, la estética y las relaciones con los demás.</v>
      </c>
      <c r="FE35" s="5" t="str">
        <f t="shared" si="73"/>
        <v>Pone en práctica los fundamentos básicos del voleibol.</v>
      </c>
      <c r="FF35" s="5" t="str">
        <f t="shared" si="73"/>
        <v>Muestra  responsabilidad y buena actitud al realizar el juego de voleibol.</v>
      </c>
      <c r="FG35" s="5" t="str">
        <f t="shared" si="73"/>
        <v>Comprende el concepto de variable como espacio de almacenamiento de datos y reconoce el uso de estructuras condicionales (si, si-no) para la toma de decisiones en un programa.</v>
      </c>
      <c r="FH35" s="5" t="str">
        <f t="shared" si="73"/>
        <v>Diseña y desarrolla programas que utilizan variables y estructuras condicionales para resolver problemas, evaluando condiciones y generando respuestas según diferentes situaciones.</v>
      </c>
      <c r="FI35" s="5" t="str">
        <f t="shared" si="73"/>
        <v>Muestra pensamiento lógico, perseverancia y actitud crítica al analizar errores y proponer soluciones en la construcción de programas con variables y condicionales.</v>
      </c>
      <c r="FJ35" s="5" t="str">
        <f t="shared" si="73"/>
        <v>Identifica y reconoce sus pricipales deberes y derechos dentro y fuera  de la Institución educativa.</v>
      </c>
    </row>
    <row r="36" spans="1:166" ht="15.75" customHeight="1">
      <c r="A36" s="5">
        <v>35</v>
      </c>
      <c r="B36" s="5" t="s">
        <v>170</v>
      </c>
      <c r="C36" s="6">
        <v>1044645983</v>
      </c>
      <c r="D36" s="5" t="s">
        <v>134</v>
      </c>
      <c r="E36" s="5" t="s">
        <v>135</v>
      </c>
      <c r="F36" s="5" t="s">
        <v>70</v>
      </c>
      <c r="G36" s="5" t="s">
        <v>71</v>
      </c>
      <c r="H36" s="5">
        <v>2026</v>
      </c>
      <c r="I36" s="5">
        <v>4</v>
      </c>
      <c r="J36" s="7">
        <v>3</v>
      </c>
      <c r="K36" s="7">
        <v>3</v>
      </c>
      <c r="L36" s="7">
        <v>3</v>
      </c>
      <c r="M36" s="5">
        <f t="shared" si="0"/>
        <v>3</v>
      </c>
      <c r="N36" s="5" t="str">
        <f t="shared" si="1"/>
        <v>BASICO</v>
      </c>
      <c r="O36" s="5">
        <v>1</v>
      </c>
      <c r="P36" s="7">
        <v>3</v>
      </c>
      <c r="Q36" s="7">
        <v>3</v>
      </c>
      <c r="R36" s="7">
        <v>3</v>
      </c>
      <c r="S36" s="5">
        <f t="shared" si="2"/>
        <v>3</v>
      </c>
      <c r="T36" s="5" t="str">
        <f t="shared" si="3"/>
        <v>BASICO</v>
      </c>
      <c r="U36" s="5">
        <v>4</v>
      </c>
      <c r="V36" s="7"/>
      <c r="W36" s="7"/>
      <c r="X36" s="7"/>
      <c r="Y36" s="5">
        <f t="shared" si="4"/>
        <v>0</v>
      </c>
      <c r="Z36" s="5" t="str">
        <f t="shared" si="5"/>
        <v>BAJO</v>
      </c>
      <c r="AA36" s="5">
        <v>1</v>
      </c>
      <c r="AB36" s="7">
        <v>2.6</v>
      </c>
      <c r="AC36" s="7">
        <v>2.6</v>
      </c>
      <c r="AD36" s="7">
        <v>2.6</v>
      </c>
      <c r="AE36" s="5">
        <f t="shared" si="6"/>
        <v>2.6</v>
      </c>
      <c r="AF36" s="5" t="str">
        <f t="shared" si="7"/>
        <v>BAJO</v>
      </c>
      <c r="AG36" s="5">
        <v>2</v>
      </c>
      <c r="AH36" s="8">
        <v>4</v>
      </c>
      <c r="AI36" s="8">
        <v>4</v>
      </c>
      <c r="AJ36" s="8">
        <v>4</v>
      </c>
      <c r="AK36" s="5">
        <f t="shared" si="8"/>
        <v>4</v>
      </c>
      <c r="AL36" s="5" t="str">
        <f t="shared" si="9"/>
        <v>ALTO</v>
      </c>
      <c r="AM36" s="5">
        <v>1</v>
      </c>
      <c r="AN36" s="8">
        <v>4</v>
      </c>
      <c r="AO36" s="8">
        <v>4</v>
      </c>
      <c r="AP36" s="8">
        <v>4</v>
      </c>
      <c r="AQ36" s="5">
        <f t="shared" si="10"/>
        <v>4</v>
      </c>
      <c r="AR36" s="5" t="str">
        <f t="shared" si="11"/>
        <v>ALTO</v>
      </c>
      <c r="AS36" s="5">
        <v>4</v>
      </c>
      <c r="AT36" s="7">
        <v>3.4</v>
      </c>
      <c r="AU36" s="7">
        <v>3.4</v>
      </c>
      <c r="AV36" s="7">
        <v>3.4</v>
      </c>
      <c r="AW36" s="5">
        <f t="shared" si="34"/>
        <v>3.4</v>
      </c>
      <c r="AX36" s="5" t="str">
        <f t="shared" si="51"/>
        <v>BASICO</v>
      </c>
      <c r="AY36" s="5">
        <v>1</v>
      </c>
      <c r="AZ36" s="7">
        <v>4.5</v>
      </c>
      <c r="BA36" s="7">
        <v>3.8</v>
      </c>
      <c r="BB36" s="7">
        <v>3.8</v>
      </c>
      <c r="BC36" s="5">
        <f t="shared" si="13"/>
        <v>4.01</v>
      </c>
      <c r="BD36" s="5" t="str">
        <f t="shared" si="14"/>
        <v>ALTO</v>
      </c>
      <c r="BE36" s="7">
        <v>2</v>
      </c>
      <c r="BF36" s="7">
        <v>3.5</v>
      </c>
      <c r="BG36" s="7">
        <v>3.3</v>
      </c>
      <c r="BH36" s="7">
        <v>3.8</v>
      </c>
      <c r="BI36" s="7">
        <v>3.6</v>
      </c>
      <c r="BJ36" s="5" t="str">
        <f t="shared" si="15"/>
        <v>BASICO</v>
      </c>
      <c r="BK36" s="5">
        <v>1</v>
      </c>
      <c r="BL36" s="7">
        <v>3.5</v>
      </c>
      <c r="BM36" s="7">
        <v>3.8</v>
      </c>
      <c r="BN36" s="7">
        <v>4</v>
      </c>
      <c r="BO36" s="5">
        <f t="shared" si="70"/>
        <v>3.7700000000000005</v>
      </c>
      <c r="BP36" s="5" t="str">
        <f t="shared" si="17"/>
        <v>BASICO</v>
      </c>
      <c r="BQ36" s="5">
        <v>1</v>
      </c>
      <c r="BR36" s="7">
        <v>3.3</v>
      </c>
      <c r="BS36" s="7">
        <v>3.8</v>
      </c>
      <c r="BT36" s="7">
        <v>4</v>
      </c>
      <c r="BU36" s="5">
        <f t="shared" si="18"/>
        <v>3.71</v>
      </c>
      <c r="BV36" s="5" t="str">
        <f t="shared" si="19"/>
        <v>BASICO</v>
      </c>
      <c r="BW36" s="5">
        <v>1</v>
      </c>
      <c r="BX36" s="7">
        <v>3.8</v>
      </c>
      <c r="BY36" s="7">
        <v>3.3</v>
      </c>
      <c r="BZ36" s="7">
        <v>3.4</v>
      </c>
      <c r="CA36" s="5">
        <f t="shared" si="20"/>
        <v>3.48</v>
      </c>
      <c r="CB36" s="5" t="str">
        <f t="shared" si="21"/>
        <v>BASICO</v>
      </c>
      <c r="CC36" s="7">
        <v>1</v>
      </c>
      <c r="CD36" s="7">
        <v>4.7</v>
      </c>
      <c r="CE36" s="7">
        <v>4.4000000000000004</v>
      </c>
      <c r="CF36" s="7">
        <v>4.4000000000000004</v>
      </c>
      <c r="CG36" s="5">
        <f t="shared" si="22"/>
        <v>4.49</v>
      </c>
      <c r="CH36" s="5" t="str">
        <f t="shared" si="23"/>
        <v>ALTO</v>
      </c>
      <c r="CI36" s="5">
        <v>1</v>
      </c>
      <c r="CJ36" s="7">
        <v>3.5</v>
      </c>
      <c r="CK36" s="7">
        <v>3.5</v>
      </c>
      <c r="CL36" s="7">
        <v>3.5</v>
      </c>
      <c r="CM36" s="5">
        <f t="shared" si="24"/>
        <v>3.5</v>
      </c>
      <c r="CN36" s="5" t="str">
        <f t="shared" si="25"/>
        <v>BASICO</v>
      </c>
      <c r="CO36" s="5">
        <v>1</v>
      </c>
      <c r="CP36" s="7">
        <v>5</v>
      </c>
      <c r="CQ36" s="7">
        <v>5</v>
      </c>
      <c r="CR36" s="7">
        <v>5</v>
      </c>
      <c r="CS36" s="5">
        <f t="shared" si="26"/>
        <v>5</v>
      </c>
      <c r="CT36" s="5" t="str">
        <f t="shared" si="27"/>
        <v>SUPERIOR</v>
      </c>
      <c r="CU36" s="5">
        <v>2</v>
      </c>
      <c r="CV36" s="7">
        <v>3.8</v>
      </c>
      <c r="CW36" s="7">
        <v>3.8</v>
      </c>
      <c r="CX36" s="7">
        <v>3.8</v>
      </c>
      <c r="CY36" s="5">
        <f t="shared" si="28"/>
        <v>3.8</v>
      </c>
      <c r="CZ36" s="5" t="str">
        <f t="shared" si="29"/>
        <v>BASICO</v>
      </c>
      <c r="DA36" s="5">
        <v>2</v>
      </c>
      <c r="DB36" s="7">
        <v>3.8</v>
      </c>
      <c r="DC36" s="7">
        <v>3.8</v>
      </c>
      <c r="DD36" s="7">
        <v>4</v>
      </c>
      <c r="DE36" s="5">
        <f t="shared" si="30"/>
        <v>3.8600000000000003</v>
      </c>
      <c r="DF36" s="5" t="str">
        <f t="shared" si="31"/>
        <v>BASICO</v>
      </c>
      <c r="DG36" s="5">
        <v>0</v>
      </c>
      <c r="DH36" s="7">
        <v>4</v>
      </c>
      <c r="DI36" s="5" t="str">
        <f t="shared" si="32"/>
        <v>ALTO</v>
      </c>
      <c r="DJ36" s="5">
        <f t="shared" si="33"/>
        <v>3.5005882352941176</v>
      </c>
      <c r="DK36" s="5" t="str">
        <f t="shared" si="36"/>
        <v>Comprende el concepto de números reales, su relación de orden y las propiedades de sus operaciones, así como las relaciones de semejanza y congruencia de distintas figuras geométricas.</v>
      </c>
      <c r="DL36" s="5" t="str">
        <f t="shared" ref="DL36:FJ36" si="74">DL35</f>
        <v>Aplica correctamente las propiedades de las operaciones de números reales y expresiones algebraicas en la resolución de problemas.</v>
      </c>
      <c r="DM36" s="5" t="str">
        <f t="shared" si="74"/>
        <v>Valora el uso del pensamiento lógico a la hora de plantear y resolver problemas de las matemáticas y de la vida cotidiana.</v>
      </c>
      <c r="DN36" s="5" t="str">
        <f t="shared" si="7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6" s="5" t="str">
        <f t="shared" si="74"/>
        <v>Organiza y analiza datos mediante la construcción de tablas de frecuencias y diagramas estadísticos, identificando variables aleatorias y utilizando estas representaciones para resolver situaciones problema.</v>
      </c>
      <c r="DP36" s="5" t="str">
        <f t="shared" si="74"/>
        <v>Muestra disposición y responsabilidad en el manejo y análisis de datos, participando activamente en actividades individuales y colaborativas, y comunicando información estadística con claridad y sentido crítico.</v>
      </c>
      <c r="DQ36" s="5" t="str">
        <f t="shared" si="74"/>
        <v>Analiza las características de la literatura prehispánica y la literatura del descubrimiento y la conquista en Colombia identificando sus elementos fundamentales y su impacto en la cultura y el lenguaje actual.</v>
      </c>
      <c r="DR36" s="5" t="str">
        <f t="shared" si="74"/>
        <v>Realiza comprensión lectora cuando analiza un texto desde el discurso de la Enunciación e identifica la función de cada uno de sus componentes.
Responde preguntas en los tres niveles de lectura a una leyenda del Caribe.</v>
      </c>
      <c r="DS36" s="5" t="str">
        <f t="shared" si="74"/>
        <v>Muestra disposición para participar activamente en las clases, promoviendo el respeto por las ideas ajenas y reconociendo la importancia de la precisión como una herramienta clave para una comunicación</v>
      </c>
      <c r="DT36" s="5" t="str">
        <f t="shared" si="74"/>
        <v>Comprende el contenido del cuento A la deriva, identificando su tema central, la secuencia de los hechos, los personajes y las ideas explícitas e implícitas del texto.</v>
      </c>
      <c r="DU36" s="5" t="str">
        <f t="shared" si="74"/>
        <v>Analiza críticamente el cuento A la deriva mediante la identificación de información literal, inferencial y crítica, sustentando sus respuestas de forma oral y escrita.</v>
      </c>
      <c r="DV36" s="5" t="str">
        <f t="shared" si="74"/>
        <v>Valora la lectura literaria como una oportunidad para reflexionar sobre la vida, la naturaleza y la condición humana, participando con interés, respeto y sentido crítico en las actividades propuestas.</v>
      </c>
      <c r="DW36" s="5" t="str">
        <f t="shared" si="74"/>
        <v>Comprende y reconoce vocabulario y estructuras basicas del ingles para interpretar textos cortos y conversaciones sobre temas cotidianos de la vida diaria.</v>
      </c>
      <c r="DX36" s="5" t="str">
        <f t="shared" si="74"/>
        <v>Produce de forma oral y escrita frases y parrafos cortos en Ingles, utilizando correctamente las estructuras conocidas para describir rutinas, narrar experiencias y participar en conversaciones.</v>
      </c>
      <c r="DY36" s="5" t="str">
        <f t="shared" si="74"/>
        <v>Muestra disposicion positiva hacia el aprendizaje del Ingles participando activamente en clase.</v>
      </c>
      <c r="DZ36" s="5" t="str">
        <f t="shared" si="74"/>
        <v>Identifica vocabulario en Ingles  de situaciones cotidianas.</v>
      </c>
      <c r="EA36" s="5" t="str">
        <f t="shared" si="74"/>
        <v>Participa en actividades utilizando vocabulario aprendido para expresar gustos,emociones y necesidades.</v>
      </c>
      <c r="EB36" s="5" t="str">
        <f t="shared" si="74"/>
        <v>Respeta la opinion de los demas, muestra disposicion para participar en actividades orales.</v>
      </c>
      <c r="EC36" s="5" t="str">
        <f t="shared" si="74"/>
        <v>Identifica la conformación y funcionamiento del sistema inmunolófico y diferencia las característics de los estados de la materia.</v>
      </c>
      <c r="ED36" s="5" t="str">
        <f t="shared" si="74"/>
        <v>Reconoce experimentalmente las características de materiales en los diferentes estados de la materia.</v>
      </c>
      <c r="EE36" s="5" t="str">
        <f t="shared" si="74"/>
        <v xml:space="preserve">Valora la importancia de tener habitos saludables, para lograr el mantenimiento saludable del sistema inmune. </v>
      </c>
      <c r="EF36" s="5" t="str">
        <f t="shared" si="74"/>
        <v>Describe correctamente la secuencia de eventos biologicos de la fecundacion,incluyendo las recciones acrosomicas,la funcion de gametos y la formacion de gametos.</v>
      </c>
      <c r="EG36" s="5" t="str">
        <f t="shared" si="74"/>
        <v>Mide la capacidad del labolatrio para lograr la fecundacion exitosa de los ovulos con el espermatozoide.</v>
      </c>
      <c r="EH36" s="5" t="str">
        <f t="shared" si="74"/>
        <v>Valora la importancia del cuidado del cuerpo y de la salud reproductiva como la base para una fecundacion saludable.</v>
      </c>
      <c r="EI36" s="5" t="str">
        <f t="shared" si="74"/>
        <v>Explico las principales caracteristicas de algunas revoluciones de los siglos XVIII y XIX (Revolucion francesa, Industrial...)</v>
      </c>
      <c r="EJ36" s="5" t="str">
        <f t="shared" si="74"/>
        <v>Analiza las causas y consecuencias de procesos historicos como la Revolucion Industrial y Francesa.</v>
      </c>
      <c r="EK36" s="5" t="str">
        <f t="shared" si="74"/>
        <v>Muestra interes y curiosidad por comprender los procesos historicos y su impacto en la sociedad.</v>
      </c>
      <c r="EL36" s="5" t="str">
        <f t="shared" si="74"/>
        <v xml:space="preserve">Identifica los procesos historicos de algunas revoluciones de los siglos XVIII y XIX </v>
      </c>
      <c r="EM36" s="5">
        <f t="shared" si="74"/>
        <v>0</v>
      </c>
      <c r="EN36" s="5">
        <f t="shared" si="74"/>
        <v>0</v>
      </c>
      <c r="EO36" s="5" t="str">
        <f t="shared" si="74"/>
        <v xml:space="preserve">Comprende la distribucion espacial de la poblacion antes y despues de las revoluciones </v>
      </c>
      <c r="EP36" s="5" t="str">
        <f t="shared" si="74"/>
        <v xml:space="preserve">Ubica en mapas las regiones donde se desarrollaron las principales revoluciones y explica sus caracteristicas geograficas </v>
      </c>
      <c r="EQ36" s="5" t="str">
        <f t="shared" si="74"/>
        <v>Muestra interes por comprender la relacion entre sociedad, economia y territorio</v>
      </c>
      <c r="ER36" s="5" t="str">
        <f t="shared" si="74"/>
        <v>Comprende el concepto de cultura de paz y su importancia en la sociedad</v>
      </c>
      <c r="ES36" s="5" t="str">
        <f t="shared" si="74"/>
        <v>Practica normas de convivencia en diferentes espacios( aula, hogar, comunidad)</v>
      </c>
      <c r="ET36" s="5" t="str">
        <f t="shared" si="74"/>
        <v>Muestra actitud de respeto hacia la diversidad cuktural, social y de pensamiento</v>
      </c>
      <c r="EU36" s="5">
        <f t="shared" si="74"/>
        <v>0</v>
      </c>
      <c r="EV36" s="5">
        <f t="shared" si="74"/>
        <v>0</v>
      </c>
      <c r="EW36" s="5">
        <f t="shared" si="74"/>
        <v>0</v>
      </c>
      <c r="EX36" s="5">
        <f t="shared" si="74"/>
        <v>0</v>
      </c>
      <c r="EY36" s="5">
        <f t="shared" si="74"/>
        <v>0</v>
      </c>
      <c r="EZ36" s="5">
        <f t="shared" si="74"/>
        <v>0</v>
      </c>
      <c r="FA36" s="5">
        <f t="shared" si="74"/>
        <v>0</v>
      </c>
      <c r="FB36" s="5">
        <f t="shared" si="74"/>
        <v>0</v>
      </c>
      <c r="FC36" s="5">
        <f t="shared" si="74"/>
        <v>0</v>
      </c>
      <c r="FD36" s="5" t="str">
        <f t="shared" si="74"/>
        <v xml:space="preserve"> Identifica las expresiones motrices relacionadas con el juego del voleibol,  como una oportunidad para mejorar la salud, la estética y las relaciones con los demás.</v>
      </c>
      <c r="FE36" s="5" t="str">
        <f t="shared" si="74"/>
        <v>Pone en práctica los fundamentos básicos del voleibol.</v>
      </c>
      <c r="FF36" s="5" t="str">
        <f t="shared" si="74"/>
        <v>Muestra  responsabilidad y buena actitud al realizar el juego de voleibol.</v>
      </c>
      <c r="FG36" s="5" t="str">
        <f t="shared" si="74"/>
        <v>Comprende el concepto de variable como espacio de almacenamiento de datos y reconoce el uso de estructuras condicionales (si, si-no) para la toma de decisiones en un programa.</v>
      </c>
      <c r="FH36" s="5" t="str">
        <f t="shared" si="74"/>
        <v>Diseña y desarrolla programas que utilizan variables y estructuras condicionales para resolver problemas, evaluando condiciones y generando respuestas según diferentes situaciones.</v>
      </c>
      <c r="FI36" s="5" t="str">
        <f t="shared" si="74"/>
        <v>Muestra pensamiento lógico, perseverancia y actitud crítica al analizar errores y proponer soluciones en la construcción de programas con variables y condicionales.</v>
      </c>
      <c r="FJ36" s="5" t="str">
        <f t="shared" si="74"/>
        <v>Identifica y reconoce sus pricipales deberes y derechos dentro y fuera  de la Institución educativa.</v>
      </c>
    </row>
    <row r="37" spans="1:166" ht="15.75" customHeight="1">
      <c r="A37" s="5">
        <v>36</v>
      </c>
      <c r="B37" s="5" t="s">
        <v>171</v>
      </c>
      <c r="C37" s="6">
        <v>1143146431</v>
      </c>
      <c r="D37" s="5" t="s">
        <v>134</v>
      </c>
      <c r="E37" s="5" t="s">
        <v>135</v>
      </c>
      <c r="F37" s="5" t="s">
        <v>70</v>
      </c>
      <c r="G37" s="5" t="s">
        <v>71</v>
      </c>
      <c r="H37" s="5">
        <v>2026</v>
      </c>
      <c r="I37" s="5">
        <v>4</v>
      </c>
      <c r="J37" s="7">
        <v>2.6</v>
      </c>
      <c r="K37" s="7">
        <v>4</v>
      </c>
      <c r="L37" s="7">
        <v>3.4</v>
      </c>
      <c r="M37" s="5">
        <f t="shared" si="0"/>
        <v>3.4</v>
      </c>
      <c r="N37" s="5" t="str">
        <f t="shared" si="1"/>
        <v>BASICO</v>
      </c>
      <c r="O37" s="5">
        <v>1</v>
      </c>
      <c r="P37" s="7">
        <v>3.4</v>
      </c>
      <c r="Q37" s="7">
        <v>3.4</v>
      </c>
      <c r="R37" s="7">
        <v>3.4</v>
      </c>
      <c r="S37" s="5">
        <f t="shared" si="2"/>
        <v>3.4</v>
      </c>
      <c r="T37" s="5" t="str">
        <f t="shared" si="3"/>
        <v>BASICO</v>
      </c>
      <c r="U37" s="5">
        <v>4</v>
      </c>
      <c r="V37" s="7"/>
      <c r="W37" s="7"/>
      <c r="X37" s="7"/>
      <c r="Y37" s="5">
        <f t="shared" si="4"/>
        <v>0</v>
      </c>
      <c r="Z37" s="5" t="str">
        <f t="shared" si="5"/>
        <v>BAJO</v>
      </c>
      <c r="AA37" s="5">
        <v>1</v>
      </c>
      <c r="AB37" s="7">
        <v>3.8</v>
      </c>
      <c r="AC37" s="7">
        <v>3.8</v>
      </c>
      <c r="AD37" s="7">
        <v>3.8</v>
      </c>
      <c r="AE37" s="5">
        <f t="shared" si="6"/>
        <v>3.8</v>
      </c>
      <c r="AF37" s="5" t="str">
        <f t="shared" si="7"/>
        <v>BASICO</v>
      </c>
      <c r="AG37" s="5">
        <v>2</v>
      </c>
      <c r="AH37" s="8">
        <v>3.5</v>
      </c>
      <c r="AI37" s="8">
        <v>3.5</v>
      </c>
      <c r="AJ37" s="8">
        <v>3.5</v>
      </c>
      <c r="AK37" s="5">
        <f t="shared" si="8"/>
        <v>3.5</v>
      </c>
      <c r="AL37" s="5" t="str">
        <f t="shared" si="9"/>
        <v>BASICO</v>
      </c>
      <c r="AM37" s="5">
        <v>1</v>
      </c>
      <c r="AN37" s="8">
        <v>3.5</v>
      </c>
      <c r="AO37" s="8">
        <v>3.5</v>
      </c>
      <c r="AP37" s="8">
        <v>3.5</v>
      </c>
      <c r="AQ37" s="5">
        <f t="shared" si="10"/>
        <v>3.5</v>
      </c>
      <c r="AR37" s="5" t="str">
        <f t="shared" si="11"/>
        <v>BASICO</v>
      </c>
      <c r="AS37" s="5">
        <v>4</v>
      </c>
      <c r="AT37" s="7">
        <v>3</v>
      </c>
      <c r="AU37" s="7">
        <v>3</v>
      </c>
      <c r="AV37" s="7">
        <v>3</v>
      </c>
      <c r="AW37" s="5">
        <f t="shared" si="34"/>
        <v>3</v>
      </c>
      <c r="AX37" s="5" t="str">
        <f t="shared" si="51"/>
        <v>BASICO</v>
      </c>
      <c r="AY37" s="5">
        <v>1</v>
      </c>
      <c r="AZ37" s="7">
        <v>4.5</v>
      </c>
      <c r="BA37" s="7">
        <v>4</v>
      </c>
      <c r="BB37" s="7">
        <v>4</v>
      </c>
      <c r="BC37" s="5">
        <f t="shared" si="13"/>
        <v>4.1500000000000004</v>
      </c>
      <c r="BD37" s="5" t="str">
        <f t="shared" si="14"/>
        <v>ALTO</v>
      </c>
      <c r="BE37" s="7">
        <v>2</v>
      </c>
      <c r="BF37" s="7">
        <v>3.4</v>
      </c>
      <c r="BG37" s="7">
        <v>3.3</v>
      </c>
      <c r="BH37" s="7">
        <v>3.8</v>
      </c>
      <c r="BI37" s="5">
        <f t="shared" ref="BI37:BI40" si="75">((BF37*0.3)+(BG37*0.4)+(BH37*0.3))</f>
        <v>3.4799999999999995</v>
      </c>
      <c r="BJ37" s="5" t="str">
        <f t="shared" si="15"/>
        <v>BASICO</v>
      </c>
      <c r="BK37" s="5">
        <v>1</v>
      </c>
      <c r="BL37" s="7">
        <v>3.3</v>
      </c>
      <c r="BM37" s="7">
        <v>3.8</v>
      </c>
      <c r="BN37" s="7">
        <v>3.6</v>
      </c>
      <c r="BO37" s="5">
        <f t="shared" si="70"/>
        <v>3.59</v>
      </c>
      <c r="BP37" s="5" t="str">
        <f t="shared" si="17"/>
        <v>BASICO</v>
      </c>
      <c r="BQ37" s="5">
        <v>1</v>
      </c>
      <c r="BR37" s="7">
        <v>3.3</v>
      </c>
      <c r="BS37" s="7">
        <v>3.6</v>
      </c>
      <c r="BT37" s="7">
        <v>3.9</v>
      </c>
      <c r="BU37" s="5">
        <f t="shared" si="18"/>
        <v>3.6</v>
      </c>
      <c r="BV37" s="5" t="str">
        <f t="shared" si="19"/>
        <v>BASICO</v>
      </c>
      <c r="BW37" s="5">
        <v>1</v>
      </c>
      <c r="BX37" s="7">
        <v>3.3</v>
      </c>
      <c r="BY37" s="7">
        <v>3.5</v>
      </c>
      <c r="BZ37" s="7">
        <v>3.8</v>
      </c>
      <c r="CA37" s="5">
        <f t="shared" si="20"/>
        <v>3.5300000000000002</v>
      </c>
      <c r="CB37" s="5" t="str">
        <f t="shared" si="21"/>
        <v>BASICO</v>
      </c>
      <c r="CC37" s="5">
        <v>1</v>
      </c>
      <c r="CD37" s="7">
        <v>3.7</v>
      </c>
      <c r="CE37" s="7">
        <v>3.8</v>
      </c>
      <c r="CF37" s="7">
        <v>3.8</v>
      </c>
      <c r="CG37" s="5">
        <f t="shared" si="22"/>
        <v>3.7699999999999996</v>
      </c>
      <c r="CH37" s="5" t="str">
        <f t="shared" si="23"/>
        <v>BASICO</v>
      </c>
      <c r="CI37" s="5">
        <v>1</v>
      </c>
      <c r="CJ37" s="7">
        <v>4.2</v>
      </c>
      <c r="CK37" s="7">
        <v>4.2</v>
      </c>
      <c r="CL37" s="7">
        <v>4</v>
      </c>
      <c r="CM37" s="5">
        <f t="shared" si="24"/>
        <v>4.1400000000000006</v>
      </c>
      <c r="CN37" s="5" t="str">
        <f t="shared" si="25"/>
        <v>ALTO</v>
      </c>
      <c r="CO37" s="5">
        <v>1</v>
      </c>
      <c r="CP37" s="7">
        <v>4</v>
      </c>
      <c r="CQ37" s="7">
        <v>4</v>
      </c>
      <c r="CR37" s="7">
        <v>4</v>
      </c>
      <c r="CS37" s="5">
        <f t="shared" si="26"/>
        <v>4</v>
      </c>
      <c r="CT37" s="5" t="str">
        <f t="shared" si="27"/>
        <v>ALTO</v>
      </c>
      <c r="CU37" s="5">
        <v>2</v>
      </c>
      <c r="CV37" s="7">
        <v>2.5</v>
      </c>
      <c r="CW37" s="7">
        <v>2.5</v>
      </c>
      <c r="CX37" s="7">
        <v>2.5</v>
      </c>
      <c r="CY37" s="5">
        <f t="shared" si="28"/>
        <v>2.5</v>
      </c>
      <c r="CZ37" s="5" t="str">
        <f t="shared" si="29"/>
        <v>BAJO</v>
      </c>
      <c r="DA37" s="5">
        <v>2</v>
      </c>
      <c r="DB37" s="7">
        <v>3.2</v>
      </c>
      <c r="DC37" s="7">
        <v>3.2</v>
      </c>
      <c r="DD37" s="7">
        <v>4.0999999999999996</v>
      </c>
      <c r="DE37" s="5">
        <f t="shared" si="30"/>
        <v>3.4699999999999998</v>
      </c>
      <c r="DF37" s="5" t="str">
        <f t="shared" si="31"/>
        <v>BASICO</v>
      </c>
      <c r="DG37" s="5">
        <v>0</v>
      </c>
      <c r="DH37" s="7">
        <v>4.0999999999999996</v>
      </c>
      <c r="DI37" s="5" t="str">
        <f t="shared" si="32"/>
        <v>ALTO</v>
      </c>
      <c r="DJ37" s="5">
        <f t="shared" si="33"/>
        <v>3.3723529411764708</v>
      </c>
      <c r="DK37" s="5" t="str">
        <f t="shared" si="36"/>
        <v>Comprende el concepto de números reales, su relación de orden y las propiedades de sus operaciones, así como las relaciones de semejanza y congruencia de distintas figuras geométricas.</v>
      </c>
      <c r="DL37" s="5" t="str">
        <f t="shared" ref="DL37:FJ37" si="76">DL36</f>
        <v>Aplica correctamente las propiedades de las operaciones de números reales y expresiones algebraicas en la resolución de problemas.</v>
      </c>
      <c r="DM37" s="5" t="str">
        <f t="shared" si="76"/>
        <v>Valora el uso del pensamiento lógico a la hora de plantear y resolver problemas de las matemáticas y de la vida cotidiana.</v>
      </c>
      <c r="DN37" s="5" t="str">
        <f t="shared" si="7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7" s="5" t="str">
        <f t="shared" si="76"/>
        <v>Organiza y analiza datos mediante la construcción de tablas de frecuencias y diagramas estadísticos, identificando variables aleatorias y utilizando estas representaciones para resolver situaciones problema.</v>
      </c>
      <c r="DP37" s="5" t="str">
        <f t="shared" si="76"/>
        <v>Muestra disposición y responsabilidad en el manejo y análisis de datos, participando activamente en actividades individuales y colaborativas, y comunicando información estadística con claridad y sentido crítico.</v>
      </c>
      <c r="DQ37" s="5" t="str">
        <f t="shared" si="76"/>
        <v>Analiza las características de la literatura prehispánica y la literatura del descubrimiento y la conquista en Colombia identificando sus elementos fundamentales y su impacto en la cultura y el lenguaje actual.</v>
      </c>
      <c r="DR37" s="5" t="str">
        <f t="shared" si="76"/>
        <v>Realiza comprensión lectora cuando analiza un texto desde el discurso de la Enunciación e identifica la función de cada uno de sus componentes.
Responde preguntas en los tres niveles de lectura a una leyenda del Caribe.</v>
      </c>
      <c r="DS37" s="5" t="str">
        <f t="shared" si="76"/>
        <v>Muestra disposición para participar activamente en las clases, promoviendo el respeto por las ideas ajenas y reconociendo la importancia de la precisión como una herramienta clave para una comunicación</v>
      </c>
      <c r="DT37" s="5" t="str">
        <f t="shared" si="76"/>
        <v>Comprende el contenido del cuento A la deriva, identificando su tema central, la secuencia de los hechos, los personajes y las ideas explícitas e implícitas del texto.</v>
      </c>
      <c r="DU37" s="5" t="str">
        <f t="shared" si="76"/>
        <v>Analiza críticamente el cuento A la deriva mediante la identificación de información literal, inferencial y crítica, sustentando sus respuestas de forma oral y escrita.</v>
      </c>
      <c r="DV37" s="5" t="str">
        <f t="shared" si="76"/>
        <v>Valora la lectura literaria como una oportunidad para reflexionar sobre la vida, la naturaleza y la condición humana, participando con interés, respeto y sentido crítico en las actividades propuestas.</v>
      </c>
      <c r="DW37" s="5" t="str">
        <f t="shared" si="76"/>
        <v>Comprende y reconoce vocabulario y estructuras basicas del ingles para interpretar textos cortos y conversaciones sobre temas cotidianos de la vida diaria.</v>
      </c>
      <c r="DX37" s="5" t="str">
        <f t="shared" si="76"/>
        <v>Produce de forma oral y escrita frases y parrafos cortos en Ingles, utilizando correctamente las estructuras conocidas para describir rutinas, narrar experiencias y participar en conversaciones.</v>
      </c>
      <c r="DY37" s="5" t="str">
        <f t="shared" si="76"/>
        <v>Muestra disposicion positiva hacia el aprendizaje del Ingles participando activamente en clase.</v>
      </c>
      <c r="DZ37" s="5" t="str">
        <f t="shared" si="76"/>
        <v>Identifica vocabulario en Ingles  de situaciones cotidianas.</v>
      </c>
      <c r="EA37" s="5" t="str">
        <f t="shared" si="76"/>
        <v>Participa en actividades utilizando vocabulario aprendido para expresar gustos,emociones y necesidades.</v>
      </c>
      <c r="EB37" s="5" t="str">
        <f t="shared" si="76"/>
        <v>Respeta la opinion de los demas, muestra disposicion para participar en actividades orales.</v>
      </c>
      <c r="EC37" s="5" t="str">
        <f t="shared" si="76"/>
        <v>Identifica la conformación y funcionamiento del sistema inmunolófico y diferencia las característics de los estados de la materia.</v>
      </c>
      <c r="ED37" s="5" t="str">
        <f t="shared" si="76"/>
        <v>Reconoce experimentalmente las características de materiales en los diferentes estados de la materia.</v>
      </c>
      <c r="EE37" s="5" t="str">
        <f t="shared" si="76"/>
        <v xml:space="preserve">Valora la importancia de tener habitos saludables, para lograr el mantenimiento saludable del sistema inmune. </v>
      </c>
      <c r="EF37" s="5" t="str">
        <f t="shared" si="76"/>
        <v>Describe correctamente la secuencia de eventos biologicos de la fecundacion,incluyendo las recciones acrosomicas,la funcion de gametos y la formacion de gametos.</v>
      </c>
      <c r="EG37" s="5" t="str">
        <f t="shared" si="76"/>
        <v>Mide la capacidad del labolatrio para lograr la fecundacion exitosa de los ovulos con el espermatozoide.</v>
      </c>
      <c r="EH37" s="5" t="str">
        <f t="shared" si="76"/>
        <v>Valora la importancia del cuidado del cuerpo y de la salud reproductiva como la base para una fecundacion saludable.</v>
      </c>
      <c r="EI37" s="5" t="str">
        <f t="shared" si="76"/>
        <v>Explico las principales caracteristicas de algunas revoluciones de los siglos XVIII y XIX (Revolucion francesa, Industrial...)</v>
      </c>
      <c r="EJ37" s="5" t="str">
        <f t="shared" si="76"/>
        <v>Analiza las causas y consecuencias de procesos historicos como la Revolucion Industrial y Francesa.</v>
      </c>
      <c r="EK37" s="5" t="str">
        <f t="shared" si="76"/>
        <v>Muestra interes y curiosidad por comprender los procesos historicos y su impacto en la sociedad.</v>
      </c>
      <c r="EL37" s="5" t="str">
        <f t="shared" si="76"/>
        <v xml:space="preserve">Identifica los procesos historicos de algunas revoluciones de los siglos XVIII y XIX </v>
      </c>
      <c r="EM37" s="5">
        <f t="shared" si="76"/>
        <v>0</v>
      </c>
      <c r="EN37" s="5">
        <f t="shared" si="76"/>
        <v>0</v>
      </c>
      <c r="EO37" s="5" t="str">
        <f t="shared" si="76"/>
        <v xml:space="preserve">Comprende la distribucion espacial de la poblacion antes y despues de las revoluciones </v>
      </c>
      <c r="EP37" s="5" t="str">
        <f t="shared" si="76"/>
        <v xml:space="preserve">Ubica en mapas las regiones donde se desarrollaron las principales revoluciones y explica sus caracteristicas geograficas </v>
      </c>
      <c r="EQ37" s="5" t="str">
        <f t="shared" si="76"/>
        <v>Muestra interes por comprender la relacion entre sociedad, economia y territorio</v>
      </c>
      <c r="ER37" s="5" t="str">
        <f t="shared" si="76"/>
        <v>Comprende el concepto de cultura de paz y su importancia en la sociedad</v>
      </c>
      <c r="ES37" s="5" t="str">
        <f t="shared" si="76"/>
        <v>Practica normas de convivencia en diferentes espacios( aula, hogar, comunidad)</v>
      </c>
      <c r="ET37" s="5" t="str">
        <f t="shared" si="76"/>
        <v>Muestra actitud de respeto hacia la diversidad cuktural, social y de pensamiento</v>
      </c>
      <c r="EU37" s="5">
        <f t="shared" si="76"/>
        <v>0</v>
      </c>
      <c r="EV37" s="5">
        <f t="shared" si="76"/>
        <v>0</v>
      </c>
      <c r="EW37" s="5">
        <f t="shared" si="76"/>
        <v>0</v>
      </c>
      <c r="EX37" s="5">
        <f t="shared" si="76"/>
        <v>0</v>
      </c>
      <c r="EY37" s="5">
        <f t="shared" si="76"/>
        <v>0</v>
      </c>
      <c r="EZ37" s="5">
        <f t="shared" si="76"/>
        <v>0</v>
      </c>
      <c r="FA37" s="5">
        <f t="shared" si="76"/>
        <v>0</v>
      </c>
      <c r="FB37" s="5">
        <f t="shared" si="76"/>
        <v>0</v>
      </c>
      <c r="FC37" s="5">
        <f t="shared" si="76"/>
        <v>0</v>
      </c>
      <c r="FD37" s="5" t="str">
        <f t="shared" si="76"/>
        <v xml:space="preserve"> Identifica las expresiones motrices relacionadas con el juego del voleibol,  como una oportunidad para mejorar la salud, la estética y las relaciones con los demás.</v>
      </c>
      <c r="FE37" s="5" t="str">
        <f t="shared" si="76"/>
        <v>Pone en práctica los fundamentos básicos del voleibol.</v>
      </c>
      <c r="FF37" s="5" t="str">
        <f t="shared" si="76"/>
        <v>Muestra  responsabilidad y buena actitud al realizar el juego de voleibol.</v>
      </c>
      <c r="FG37" s="5" t="str">
        <f t="shared" si="76"/>
        <v>Comprende el concepto de variable como espacio de almacenamiento de datos y reconoce el uso de estructuras condicionales (si, si-no) para la toma de decisiones en un programa.</v>
      </c>
      <c r="FH37" s="5" t="str">
        <f t="shared" si="76"/>
        <v>Diseña y desarrolla programas que utilizan variables y estructuras condicionales para resolver problemas, evaluando condiciones y generando respuestas según diferentes situaciones.</v>
      </c>
      <c r="FI37" s="5" t="str">
        <f t="shared" si="76"/>
        <v>Muestra pensamiento lógico, perseverancia y actitud crítica al analizar errores y proponer soluciones en la construcción de programas con variables y condicionales.</v>
      </c>
      <c r="FJ37" s="5" t="str">
        <f t="shared" si="76"/>
        <v>Identifica y reconoce sus pricipales deberes y derechos dentro y fuera  de la Institución educativa.</v>
      </c>
    </row>
    <row r="38" spans="1:166" ht="15.75" customHeight="1">
      <c r="A38" s="5">
        <v>37</v>
      </c>
      <c r="B38" s="14" t="s">
        <v>172</v>
      </c>
      <c r="C38" s="24">
        <v>1044648944</v>
      </c>
      <c r="D38" s="5" t="s">
        <v>134</v>
      </c>
      <c r="E38" s="5" t="s">
        <v>135</v>
      </c>
      <c r="F38" s="14" t="s">
        <v>70</v>
      </c>
      <c r="G38" s="5" t="s">
        <v>71</v>
      </c>
      <c r="H38" s="5">
        <v>2026</v>
      </c>
      <c r="I38" s="14">
        <v>4</v>
      </c>
      <c r="J38" s="15">
        <v>3</v>
      </c>
      <c r="K38" s="15">
        <v>3</v>
      </c>
      <c r="L38" s="15">
        <v>3</v>
      </c>
      <c r="M38" s="14">
        <f t="shared" si="0"/>
        <v>3</v>
      </c>
      <c r="N38" s="14" t="str">
        <f t="shared" si="1"/>
        <v>BASICO</v>
      </c>
      <c r="O38" s="14">
        <v>1</v>
      </c>
      <c r="P38" s="15">
        <v>2.6</v>
      </c>
      <c r="Q38" s="15">
        <v>2.6</v>
      </c>
      <c r="R38" s="15">
        <v>2.6</v>
      </c>
      <c r="S38" s="14">
        <f t="shared" si="2"/>
        <v>2.6</v>
      </c>
      <c r="T38" s="14" t="str">
        <f t="shared" si="3"/>
        <v>BAJO</v>
      </c>
      <c r="U38" s="14">
        <v>4</v>
      </c>
      <c r="V38" s="15"/>
      <c r="W38" s="15"/>
      <c r="X38" s="15"/>
      <c r="Y38" s="14">
        <f t="shared" si="4"/>
        <v>0</v>
      </c>
      <c r="Z38" s="14" t="str">
        <f t="shared" si="5"/>
        <v>BAJO</v>
      </c>
      <c r="AA38" s="14">
        <v>1</v>
      </c>
      <c r="AB38" s="15">
        <v>3.8</v>
      </c>
      <c r="AC38" s="15">
        <v>3.8</v>
      </c>
      <c r="AD38" s="15">
        <v>3.8</v>
      </c>
      <c r="AE38" s="14">
        <f t="shared" si="6"/>
        <v>3.8</v>
      </c>
      <c r="AF38" s="14" t="str">
        <f t="shared" si="7"/>
        <v>BASICO</v>
      </c>
      <c r="AG38" s="14">
        <v>2</v>
      </c>
      <c r="AH38" s="8">
        <v>3.5</v>
      </c>
      <c r="AI38" s="8">
        <v>3.5</v>
      </c>
      <c r="AJ38" s="8">
        <v>3.5</v>
      </c>
      <c r="AK38" s="14">
        <f t="shared" si="8"/>
        <v>3.5</v>
      </c>
      <c r="AL38" s="14" t="str">
        <f t="shared" si="9"/>
        <v>BASICO</v>
      </c>
      <c r="AM38" s="14">
        <v>1</v>
      </c>
      <c r="AN38" s="8">
        <v>3.5</v>
      </c>
      <c r="AO38" s="8">
        <v>3.5</v>
      </c>
      <c r="AP38" s="8">
        <v>3.5</v>
      </c>
      <c r="AQ38" s="14">
        <f t="shared" si="10"/>
        <v>3.5</v>
      </c>
      <c r="AR38" s="14" t="str">
        <f t="shared" si="11"/>
        <v>BASICO</v>
      </c>
      <c r="AS38" s="5">
        <v>4</v>
      </c>
      <c r="AT38" s="15">
        <v>3</v>
      </c>
      <c r="AU38" s="15">
        <v>3</v>
      </c>
      <c r="AV38" s="15">
        <v>3</v>
      </c>
      <c r="AW38" s="14">
        <f t="shared" si="34"/>
        <v>3</v>
      </c>
      <c r="AX38" s="14" t="str">
        <f t="shared" si="51"/>
        <v>BASICO</v>
      </c>
      <c r="AY38" s="14">
        <v>1</v>
      </c>
      <c r="AZ38" s="15">
        <v>4</v>
      </c>
      <c r="BA38" s="15">
        <v>4</v>
      </c>
      <c r="BB38" s="15">
        <v>4</v>
      </c>
      <c r="BC38" s="14">
        <f t="shared" si="13"/>
        <v>4</v>
      </c>
      <c r="BD38" s="14" t="str">
        <f t="shared" si="14"/>
        <v>ALTO</v>
      </c>
      <c r="BE38" s="15">
        <v>2</v>
      </c>
      <c r="BF38" s="15">
        <v>3.2</v>
      </c>
      <c r="BG38" s="15">
        <v>3.3</v>
      </c>
      <c r="BH38" s="15">
        <v>3.5</v>
      </c>
      <c r="BI38" s="14">
        <f t="shared" si="75"/>
        <v>3.33</v>
      </c>
      <c r="BJ38" s="14" t="str">
        <f t="shared" si="15"/>
        <v>BASICO</v>
      </c>
      <c r="BK38" s="14">
        <v>1</v>
      </c>
      <c r="BL38" s="17">
        <v>3.3</v>
      </c>
      <c r="BM38" s="17">
        <v>3.8</v>
      </c>
      <c r="BN38" s="17">
        <v>3.4</v>
      </c>
      <c r="BO38" s="14">
        <f t="shared" si="70"/>
        <v>3.53</v>
      </c>
      <c r="BP38" s="14" t="str">
        <f t="shared" si="17"/>
        <v>BASICO</v>
      </c>
      <c r="BQ38" s="14">
        <v>1</v>
      </c>
      <c r="BR38" s="17">
        <v>3.3</v>
      </c>
      <c r="BS38" s="17">
        <v>3</v>
      </c>
      <c r="BT38" s="17">
        <v>3.5</v>
      </c>
      <c r="BU38" s="14">
        <f t="shared" si="18"/>
        <v>3.24</v>
      </c>
      <c r="BV38" s="14" t="str">
        <f t="shared" si="19"/>
        <v>BASICO</v>
      </c>
      <c r="BW38" s="14">
        <v>1</v>
      </c>
      <c r="BX38" s="17">
        <v>3.3</v>
      </c>
      <c r="BY38" s="17">
        <v>3.2</v>
      </c>
      <c r="BZ38" s="17">
        <v>3.8</v>
      </c>
      <c r="CA38" s="14">
        <f t="shared" si="20"/>
        <v>3.41</v>
      </c>
      <c r="CB38" s="14" t="str">
        <f t="shared" si="21"/>
        <v>BASICO</v>
      </c>
      <c r="CC38" s="14">
        <v>1</v>
      </c>
      <c r="CD38" s="15">
        <v>3.9</v>
      </c>
      <c r="CE38" s="15">
        <v>3.8</v>
      </c>
      <c r="CF38" s="15">
        <v>3.8</v>
      </c>
      <c r="CG38" s="14">
        <f t="shared" si="22"/>
        <v>3.83</v>
      </c>
      <c r="CH38" s="14" t="str">
        <f t="shared" si="23"/>
        <v>BASICO</v>
      </c>
      <c r="CI38" s="14">
        <v>1</v>
      </c>
      <c r="CJ38" s="15">
        <v>4</v>
      </c>
      <c r="CK38" s="15">
        <v>4</v>
      </c>
      <c r="CL38" s="15">
        <v>4</v>
      </c>
      <c r="CM38" s="14">
        <f t="shared" si="24"/>
        <v>4</v>
      </c>
      <c r="CN38" s="14" t="str">
        <f t="shared" si="25"/>
        <v>ALTO</v>
      </c>
      <c r="CO38" s="5">
        <v>1</v>
      </c>
      <c r="CP38" s="7">
        <v>5</v>
      </c>
      <c r="CQ38" s="7">
        <v>5</v>
      </c>
      <c r="CR38" s="7">
        <v>5</v>
      </c>
      <c r="CS38" s="14">
        <f t="shared" si="26"/>
        <v>5</v>
      </c>
      <c r="CT38" s="14" t="str">
        <f t="shared" si="27"/>
        <v>SUPERIOR</v>
      </c>
      <c r="CU38" s="14">
        <v>2</v>
      </c>
      <c r="CV38" s="15">
        <v>3</v>
      </c>
      <c r="CW38" s="15">
        <v>3</v>
      </c>
      <c r="CX38" s="15">
        <v>3</v>
      </c>
      <c r="CY38" s="14">
        <f t="shared" si="28"/>
        <v>3</v>
      </c>
      <c r="CZ38" s="14" t="str">
        <f t="shared" si="29"/>
        <v>BASICO</v>
      </c>
      <c r="DA38" s="14">
        <v>2</v>
      </c>
      <c r="DB38" s="15">
        <v>3.8</v>
      </c>
      <c r="DC38" s="15">
        <v>4</v>
      </c>
      <c r="DD38" s="15">
        <v>3.5</v>
      </c>
      <c r="DE38" s="14">
        <f t="shared" si="30"/>
        <v>3.79</v>
      </c>
      <c r="DF38" s="14" t="str">
        <f t="shared" si="31"/>
        <v>BASICO</v>
      </c>
      <c r="DG38" s="14">
        <v>0</v>
      </c>
      <c r="DH38" s="15">
        <v>3.5</v>
      </c>
      <c r="DI38" s="14" t="str">
        <f t="shared" si="32"/>
        <v>BASICO</v>
      </c>
      <c r="DJ38" s="5">
        <f t="shared" si="33"/>
        <v>3.3405882352941174</v>
      </c>
      <c r="DK38" s="5" t="str">
        <f t="shared" si="36"/>
        <v>Comprende el concepto de números reales, su relación de orden y las propiedades de sus operaciones, así como las relaciones de semejanza y congruencia de distintas figuras geométricas.</v>
      </c>
      <c r="DL38" s="5" t="str">
        <f t="shared" ref="DL38:FJ38" si="77">DL37</f>
        <v>Aplica correctamente las propiedades de las operaciones de números reales y expresiones algebraicas en la resolución de problemas.</v>
      </c>
      <c r="DM38" s="5" t="str">
        <f t="shared" si="77"/>
        <v>Valora el uso del pensamiento lógico a la hora de plantear y resolver problemas de las matemáticas y de la vida cotidiana.</v>
      </c>
      <c r="DN38" s="5" t="str">
        <f t="shared" si="7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8" s="5" t="str">
        <f t="shared" si="77"/>
        <v>Organiza y analiza datos mediante la construcción de tablas de frecuencias y diagramas estadísticos, identificando variables aleatorias y utilizando estas representaciones para resolver situaciones problema.</v>
      </c>
      <c r="DP38" s="5" t="str">
        <f t="shared" si="77"/>
        <v>Muestra disposición y responsabilidad en el manejo y análisis de datos, participando activamente en actividades individuales y colaborativas, y comunicando información estadística con claridad y sentido crítico.</v>
      </c>
      <c r="DQ38" s="5" t="str">
        <f t="shared" si="77"/>
        <v>Analiza las características de la literatura prehispánica y la literatura del descubrimiento y la conquista en Colombia identificando sus elementos fundamentales y su impacto en la cultura y el lenguaje actual.</v>
      </c>
      <c r="DR38" s="5" t="str">
        <f t="shared" si="77"/>
        <v>Realiza comprensión lectora cuando analiza un texto desde el discurso de la Enunciación e identifica la función de cada uno de sus componentes.
Responde preguntas en los tres niveles de lectura a una leyenda del Caribe.</v>
      </c>
      <c r="DS38" s="5" t="str">
        <f t="shared" si="77"/>
        <v>Muestra disposición para participar activamente en las clases, promoviendo el respeto por las ideas ajenas y reconociendo la importancia de la precisión como una herramienta clave para una comunicación</v>
      </c>
      <c r="DT38" s="5" t="str">
        <f t="shared" si="77"/>
        <v>Comprende el contenido del cuento A la deriva, identificando su tema central, la secuencia de los hechos, los personajes y las ideas explícitas e implícitas del texto.</v>
      </c>
      <c r="DU38" s="5" t="str">
        <f t="shared" si="77"/>
        <v>Analiza críticamente el cuento A la deriva mediante la identificación de información literal, inferencial y crítica, sustentando sus respuestas de forma oral y escrita.</v>
      </c>
      <c r="DV38" s="5" t="str">
        <f t="shared" si="77"/>
        <v>Valora la lectura literaria como una oportunidad para reflexionar sobre la vida, la naturaleza y la condición humana, participando con interés, respeto y sentido crítico en las actividades propuestas.</v>
      </c>
      <c r="DW38" s="5" t="str">
        <f t="shared" si="77"/>
        <v>Comprende y reconoce vocabulario y estructuras basicas del ingles para interpretar textos cortos y conversaciones sobre temas cotidianos de la vida diaria.</v>
      </c>
      <c r="DX38" s="5" t="str">
        <f t="shared" si="77"/>
        <v>Produce de forma oral y escrita frases y parrafos cortos en Ingles, utilizando correctamente las estructuras conocidas para describir rutinas, narrar experiencias y participar en conversaciones.</v>
      </c>
      <c r="DY38" s="5" t="str">
        <f t="shared" si="77"/>
        <v>Muestra disposicion positiva hacia el aprendizaje del Ingles participando activamente en clase.</v>
      </c>
      <c r="DZ38" s="5" t="str">
        <f t="shared" si="77"/>
        <v>Identifica vocabulario en Ingles  de situaciones cotidianas.</v>
      </c>
      <c r="EA38" s="5" t="str">
        <f t="shared" si="77"/>
        <v>Participa en actividades utilizando vocabulario aprendido para expresar gustos,emociones y necesidades.</v>
      </c>
      <c r="EB38" s="5" t="str">
        <f t="shared" si="77"/>
        <v>Respeta la opinion de los demas, muestra disposicion para participar en actividades orales.</v>
      </c>
      <c r="EC38" s="5" t="str">
        <f t="shared" si="77"/>
        <v>Identifica la conformación y funcionamiento del sistema inmunolófico y diferencia las característics de los estados de la materia.</v>
      </c>
      <c r="ED38" s="5" t="str">
        <f t="shared" si="77"/>
        <v>Reconoce experimentalmente las características de materiales en los diferentes estados de la materia.</v>
      </c>
      <c r="EE38" s="5" t="str">
        <f t="shared" si="77"/>
        <v xml:space="preserve">Valora la importancia de tener habitos saludables, para lograr el mantenimiento saludable del sistema inmune. </v>
      </c>
      <c r="EF38" s="5" t="str">
        <f t="shared" si="77"/>
        <v>Describe correctamente la secuencia de eventos biologicos de la fecundacion,incluyendo las recciones acrosomicas,la funcion de gametos y la formacion de gametos.</v>
      </c>
      <c r="EG38" s="5" t="str">
        <f t="shared" si="77"/>
        <v>Mide la capacidad del labolatrio para lograr la fecundacion exitosa de los ovulos con el espermatozoide.</v>
      </c>
      <c r="EH38" s="5" t="str">
        <f t="shared" si="77"/>
        <v>Valora la importancia del cuidado del cuerpo y de la salud reproductiva como la base para una fecundacion saludable.</v>
      </c>
      <c r="EI38" s="5" t="str">
        <f t="shared" si="77"/>
        <v>Explico las principales caracteristicas de algunas revoluciones de los siglos XVIII y XIX (Revolucion francesa, Industrial...)</v>
      </c>
      <c r="EJ38" s="5" t="str">
        <f t="shared" si="77"/>
        <v>Analiza las causas y consecuencias de procesos historicos como la Revolucion Industrial y Francesa.</v>
      </c>
      <c r="EK38" s="5" t="str">
        <f t="shared" si="77"/>
        <v>Muestra interes y curiosidad por comprender los procesos historicos y su impacto en la sociedad.</v>
      </c>
      <c r="EL38" s="5" t="str">
        <f t="shared" si="77"/>
        <v xml:space="preserve">Identifica los procesos historicos de algunas revoluciones de los siglos XVIII y XIX </v>
      </c>
      <c r="EM38" s="5">
        <f t="shared" si="77"/>
        <v>0</v>
      </c>
      <c r="EN38" s="5">
        <f t="shared" si="77"/>
        <v>0</v>
      </c>
      <c r="EO38" s="5" t="str">
        <f t="shared" si="77"/>
        <v xml:space="preserve">Comprende la distribucion espacial de la poblacion antes y despues de las revoluciones </v>
      </c>
      <c r="EP38" s="5" t="str">
        <f t="shared" si="77"/>
        <v xml:space="preserve">Ubica en mapas las regiones donde se desarrollaron las principales revoluciones y explica sus caracteristicas geograficas </v>
      </c>
      <c r="EQ38" s="5" t="str">
        <f t="shared" si="77"/>
        <v>Muestra interes por comprender la relacion entre sociedad, economia y territorio</v>
      </c>
      <c r="ER38" s="5" t="str">
        <f t="shared" si="77"/>
        <v>Comprende el concepto de cultura de paz y su importancia en la sociedad</v>
      </c>
      <c r="ES38" s="5" t="str">
        <f t="shared" si="77"/>
        <v>Practica normas de convivencia en diferentes espacios( aula, hogar, comunidad)</v>
      </c>
      <c r="ET38" s="5" t="str">
        <f t="shared" si="77"/>
        <v>Muestra actitud de respeto hacia la diversidad cuktural, social y de pensamiento</v>
      </c>
      <c r="EU38" s="5">
        <f t="shared" si="77"/>
        <v>0</v>
      </c>
      <c r="EV38" s="5">
        <f t="shared" si="77"/>
        <v>0</v>
      </c>
      <c r="EW38" s="5">
        <f t="shared" si="77"/>
        <v>0</v>
      </c>
      <c r="EX38" s="5">
        <f t="shared" si="77"/>
        <v>0</v>
      </c>
      <c r="EY38" s="5">
        <f t="shared" si="77"/>
        <v>0</v>
      </c>
      <c r="EZ38" s="5">
        <f t="shared" si="77"/>
        <v>0</v>
      </c>
      <c r="FA38" s="5">
        <f t="shared" si="77"/>
        <v>0</v>
      </c>
      <c r="FB38" s="5">
        <f t="shared" si="77"/>
        <v>0</v>
      </c>
      <c r="FC38" s="5">
        <f t="shared" si="77"/>
        <v>0</v>
      </c>
      <c r="FD38" s="5" t="str">
        <f t="shared" si="77"/>
        <v xml:space="preserve"> Identifica las expresiones motrices relacionadas con el juego del voleibol,  como una oportunidad para mejorar la salud, la estética y las relaciones con los demás.</v>
      </c>
      <c r="FE38" s="5" t="str">
        <f t="shared" si="77"/>
        <v>Pone en práctica los fundamentos básicos del voleibol.</v>
      </c>
      <c r="FF38" s="5" t="str">
        <f t="shared" si="77"/>
        <v>Muestra  responsabilidad y buena actitud al realizar el juego de voleibol.</v>
      </c>
      <c r="FG38" s="5" t="str">
        <f t="shared" si="77"/>
        <v>Comprende el concepto de variable como espacio de almacenamiento de datos y reconoce el uso de estructuras condicionales (si, si-no) para la toma de decisiones en un programa.</v>
      </c>
      <c r="FH38" s="5" t="str">
        <f t="shared" si="77"/>
        <v>Diseña y desarrolla programas que utilizan variables y estructuras condicionales para resolver problemas, evaluando condiciones y generando respuestas según diferentes situaciones.</v>
      </c>
      <c r="FI38" s="5" t="str">
        <f t="shared" si="77"/>
        <v>Muestra pensamiento lógico, perseverancia y actitud crítica al analizar errores y proponer soluciones en la construcción de programas con variables y condicionales.</v>
      </c>
      <c r="FJ38" s="5" t="str">
        <f t="shared" si="77"/>
        <v>Identifica y reconoce sus pricipales deberes y derechos dentro y fuera  de la Institución educativa.</v>
      </c>
    </row>
    <row r="39" spans="1:166" ht="15.75" customHeight="1">
      <c r="A39" s="19">
        <v>38</v>
      </c>
      <c r="B39" s="5" t="s">
        <v>173</v>
      </c>
      <c r="C39" s="6">
        <v>1143137667</v>
      </c>
      <c r="D39" s="5" t="s">
        <v>134</v>
      </c>
      <c r="E39" s="5" t="s">
        <v>135</v>
      </c>
      <c r="F39" s="5" t="s">
        <v>70</v>
      </c>
      <c r="G39" s="5" t="s">
        <v>71</v>
      </c>
      <c r="H39" s="5">
        <v>2026</v>
      </c>
      <c r="I39" s="5">
        <v>4</v>
      </c>
      <c r="J39" s="7">
        <v>2.9</v>
      </c>
      <c r="K39" s="7">
        <v>3</v>
      </c>
      <c r="L39" s="7">
        <v>3.1</v>
      </c>
      <c r="M39" s="5">
        <f t="shared" si="0"/>
        <v>3</v>
      </c>
      <c r="N39" s="5" t="str">
        <f t="shared" si="1"/>
        <v>BASICO</v>
      </c>
      <c r="O39" s="5">
        <v>1</v>
      </c>
      <c r="P39" s="7">
        <v>3.4</v>
      </c>
      <c r="Q39" s="7">
        <v>3.4</v>
      </c>
      <c r="R39" s="7">
        <v>3.4</v>
      </c>
      <c r="S39" s="5">
        <f t="shared" si="2"/>
        <v>3.4</v>
      </c>
      <c r="T39" s="5" t="str">
        <f t="shared" si="3"/>
        <v>BASICO</v>
      </c>
      <c r="U39" s="5">
        <v>4</v>
      </c>
      <c r="V39" s="7"/>
      <c r="W39" s="7"/>
      <c r="X39" s="7"/>
      <c r="Y39" s="5">
        <f t="shared" si="4"/>
        <v>0</v>
      </c>
      <c r="Z39" s="5" t="str">
        <f t="shared" si="5"/>
        <v>BAJO</v>
      </c>
      <c r="AA39" s="5">
        <v>1</v>
      </c>
      <c r="AB39" s="7">
        <v>2.7</v>
      </c>
      <c r="AC39" s="7">
        <v>2.7</v>
      </c>
      <c r="AD39" s="7">
        <v>2.7</v>
      </c>
      <c r="AE39" s="5">
        <f t="shared" si="6"/>
        <v>2.7</v>
      </c>
      <c r="AF39" s="5" t="str">
        <f t="shared" si="7"/>
        <v>BAJO</v>
      </c>
      <c r="AG39" s="5">
        <v>2</v>
      </c>
      <c r="AH39" s="8">
        <v>3.8</v>
      </c>
      <c r="AI39" s="8">
        <v>3.5</v>
      </c>
      <c r="AJ39" s="8">
        <v>3.5</v>
      </c>
      <c r="AK39" s="5">
        <f t="shared" si="8"/>
        <v>3.59</v>
      </c>
      <c r="AL39" s="5" t="str">
        <f t="shared" si="9"/>
        <v>BASICO</v>
      </c>
      <c r="AM39" s="5">
        <v>1</v>
      </c>
      <c r="AN39" s="8">
        <v>3.6</v>
      </c>
      <c r="AO39" s="8">
        <v>3.5</v>
      </c>
      <c r="AP39" s="8">
        <v>3.5</v>
      </c>
      <c r="AQ39" s="5">
        <f t="shared" si="10"/>
        <v>3.5300000000000002</v>
      </c>
      <c r="AR39" s="5" t="str">
        <f t="shared" si="11"/>
        <v>BASICO</v>
      </c>
      <c r="AS39" s="5">
        <v>4</v>
      </c>
      <c r="AT39" s="7">
        <v>3</v>
      </c>
      <c r="AU39" s="7">
        <v>3</v>
      </c>
      <c r="AV39" s="7">
        <v>3</v>
      </c>
      <c r="AW39" s="5">
        <f t="shared" si="34"/>
        <v>3</v>
      </c>
      <c r="AX39" s="5" t="str">
        <f t="shared" si="51"/>
        <v>BASICO</v>
      </c>
      <c r="AY39" s="5">
        <v>1</v>
      </c>
      <c r="AZ39" s="7">
        <v>4</v>
      </c>
      <c r="BA39" s="7">
        <v>4</v>
      </c>
      <c r="BB39" s="7">
        <v>4</v>
      </c>
      <c r="BC39" s="5">
        <f t="shared" si="13"/>
        <v>4</v>
      </c>
      <c r="BD39" s="5" t="str">
        <f t="shared" si="14"/>
        <v>ALTO</v>
      </c>
      <c r="BE39" s="7">
        <v>2</v>
      </c>
      <c r="BF39" s="7">
        <v>3.2</v>
      </c>
      <c r="BG39" s="7">
        <v>3.3</v>
      </c>
      <c r="BH39" s="7">
        <v>3</v>
      </c>
      <c r="BI39" s="5">
        <f t="shared" si="75"/>
        <v>3.18</v>
      </c>
      <c r="BJ39" s="5" t="str">
        <f t="shared" si="15"/>
        <v>BASICO</v>
      </c>
      <c r="BK39" s="5">
        <v>1</v>
      </c>
      <c r="BL39" s="7">
        <v>3.2</v>
      </c>
      <c r="BM39" s="7">
        <v>3.5</v>
      </c>
      <c r="BN39" s="7">
        <v>3.3</v>
      </c>
      <c r="BO39" s="5">
        <f t="shared" si="70"/>
        <v>3.35</v>
      </c>
      <c r="BP39" s="5" t="str">
        <f t="shared" si="17"/>
        <v>BASICO</v>
      </c>
      <c r="BQ39" s="5">
        <v>1</v>
      </c>
      <c r="BR39" s="7">
        <v>3.3</v>
      </c>
      <c r="BS39" s="7">
        <v>3.2</v>
      </c>
      <c r="BT39" s="7">
        <v>3.4</v>
      </c>
      <c r="BU39" s="5">
        <f t="shared" si="18"/>
        <v>3.29</v>
      </c>
      <c r="BV39" s="5" t="str">
        <f t="shared" si="19"/>
        <v>BASICO</v>
      </c>
      <c r="BW39" s="5">
        <v>1</v>
      </c>
      <c r="BX39" s="7">
        <v>3</v>
      </c>
      <c r="BY39" s="7">
        <v>3.4</v>
      </c>
      <c r="BZ39" s="7">
        <v>3.3</v>
      </c>
      <c r="CA39" s="5">
        <f t="shared" si="20"/>
        <v>3.2499999999999996</v>
      </c>
      <c r="CB39" s="5" t="str">
        <f t="shared" si="21"/>
        <v>BASICO</v>
      </c>
      <c r="CC39" s="5">
        <v>1</v>
      </c>
      <c r="CD39" s="7">
        <v>3.8</v>
      </c>
      <c r="CE39" s="7">
        <v>3.7</v>
      </c>
      <c r="CF39" s="7">
        <v>3.7</v>
      </c>
      <c r="CG39" s="5">
        <f t="shared" si="22"/>
        <v>3.7300000000000004</v>
      </c>
      <c r="CH39" s="5" t="str">
        <f t="shared" si="23"/>
        <v>BASICO</v>
      </c>
      <c r="CI39" s="5">
        <v>1</v>
      </c>
      <c r="CJ39" s="7">
        <v>4.3</v>
      </c>
      <c r="CK39" s="7">
        <v>4</v>
      </c>
      <c r="CL39" s="7">
        <v>4</v>
      </c>
      <c r="CM39" s="5">
        <f t="shared" si="24"/>
        <v>4.09</v>
      </c>
      <c r="CN39" s="5" t="str">
        <f t="shared" si="25"/>
        <v>ALTO</v>
      </c>
      <c r="CO39" s="5">
        <v>1</v>
      </c>
      <c r="CP39" s="7">
        <v>5</v>
      </c>
      <c r="CQ39" s="7">
        <v>5</v>
      </c>
      <c r="CR39" s="7">
        <v>5</v>
      </c>
      <c r="CS39" s="5">
        <f t="shared" si="26"/>
        <v>5</v>
      </c>
      <c r="CT39" s="5" t="str">
        <f t="shared" si="27"/>
        <v>SUPERIOR</v>
      </c>
      <c r="CU39" s="5">
        <v>2</v>
      </c>
      <c r="CV39" s="7">
        <v>2</v>
      </c>
      <c r="CW39" s="7">
        <v>2</v>
      </c>
      <c r="CX39" s="7">
        <v>2</v>
      </c>
      <c r="CY39" s="5">
        <f t="shared" si="28"/>
        <v>2</v>
      </c>
      <c r="CZ39" s="5" t="str">
        <f t="shared" si="29"/>
        <v>BAJO</v>
      </c>
      <c r="DA39" s="5">
        <v>2</v>
      </c>
      <c r="DB39" s="7">
        <v>4</v>
      </c>
      <c r="DC39" s="7">
        <v>4</v>
      </c>
      <c r="DD39" s="7">
        <v>4</v>
      </c>
      <c r="DE39" s="5">
        <f t="shared" si="30"/>
        <v>4</v>
      </c>
      <c r="DF39" s="5" t="str">
        <f t="shared" si="31"/>
        <v>ALTO</v>
      </c>
      <c r="DG39" s="5">
        <v>0</v>
      </c>
      <c r="DH39" s="7">
        <v>4</v>
      </c>
      <c r="DI39" s="5" t="str">
        <f t="shared" si="32"/>
        <v>ALTO</v>
      </c>
      <c r="DJ39" s="5">
        <f t="shared" si="33"/>
        <v>3.283529411764706</v>
      </c>
      <c r="DK39" s="5" t="str">
        <f t="shared" si="36"/>
        <v>Comprende el concepto de números reales, su relación de orden y las propiedades de sus operaciones, así como las relaciones de semejanza y congruencia de distintas figuras geométricas.</v>
      </c>
      <c r="DL39" s="5" t="str">
        <f t="shared" ref="DL39:FJ39" si="78">DL38</f>
        <v>Aplica correctamente las propiedades de las operaciones de números reales y expresiones algebraicas en la resolución de problemas.</v>
      </c>
      <c r="DM39" s="5" t="str">
        <f t="shared" si="78"/>
        <v>Valora el uso del pensamiento lógico a la hora de plantear y resolver problemas de las matemáticas y de la vida cotidiana.</v>
      </c>
      <c r="DN39" s="5" t="str">
        <f t="shared" si="7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9" s="5" t="str">
        <f t="shared" si="78"/>
        <v>Organiza y analiza datos mediante la construcción de tablas de frecuencias y diagramas estadísticos, identificando variables aleatorias y utilizando estas representaciones para resolver situaciones problema.</v>
      </c>
      <c r="DP39" s="5" t="str">
        <f t="shared" si="78"/>
        <v>Muestra disposición y responsabilidad en el manejo y análisis de datos, participando activamente en actividades individuales y colaborativas, y comunicando información estadística con claridad y sentido crítico.</v>
      </c>
      <c r="DQ39" s="5" t="str">
        <f t="shared" si="78"/>
        <v>Analiza las características de la literatura prehispánica y la literatura del descubrimiento y la conquista en Colombia identificando sus elementos fundamentales y su impacto en la cultura y el lenguaje actual.</v>
      </c>
      <c r="DR39" s="5" t="str">
        <f t="shared" si="78"/>
        <v>Realiza comprensión lectora cuando analiza un texto desde el discurso de la Enunciación e identifica la función de cada uno de sus componentes.
Responde preguntas en los tres niveles de lectura a una leyenda del Caribe.</v>
      </c>
      <c r="DS39" s="5" t="str">
        <f t="shared" si="78"/>
        <v>Muestra disposición para participar activamente en las clases, promoviendo el respeto por las ideas ajenas y reconociendo la importancia de la precisión como una herramienta clave para una comunicación</v>
      </c>
      <c r="DT39" s="5" t="str">
        <f t="shared" si="78"/>
        <v>Comprende el contenido del cuento A la deriva, identificando su tema central, la secuencia de los hechos, los personajes y las ideas explícitas e implícitas del texto.</v>
      </c>
      <c r="DU39" s="5" t="str">
        <f t="shared" si="78"/>
        <v>Analiza críticamente el cuento A la deriva mediante la identificación de información literal, inferencial y crítica, sustentando sus respuestas de forma oral y escrita.</v>
      </c>
      <c r="DV39" s="5" t="str">
        <f t="shared" si="78"/>
        <v>Valora la lectura literaria como una oportunidad para reflexionar sobre la vida, la naturaleza y la condición humana, participando con interés, respeto y sentido crítico en las actividades propuestas.</v>
      </c>
      <c r="DW39" s="5" t="str">
        <f t="shared" si="78"/>
        <v>Comprende y reconoce vocabulario y estructuras basicas del ingles para interpretar textos cortos y conversaciones sobre temas cotidianos de la vida diaria.</v>
      </c>
      <c r="DX39" s="5" t="str">
        <f t="shared" si="78"/>
        <v>Produce de forma oral y escrita frases y parrafos cortos en Ingles, utilizando correctamente las estructuras conocidas para describir rutinas, narrar experiencias y participar en conversaciones.</v>
      </c>
      <c r="DY39" s="5" t="str">
        <f t="shared" si="78"/>
        <v>Muestra disposicion positiva hacia el aprendizaje del Ingles participando activamente en clase.</v>
      </c>
      <c r="DZ39" s="5" t="str">
        <f t="shared" si="78"/>
        <v>Identifica vocabulario en Ingles  de situaciones cotidianas.</v>
      </c>
      <c r="EA39" s="5" t="str">
        <f t="shared" si="78"/>
        <v>Participa en actividades utilizando vocabulario aprendido para expresar gustos,emociones y necesidades.</v>
      </c>
      <c r="EB39" s="5" t="str">
        <f t="shared" si="78"/>
        <v>Respeta la opinion de los demas, muestra disposicion para participar en actividades orales.</v>
      </c>
      <c r="EC39" s="5" t="str">
        <f t="shared" si="78"/>
        <v>Identifica la conformación y funcionamiento del sistema inmunolófico y diferencia las característics de los estados de la materia.</v>
      </c>
      <c r="ED39" s="5" t="str">
        <f t="shared" si="78"/>
        <v>Reconoce experimentalmente las características de materiales en los diferentes estados de la materia.</v>
      </c>
      <c r="EE39" s="5" t="str">
        <f t="shared" si="78"/>
        <v xml:space="preserve">Valora la importancia de tener habitos saludables, para lograr el mantenimiento saludable del sistema inmune. </v>
      </c>
      <c r="EF39" s="5" t="str">
        <f t="shared" si="78"/>
        <v>Describe correctamente la secuencia de eventos biologicos de la fecundacion,incluyendo las recciones acrosomicas,la funcion de gametos y la formacion de gametos.</v>
      </c>
      <c r="EG39" s="5" t="str">
        <f t="shared" si="78"/>
        <v>Mide la capacidad del labolatrio para lograr la fecundacion exitosa de los ovulos con el espermatozoide.</v>
      </c>
      <c r="EH39" s="5" t="str">
        <f t="shared" si="78"/>
        <v>Valora la importancia del cuidado del cuerpo y de la salud reproductiva como la base para una fecundacion saludable.</v>
      </c>
      <c r="EI39" s="5" t="str">
        <f t="shared" si="78"/>
        <v>Explico las principales caracteristicas de algunas revoluciones de los siglos XVIII y XIX (Revolucion francesa, Industrial...)</v>
      </c>
      <c r="EJ39" s="5" t="str">
        <f t="shared" si="78"/>
        <v>Analiza las causas y consecuencias de procesos historicos como la Revolucion Industrial y Francesa.</v>
      </c>
      <c r="EK39" s="5" t="str">
        <f t="shared" si="78"/>
        <v>Muestra interes y curiosidad por comprender los procesos historicos y su impacto en la sociedad.</v>
      </c>
      <c r="EL39" s="5" t="str">
        <f t="shared" si="78"/>
        <v xml:space="preserve">Identifica los procesos historicos de algunas revoluciones de los siglos XVIII y XIX </v>
      </c>
      <c r="EM39" s="5">
        <f t="shared" si="78"/>
        <v>0</v>
      </c>
      <c r="EN39" s="5">
        <f t="shared" si="78"/>
        <v>0</v>
      </c>
      <c r="EO39" s="5" t="str">
        <f t="shared" si="78"/>
        <v xml:space="preserve">Comprende la distribucion espacial de la poblacion antes y despues de las revoluciones </v>
      </c>
      <c r="EP39" s="5" t="str">
        <f t="shared" si="78"/>
        <v xml:space="preserve">Ubica en mapas las regiones donde se desarrollaron las principales revoluciones y explica sus caracteristicas geograficas </v>
      </c>
      <c r="EQ39" s="5" t="str">
        <f t="shared" si="78"/>
        <v>Muestra interes por comprender la relacion entre sociedad, economia y territorio</v>
      </c>
      <c r="ER39" s="5" t="str">
        <f t="shared" si="78"/>
        <v>Comprende el concepto de cultura de paz y su importancia en la sociedad</v>
      </c>
      <c r="ES39" s="5" t="str">
        <f t="shared" si="78"/>
        <v>Practica normas de convivencia en diferentes espacios( aula, hogar, comunidad)</v>
      </c>
      <c r="ET39" s="5" t="str">
        <f t="shared" si="78"/>
        <v>Muestra actitud de respeto hacia la diversidad cuktural, social y de pensamiento</v>
      </c>
      <c r="EU39" s="5">
        <f t="shared" si="78"/>
        <v>0</v>
      </c>
      <c r="EV39" s="5">
        <f t="shared" si="78"/>
        <v>0</v>
      </c>
      <c r="EW39" s="5">
        <f t="shared" si="78"/>
        <v>0</v>
      </c>
      <c r="EX39" s="5">
        <f t="shared" si="78"/>
        <v>0</v>
      </c>
      <c r="EY39" s="5">
        <f t="shared" si="78"/>
        <v>0</v>
      </c>
      <c r="EZ39" s="5">
        <f t="shared" si="78"/>
        <v>0</v>
      </c>
      <c r="FA39" s="5">
        <f t="shared" si="78"/>
        <v>0</v>
      </c>
      <c r="FB39" s="5">
        <f t="shared" si="78"/>
        <v>0</v>
      </c>
      <c r="FC39" s="5">
        <f t="shared" si="78"/>
        <v>0</v>
      </c>
      <c r="FD39" s="5" t="str">
        <f t="shared" si="78"/>
        <v xml:space="preserve"> Identifica las expresiones motrices relacionadas con el juego del voleibol,  como una oportunidad para mejorar la salud, la estética y las relaciones con los demás.</v>
      </c>
      <c r="FE39" s="5" t="str">
        <f t="shared" si="78"/>
        <v>Pone en práctica los fundamentos básicos del voleibol.</v>
      </c>
      <c r="FF39" s="5" t="str">
        <f t="shared" si="78"/>
        <v>Muestra  responsabilidad y buena actitud al realizar el juego de voleibol.</v>
      </c>
      <c r="FG39" s="5" t="str">
        <f t="shared" si="78"/>
        <v>Comprende el concepto de variable como espacio de almacenamiento de datos y reconoce el uso de estructuras condicionales (si, si-no) para la toma de decisiones en un programa.</v>
      </c>
      <c r="FH39" s="5" t="str">
        <f t="shared" si="78"/>
        <v>Diseña y desarrolla programas que utilizan variables y estructuras condicionales para resolver problemas, evaluando condiciones y generando respuestas según diferentes situaciones.</v>
      </c>
      <c r="FI39" s="5" t="str">
        <f t="shared" si="78"/>
        <v>Muestra pensamiento lógico, perseverancia y actitud crítica al analizar errores y proponer soluciones en la construcción de programas con variables y condicionales.</v>
      </c>
      <c r="FJ39" s="5" t="str">
        <f t="shared" si="78"/>
        <v>Identifica y reconoce sus pricipales deberes y derechos dentro y fuera  de la Institución educativa.</v>
      </c>
    </row>
    <row r="40" spans="1:166" ht="15.75" customHeight="1">
      <c r="A40" s="19">
        <v>39</v>
      </c>
      <c r="B40" s="5" t="s">
        <v>174</v>
      </c>
      <c r="C40" s="6">
        <v>1046714456</v>
      </c>
      <c r="D40" s="5" t="s">
        <v>134</v>
      </c>
      <c r="E40" s="5" t="s">
        <v>135</v>
      </c>
      <c r="F40" s="14" t="s">
        <v>70</v>
      </c>
      <c r="G40" s="5" t="s">
        <v>71</v>
      </c>
      <c r="H40" s="5">
        <v>2026</v>
      </c>
      <c r="I40" s="14">
        <v>4</v>
      </c>
      <c r="J40" s="15">
        <v>2.4</v>
      </c>
      <c r="K40" s="15">
        <v>2.5</v>
      </c>
      <c r="L40" s="15">
        <v>2.6</v>
      </c>
      <c r="M40" s="14">
        <f t="shared" si="0"/>
        <v>2.5</v>
      </c>
      <c r="N40" s="14" t="str">
        <f t="shared" si="1"/>
        <v>BAJO</v>
      </c>
      <c r="O40" s="14">
        <v>1</v>
      </c>
      <c r="P40" s="15">
        <v>2.2999999999999998</v>
      </c>
      <c r="Q40" s="15">
        <v>2.2999999999999998</v>
      </c>
      <c r="R40" s="15">
        <v>2.2999999999999998</v>
      </c>
      <c r="S40" s="14">
        <f t="shared" si="2"/>
        <v>2.2999999999999998</v>
      </c>
      <c r="T40" s="14" t="str">
        <f t="shared" si="3"/>
        <v>BAJO</v>
      </c>
      <c r="U40" s="14">
        <v>4</v>
      </c>
      <c r="V40" s="15"/>
      <c r="W40" s="15"/>
      <c r="X40" s="15"/>
      <c r="Y40" s="14">
        <f t="shared" si="4"/>
        <v>0</v>
      </c>
      <c r="Z40" s="14" t="str">
        <f t="shared" si="5"/>
        <v>BAJO</v>
      </c>
      <c r="AA40" s="14">
        <v>1</v>
      </c>
      <c r="AB40" s="15">
        <v>2.5</v>
      </c>
      <c r="AC40" s="15">
        <v>2.5</v>
      </c>
      <c r="AD40" s="15">
        <v>2.5</v>
      </c>
      <c r="AE40" s="14">
        <f t="shared" si="6"/>
        <v>2.5</v>
      </c>
      <c r="AF40" s="14" t="str">
        <f t="shared" si="7"/>
        <v>BAJO</v>
      </c>
      <c r="AG40" s="14">
        <v>2</v>
      </c>
      <c r="AH40" s="17">
        <v>3</v>
      </c>
      <c r="AI40" s="17">
        <v>3</v>
      </c>
      <c r="AJ40" s="17">
        <v>3</v>
      </c>
      <c r="AK40" s="14">
        <f t="shared" si="8"/>
        <v>3</v>
      </c>
      <c r="AL40" s="14" t="str">
        <f t="shared" si="9"/>
        <v>BASICO</v>
      </c>
      <c r="AM40" s="14">
        <v>1</v>
      </c>
      <c r="AN40" s="17">
        <v>3</v>
      </c>
      <c r="AO40" s="17">
        <v>3</v>
      </c>
      <c r="AP40" s="17">
        <v>3</v>
      </c>
      <c r="AQ40" s="14">
        <f t="shared" si="10"/>
        <v>3</v>
      </c>
      <c r="AR40" s="14" t="str">
        <f t="shared" si="11"/>
        <v>BASICO</v>
      </c>
      <c r="AS40" s="5">
        <v>4</v>
      </c>
      <c r="AT40" s="15">
        <v>3.2</v>
      </c>
      <c r="AU40" s="15">
        <v>3.2</v>
      </c>
      <c r="AV40" s="15">
        <v>3.2</v>
      </c>
      <c r="AW40" s="14">
        <f t="shared" si="34"/>
        <v>3.2</v>
      </c>
      <c r="AX40" s="14" t="str">
        <f t="shared" si="51"/>
        <v>BASICO</v>
      </c>
      <c r="AY40" s="14">
        <v>1</v>
      </c>
      <c r="AZ40" s="15">
        <v>3</v>
      </c>
      <c r="BA40" s="15">
        <v>3</v>
      </c>
      <c r="BB40" s="15">
        <v>3</v>
      </c>
      <c r="BC40" s="14">
        <f t="shared" si="13"/>
        <v>3</v>
      </c>
      <c r="BD40" s="14" t="str">
        <f t="shared" si="14"/>
        <v>BASICO</v>
      </c>
      <c r="BE40" s="15">
        <v>2</v>
      </c>
      <c r="BF40" s="15">
        <v>3.2</v>
      </c>
      <c r="BG40" s="15">
        <v>3.3</v>
      </c>
      <c r="BH40" s="15">
        <v>3.4</v>
      </c>
      <c r="BI40" s="14">
        <f t="shared" si="75"/>
        <v>3.3000000000000003</v>
      </c>
      <c r="BJ40" s="14" t="str">
        <f t="shared" si="15"/>
        <v>BASICO</v>
      </c>
      <c r="BK40" s="14">
        <v>1</v>
      </c>
      <c r="BL40" s="17">
        <v>3.4</v>
      </c>
      <c r="BM40" s="17">
        <v>3.6</v>
      </c>
      <c r="BN40" s="17">
        <v>3.3</v>
      </c>
      <c r="BO40" s="14">
        <f t="shared" si="70"/>
        <v>3.4499999999999997</v>
      </c>
      <c r="BP40" s="14" t="str">
        <f t="shared" si="17"/>
        <v>BASICO</v>
      </c>
      <c r="BQ40" s="14">
        <v>1</v>
      </c>
      <c r="BR40" s="17">
        <v>3.3</v>
      </c>
      <c r="BS40" s="17">
        <v>3.2</v>
      </c>
      <c r="BT40" s="17">
        <v>3.5</v>
      </c>
      <c r="BU40" s="14">
        <f t="shared" si="18"/>
        <v>3.3200000000000003</v>
      </c>
      <c r="BV40" s="14" t="str">
        <f t="shared" si="19"/>
        <v>BASICO</v>
      </c>
      <c r="BW40" s="14">
        <v>1</v>
      </c>
      <c r="BX40" s="17">
        <v>3.3</v>
      </c>
      <c r="BY40" s="17">
        <v>3.2</v>
      </c>
      <c r="BZ40" s="17">
        <v>3.4</v>
      </c>
      <c r="CA40" s="14">
        <f t="shared" si="20"/>
        <v>3.29</v>
      </c>
      <c r="CB40" s="14" t="str">
        <f t="shared" si="21"/>
        <v>BASICO</v>
      </c>
      <c r="CC40" s="14">
        <v>1</v>
      </c>
      <c r="CD40" s="15">
        <v>3.9</v>
      </c>
      <c r="CE40" s="15">
        <v>3.8</v>
      </c>
      <c r="CF40" s="15">
        <v>3.8</v>
      </c>
      <c r="CG40" s="14">
        <f t="shared" si="22"/>
        <v>3.83</v>
      </c>
      <c r="CH40" s="14" t="str">
        <f t="shared" si="23"/>
        <v>BASICO</v>
      </c>
      <c r="CI40" s="14">
        <v>1</v>
      </c>
      <c r="CJ40" s="15">
        <v>4</v>
      </c>
      <c r="CK40" s="15">
        <v>4</v>
      </c>
      <c r="CL40" s="15">
        <v>4</v>
      </c>
      <c r="CM40" s="14">
        <f t="shared" si="24"/>
        <v>4</v>
      </c>
      <c r="CN40" s="14" t="str">
        <f t="shared" si="25"/>
        <v>ALTO</v>
      </c>
      <c r="CO40" s="5">
        <v>1</v>
      </c>
      <c r="CP40" s="7">
        <v>5</v>
      </c>
      <c r="CQ40" s="7">
        <v>5</v>
      </c>
      <c r="CR40" s="7">
        <v>5</v>
      </c>
      <c r="CS40" s="14">
        <f t="shared" si="26"/>
        <v>5</v>
      </c>
      <c r="CT40" s="14" t="str">
        <f t="shared" si="27"/>
        <v>SUPERIOR</v>
      </c>
      <c r="CU40" s="14">
        <v>2</v>
      </c>
      <c r="CV40" s="15">
        <v>4</v>
      </c>
      <c r="CW40" s="15">
        <v>4</v>
      </c>
      <c r="CX40" s="15">
        <v>4</v>
      </c>
      <c r="CY40" s="14">
        <f t="shared" si="28"/>
        <v>4</v>
      </c>
      <c r="CZ40" s="14" t="str">
        <f t="shared" si="29"/>
        <v>ALTO</v>
      </c>
      <c r="DA40" s="14">
        <v>2</v>
      </c>
      <c r="DB40" s="15">
        <v>3.5</v>
      </c>
      <c r="DC40" s="15">
        <v>3.5</v>
      </c>
      <c r="DD40" s="15">
        <v>3.3</v>
      </c>
      <c r="DE40" s="14">
        <f t="shared" si="30"/>
        <v>3.44</v>
      </c>
      <c r="DF40" s="14" t="str">
        <f t="shared" si="31"/>
        <v>BASICO</v>
      </c>
      <c r="DG40" s="14">
        <v>0</v>
      </c>
      <c r="DH40" s="15">
        <v>3.3</v>
      </c>
      <c r="DI40" s="14" t="str">
        <f t="shared" si="32"/>
        <v>BASICO</v>
      </c>
      <c r="DJ40" s="5">
        <f t="shared" si="33"/>
        <v>3.1241176470588234</v>
      </c>
      <c r="DK40" s="5" t="str">
        <f t="shared" si="36"/>
        <v>Comprende el concepto de números reales, su relación de orden y las propiedades de sus operaciones, así como las relaciones de semejanza y congruencia de distintas figuras geométricas.</v>
      </c>
      <c r="DL40" s="5" t="str">
        <f t="shared" ref="DL40:FJ40" si="79">DL39</f>
        <v>Aplica correctamente las propiedades de las operaciones de números reales y expresiones algebraicas en la resolución de problemas.</v>
      </c>
      <c r="DM40" s="5" t="str">
        <f t="shared" si="79"/>
        <v>Valora el uso del pensamiento lógico a la hora de plantear y resolver problemas de las matemáticas y de la vida cotidiana.</v>
      </c>
      <c r="DN40" s="5" t="str">
        <f t="shared" si="7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0" s="5" t="str">
        <f t="shared" si="79"/>
        <v>Organiza y analiza datos mediante la construcción de tablas de frecuencias y diagramas estadísticos, identificando variables aleatorias y utilizando estas representaciones para resolver situaciones problema.</v>
      </c>
      <c r="DP40" s="5" t="str">
        <f t="shared" si="79"/>
        <v>Muestra disposición y responsabilidad en el manejo y análisis de datos, participando activamente en actividades individuales y colaborativas, y comunicando información estadística con claridad y sentido crítico.</v>
      </c>
      <c r="DQ40" s="5" t="str">
        <f t="shared" si="79"/>
        <v>Analiza las características de la literatura prehispánica y la literatura del descubrimiento y la conquista en Colombia identificando sus elementos fundamentales y su impacto en la cultura y el lenguaje actual.</v>
      </c>
      <c r="DR40" s="5" t="str">
        <f t="shared" si="79"/>
        <v>Realiza comprensión lectora cuando analiza un texto desde el discurso de la Enunciación e identifica la función de cada uno de sus componentes.
Responde preguntas en los tres niveles de lectura a una leyenda del Caribe.</v>
      </c>
      <c r="DS40" s="5" t="str">
        <f t="shared" si="79"/>
        <v>Muestra disposición para participar activamente en las clases, promoviendo el respeto por las ideas ajenas y reconociendo la importancia de la precisión como una herramienta clave para una comunicación</v>
      </c>
      <c r="DT40" s="5" t="str">
        <f t="shared" si="79"/>
        <v>Comprende el contenido del cuento A la deriva, identificando su tema central, la secuencia de los hechos, los personajes y las ideas explícitas e implícitas del texto.</v>
      </c>
      <c r="DU40" s="5" t="str">
        <f t="shared" si="79"/>
        <v>Analiza críticamente el cuento A la deriva mediante la identificación de información literal, inferencial y crítica, sustentando sus respuestas de forma oral y escrita.</v>
      </c>
      <c r="DV40" s="5" t="str">
        <f t="shared" si="79"/>
        <v>Valora la lectura literaria como una oportunidad para reflexionar sobre la vida, la naturaleza y la condición humana, participando con interés, respeto y sentido crítico en las actividades propuestas.</v>
      </c>
      <c r="DW40" s="5" t="str">
        <f t="shared" si="79"/>
        <v>Comprende y reconoce vocabulario y estructuras basicas del ingles para interpretar textos cortos y conversaciones sobre temas cotidianos de la vida diaria.</v>
      </c>
      <c r="DX40" s="5" t="str">
        <f t="shared" si="79"/>
        <v>Produce de forma oral y escrita frases y parrafos cortos en Ingles, utilizando correctamente las estructuras conocidas para describir rutinas, narrar experiencias y participar en conversaciones.</v>
      </c>
      <c r="DY40" s="5" t="str">
        <f t="shared" si="79"/>
        <v>Muestra disposicion positiva hacia el aprendizaje del Ingles participando activamente en clase.</v>
      </c>
      <c r="DZ40" s="5" t="str">
        <f t="shared" si="79"/>
        <v>Identifica vocabulario en Ingles  de situaciones cotidianas.</v>
      </c>
      <c r="EA40" s="5" t="str">
        <f t="shared" si="79"/>
        <v>Participa en actividades utilizando vocabulario aprendido para expresar gustos,emociones y necesidades.</v>
      </c>
      <c r="EB40" s="5" t="str">
        <f t="shared" si="79"/>
        <v>Respeta la opinion de los demas, muestra disposicion para participar en actividades orales.</v>
      </c>
      <c r="EC40" s="5" t="str">
        <f t="shared" si="79"/>
        <v>Identifica la conformación y funcionamiento del sistema inmunolófico y diferencia las característics de los estados de la materia.</v>
      </c>
      <c r="ED40" s="5" t="str">
        <f t="shared" si="79"/>
        <v>Reconoce experimentalmente las características de materiales en los diferentes estados de la materia.</v>
      </c>
      <c r="EE40" s="5" t="str">
        <f t="shared" si="79"/>
        <v xml:space="preserve">Valora la importancia de tener habitos saludables, para lograr el mantenimiento saludable del sistema inmune. </v>
      </c>
      <c r="EF40" s="5" t="str">
        <f t="shared" si="79"/>
        <v>Describe correctamente la secuencia de eventos biologicos de la fecundacion,incluyendo las recciones acrosomicas,la funcion de gametos y la formacion de gametos.</v>
      </c>
      <c r="EG40" s="5" t="str">
        <f t="shared" si="79"/>
        <v>Mide la capacidad del labolatrio para lograr la fecundacion exitosa de los ovulos con el espermatozoide.</v>
      </c>
      <c r="EH40" s="5" t="str">
        <f t="shared" si="79"/>
        <v>Valora la importancia del cuidado del cuerpo y de la salud reproductiva como la base para una fecundacion saludable.</v>
      </c>
      <c r="EI40" s="5" t="str">
        <f t="shared" si="79"/>
        <v>Explico las principales caracteristicas de algunas revoluciones de los siglos XVIII y XIX (Revolucion francesa, Industrial...)</v>
      </c>
      <c r="EJ40" s="5" t="str">
        <f t="shared" si="79"/>
        <v>Analiza las causas y consecuencias de procesos historicos como la Revolucion Industrial y Francesa.</v>
      </c>
      <c r="EK40" s="5" t="str">
        <f t="shared" si="79"/>
        <v>Muestra interes y curiosidad por comprender los procesos historicos y su impacto en la sociedad.</v>
      </c>
      <c r="EL40" s="5" t="str">
        <f t="shared" si="79"/>
        <v xml:space="preserve">Identifica los procesos historicos de algunas revoluciones de los siglos XVIII y XIX </v>
      </c>
      <c r="EM40" s="5">
        <f t="shared" si="79"/>
        <v>0</v>
      </c>
      <c r="EN40" s="5">
        <f t="shared" si="79"/>
        <v>0</v>
      </c>
      <c r="EO40" s="5" t="str">
        <f t="shared" si="79"/>
        <v xml:space="preserve">Comprende la distribucion espacial de la poblacion antes y despues de las revoluciones </v>
      </c>
      <c r="EP40" s="5" t="str">
        <f t="shared" si="79"/>
        <v xml:space="preserve">Ubica en mapas las regiones donde se desarrollaron las principales revoluciones y explica sus caracteristicas geograficas </v>
      </c>
      <c r="EQ40" s="5" t="str">
        <f t="shared" si="79"/>
        <v>Muestra interes por comprender la relacion entre sociedad, economia y territorio</v>
      </c>
      <c r="ER40" s="5" t="str">
        <f t="shared" si="79"/>
        <v>Comprende el concepto de cultura de paz y su importancia en la sociedad</v>
      </c>
      <c r="ES40" s="5" t="str">
        <f t="shared" si="79"/>
        <v>Practica normas de convivencia en diferentes espacios( aula, hogar, comunidad)</v>
      </c>
      <c r="ET40" s="5" t="str">
        <f t="shared" si="79"/>
        <v>Muestra actitud de respeto hacia la diversidad cuktural, social y de pensamiento</v>
      </c>
      <c r="EU40" s="5">
        <f t="shared" si="79"/>
        <v>0</v>
      </c>
      <c r="EV40" s="5">
        <f t="shared" si="79"/>
        <v>0</v>
      </c>
      <c r="EW40" s="5">
        <f t="shared" si="79"/>
        <v>0</v>
      </c>
      <c r="EX40" s="5">
        <f t="shared" si="79"/>
        <v>0</v>
      </c>
      <c r="EY40" s="5">
        <f t="shared" si="79"/>
        <v>0</v>
      </c>
      <c r="EZ40" s="5">
        <f t="shared" si="79"/>
        <v>0</v>
      </c>
      <c r="FA40" s="5">
        <f t="shared" si="79"/>
        <v>0</v>
      </c>
      <c r="FB40" s="5">
        <f t="shared" si="79"/>
        <v>0</v>
      </c>
      <c r="FC40" s="5">
        <f t="shared" si="79"/>
        <v>0</v>
      </c>
      <c r="FD40" s="5" t="str">
        <f t="shared" si="79"/>
        <v xml:space="preserve"> Identifica las expresiones motrices relacionadas con el juego del voleibol,  como una oportunidad para mejorar la salud, la estética y las relaciones con los demás.</v>
      </c>
      <c r="FE40" s="5" t="str">
        <f t="shared" si="79"/>
        <v>Pone en práctica los fundamentos básicos del voleibol.</v>
      </c>
      <c r="FF40" s="5" t="str">
        <f t="shared" si="79"/>
        <v>Muestra  responsabilidad y buena actitud al realizar el juego de voleibol.</v>
      </c>
      <c r="FG40" s="5" t="str">
        <f t="shared" si="79"/>
        <v>Comprende el concepto de variable como espacio de almacenamiento de datos y reconoce el uso de estructuras condicionales (si, si-no) para la toma de decisiones en un programa.</v>
      </c>
      <c r="FH40" s="5" t="str">
        <f t="shared" si="79"/>
        <v>Diseña y desarrolla programas que utilizan variables y estructuras condicionales para resolver problemas, evaluando condiciones y generando respuestas según diferentes situaciones.</v>
      </c>
      <c r="FI40" s="5" t="str">
        <f t="shared" si="79"/>
        <v>Muestra pensamiento lógico, perseverancia y actitud crítica al analizar errores y proponer soluciones en la construcción de programas con variables y condicionales.</v>
      </c>
      <c r="FJ40" s="5" t="str">
        <f t="shared" si="79"/>
        <v>Identifica y reconoce sus pricipales deberes y derechos dentro y fuera  de la Institución educativa.</v>
      </c>
    </row>
    <row r="41" spans="1:166" ht="15.75" customHeight="1">
      <c r="A41" s="20"/>
      <c r="B41" s="20"/>
      <c r="C41" s="20"/>
      <c r="D41" s="20"/>
      <c r="G41" s="20"/>
      <c r="H41" s="20"/>
      <c r="I41" s="45" t="s">
        <v>114</v>
      </c>
      <c r="J41" s="46"/>
      <c r="K41" s="46"/>
      <c r="L41" s="46"/>
      <c r="M41" s="46"/>
      <c r="N41" s="47"/>
      <c r="O41" s="48" t="s">
        <v>115</v>
      </c>
      <c r="P41" s="46"/>
      <c r="Q41" s="46"/>
      <c r="R41" s="46"/>
      <c r="S41" s="46"/>
      <c r="T41" s="47"/>
      <c r="U41" s="48" t="s">
        <v>116</v>
      </c>
      <c r="V41" s="46"/>
      <c r="W41" s="46"/>
      <c r="X41" s="46"/>
      <c r="Y41" s="46"/>
      <c r="Z41" s="47"/>
      <c r="AA41" s="48" t="s">
        <v>117</v>
      </c>
      <c r="AB41" s="46"/>
      <c r="AC41" s="46"/>
      <c r="AD41" s="46"/>
      <c r="AE41" s="46"/>
      <c r="AF41" s="47"/>
      <c r="AG41" s="48" t="s">
        <v>118</v>
      </c>
      <c r="AH41" s="46"/>
      <c r="AI41" s="46"/>
      <c r="AJ41" s="46"/>
      <c r="AK41" s="46"/>
      <c r="AL41" s="47"/>
      <c r="AM41" s="48" t="s">
        <v>119</v>
      </c>
      <c r="AN41" s="46"/>
      <c r="AO41" s="46"/>
      <c r="AP41" s="46"/>
      <c r="AQ41" s="46"/>
      <c r="AR41" s="47"/>
      <c r="AS41" s="48" t="s">
        <v>120</v>
      </c>
      <c r="AT41" s="46"/>
      <c r="AU41" s="46"/>
      <c r="AV41" s="46"/>
      <c r="AW41" s="46"/>
      <c r="AX41" s="47"/>
      <c r="AY41" s="48" t="s">
        <v>121</v>
      </c>
      <c r="AZ41" s="46"/>
      <c r="BA41" s="46"/>
      <c r="BB41" s="46"/>
      <c r="BC41" s="46"/>
      <c r="BD41" s="47"/>
      <c r="BE41" s="48" t="s">
        <v>122</v>
      </c>
      <c r="BF41" s="46"/>
      <c r="BG41" s="46"/>
      <c r="BH41" s="46"/>
      <c r="BI41" s="46"/>
      <c r="BJ41" s="47"/>
      <c r="BK41" s="48" t="s">
        <v>123</v>
      </c>
      <c r="BL41" s="46"/>
      <c r="BM41" s="46"/>
      <c r="BN41" s="46"/>
      <c r="BO41" s="46"/>
      <c r="BP41" s="47"/>
      <c r="BQ41" s="48" t="s">
        <v>124</v>
      </c>
      <c r="BR41" s="46"/>
      <c r="BS41" s="46"/>
      <c r="BT41" s="46"/>
      <c r="BU41" s="46"/>
      <c r="BV41" s="47"/>
      <c r="BW41" s="48" t="s">
        <v>125</v>
      </c>
      <c r="BX41" s="46"/>
      <c r="BY41" s="46"/>
      <c r="BZ41" s="46"/>
      <c r="CA41" s="46"/>
      <c r="CB41" s="47"/>
      <c r="CC41" s="49" t="s">
        <v>126</v>
      </c>
      <c r="CD41" s="46"/>
      <c r="CE41" s="46"/>
      <c r="CF41" s="46"/>
      <c r="CG41" s="46"/>
      <c r="CH41" s="47"/>
      <c r="CI41" s="48" t="s">
        <v>127</v>
      </c>
      <c r="CJ41" s="46"/>
      <c r="CK41" s="46"/>
      <c r="CL41" s="46"/>
      <c r="CM41" s="46"/>
      <c r="CN41" s="47"/>
      <c r="CO41" s="48" t="s">
        <v>128</v>
      </c>
      <c r="CP41" s="46"/>
      <c r="CQ41" s="46"/>
      <c r="CR41" s="46"/>
      <c r="CS41" s="46"/>
      <c r="CT41" s="47"/>
      <c r="CU41" s="48" t="s">
        <v>129</v>
      </c>
      <c r="CV41" s="46"/>
      <c r="CW41" s="46"/>
      <c r="CX41" s="46"/>
      <c r="CY41" s="46"/>
      <c r="CZ41" s="47"/>
      <c r="DA41" s="48" t="s">
        <v>130</v>
      </c>
      <c r="DB41" s="46"/>
      <c r="DC41" s="46"/>
      <c r="DD41" s="46"/>
      <c r="DE41" s="46"/>
      <c r="DF41" s="47"/>
      <c r="DG41" s="48" t="s">
        <v>131</v>
      </c>
      <c r="DH41" s="46"/>
      <c r="DI41" s="47"/>
    </row>
    <row r="42" spans="1:166" ht="15.75" customHeight="1">
      <c r="A42" s="20"/>
      <c r="B42" s="20"/>
      <c r="C42" s="20"/>
    </row>
    <row r="43" spans="1:166" ht="15.75" customHeight="1">
      <c r="A43" s="20"/>
      <c r="B43" s="20"/>
      <c r="C43" s="20"/>
    </row>
    <row r="44" spans="1:166" ht="15.75" customHeight="1">
      <c r="A44" s="20"/>
      <c r="B44" s="20"/>
      <c r="C44" s="20"/>
    </row>
    <row r="45" spans="1:166" ht="15.75" customHeight="1">
      <c r="A45" s="20"/>
      <c r="B45" s="20"/>
      <c r="C45" s="20"/>
    </row>
    <row r="46" spans="1:166" ht="15.75" customHeight="1">
      <c r="A46" s="20"/>
      <c r="B46" s="20"/>
      <c r="C46" s="20"/>
    </row>
    <row r="47" spans="1:166" ht="15.75" customHeight="1">
      <c r="A47" s="20"/>
      <c r="B47" s="20"/>
      <c r="C47" s="20"/>
    </row>
    <row r="48" spans="1:166" ht="15.75" customHeight="1">
      <c r="A48" s="20"/>
      <c r="B48" s="20"/>
      <c r="C48" s="20"/>
    </row>
    <row r="49" spans="1:3" ht="15.75" customHeight="1">
      <c r="A49" s="20"/>
      <c r="B49" s="20"/>
      <c r="C49" s="20"/>
    </row>
    <row r="50" spans="1:3" ht="15.75" customHeight="1">
      <c r="A50" s="20"/>
      <c r="B50" s="20"/>
      <c r="C50" s="20"/>
    </row>
    <row r="51" spans="1:3" ht="15.75" customHeight="1">
      <c r="A51" s="20"/>
      <c r="B51" s="20"/>
      <c r="C51" s="20"/>
    </row>
    <row r="52" spans="1:3" ht="15.75" customHeight="1">
      <c r="A52" s="20"/>
      <c r="B52" s="20"/>
      <c r="C52" s="20"/>
    </row>
    <row r="53" spans="1:3" ht="15.75" customHeight="1">
      <c r="A53" s="20"/>
      <c r="B53" s="20"/>
      <c r="C53" s="20"/>
    </row>
    <row r="54" spans="1:3" ht="15.75" customHeight="1">
      <c r="A54" s="20"/>
      <c r="B54" s="20"/>
      <c r="C54" s="20"/>
    </row>
    <row r="55" spans="1:3" ht="15.75" customHeight="1">
      <c r="A55" s="20"/>
      <c r="B55" s="20"/>
      <c r="C55" s="20"/>
    </row>
    <row r="56" spans="1:3" ht="15.75" customHeight="1">
      <c r="A56" s="20"/>
      <c r="B56" s="20"/>
      <c r="C56" s="20"/>
    </row>
    <row r="57" spans="1:3" ht="15.75" customHeight="1">
      <c r="A57" s="20"/>
      <c r="B57" s="20"/>
      <c r="C57" s="20"/>
    </row>
    <row r="58" spans="1:3" ht="15.75" customHeight="1">
      <c r="A58" s="20"/>
      <c r="B58" s="20"/>
      <c r="C58" s="20"/>
    </row>
    <row r="59" spans="1:3" ht="15.75" customHeight="1">
      <c r="A59" s="20"/>
      <c r="B59" s="20"/>
      <c r="C59" s="20"/>
    </row>
    <row r="60" spans="1:3" ht="15.75" customHeight="1">
      <c r="A60" s="20"/>
      <c r="B60" s="20"/>
      <c r="C60" s="20"/>
    </row>
    <row r="61" spans="1:3" ht="15.75" customHeight="1">
      <c r="A61" s="20"/>
      <c r="B61" s="20"/>
      <c r="C61" s="20"/>
    </row>
    <row r="62" spans="1:3" ht="15.75" customHeight="1">
      <c r="A62" s="20"/>
      <c r="B62" s="20"/>
      <c r="C62" s="20"/>
    </row>
    <row r="63" spans="1:3" ht="15.75" customHeight="1">
      <c r="A63" s="20"/>
      <c r="B63" s="20"/>
      <c r="C63" s="20"/>
    </row>
    <row r="64" spans="1:3" ht="15.75" customHeight="1">
      <c r="A64" s="20"/>
      <c r="B64" s="20"/>
      <c r="C64" s="20"/>
    </row>
    <row r="65" spans="1:3" ht="15.75" customHeight="1">
      <c r="A65" s="20"/>
      <c r="B65" s="20"/>
      <c r="C65" s="20"/>
    </row>
    <row r="66" spans="1:3" ht="15.75" customHeight="1">
      <c r="A66" s="20"/>
      <c r="B66" s="20"/>
      <c r="C66" s="20"/>
    </row>
    <row r="67" spans="1:3" ht="15.75" customHeight="1">
      <c r="A67" s="20"/>
      <c r="B67" s="20"/>
      <c r="C67" s="20"/>
    </row>
    <row r="68" spans="1:3" ht="15.75" customHeight="1">
      <c r="A68" s="20"/>
      <c r="B68" s="20"/>
      <c r="C68" s="20"/>
    </row>
    <row r="69" spans="1:3" ht="15.75" customHeight="1">
      <c r="A69" s="20"/>
      <c r="B69" s="20"/>
      <c r="C69" s="20"/>
    </row>
    <row r="70" spans="1:3" ht="15.75" customHeight="1">
      <c r="A70" s="20"/>
      <c r="B70" s="20"/>
      <c r="C70" s="20"/>
    </row>
    <row r="71" spans="1:3" ht="15.75" customHeight="1">
      <c r="A71" s="20"/>
      <c r="B71" s="20"/>
      <c r="C71" s="20"/>
    </row>
    <row r="72" spans="1:3" ht="15.75" customHeight="1">
      <c r="A72" s="20"/>
      <c r="B72" s="20"/>
      <c r="C72" s="20"/>
    </row>
    <row r="73" spans="1:3" ht="15.75" customHeight="1">
      <c r="A73" s="20"/>
      <c r="B73" s="20"/>
      <c r="C73" s="20"/>
    </row>
    <row r="74" spans="1:3" ht="15.75" customHeight="1">
      <c r="A74" s="20"/>
      <c r="B74" s="20"/>
      <c r="C74" s="20"/>
    </row>
    <row r="75" spans="1:3" ht="15.75" customHeight="1">
      <c r="A75" s="20"/>
      <c r="B75" s="20"/>
      <c r="C75" s="20"/>
    </row>
    <row r="76" spans="1:3" ht="15.75" customHeight="1">
      <c r="A76" s="20"/>
      <c r="B76" s="20"/>
      <c r="C76" s="20"/>
    </row>
    <row r="77" spans="1:3" ht="15.75" customHeight="1">
      <c r="A77" s="20"/>
      <c r="B77" s="20"/>
      <c r="C77" s="20"/>
    </row>
    <row r="78" spans="1:3" ht="15.75" customHeight="1">
      <c r="A78" s="20"/>
      <c r="B78" s="20"/>
      <c r="C78" s="20"/>
    </row>
    <row r="79" spans="1:3" ht="15.75" customHeight="1">
      <c r="A79" s="20"/>
      <c r="B79" s="20"/>
      <c r="C79" s="20"/>
    </row>
    <row r="80" spans="1:3" ht="15.75" customHeight="1">
      <c r="A80" s="20"/>
      <c r="B80" s="20"/>
      <c r="C80" s="20"/>
    </row>
    <row r="81" spans="1:3" ht="15.75" customHeight="1">
      <c r="A81" s="20"/>
      <c r="B81" s="20"/>
      <c r="C81" s="20"/>
    </row>
    <row r="82" spans="1:3" ht="15.75" customHeight="1">
      <c r="A82" s="20"/>
      <c r="B82" s="20"/>
      <c r="C82" s="20"/>
    </row>
    <row r="83" spans="1:3" ht="15.75" customHeight="1">
      <c r="A83" s="20"/>
      <c r="B83" s="20"/>
      <c r="C83" s="20"/>
    </row>
    <row r="84" spans="1:3" ht="15.75" customHeight="1">
      <c r="A84" s="20"/>
      <c r="B84" s="20"/>
      <c r="C84" s="20"/>
    </row>
    <row r="85" spans="1:3" ht="15.75" customHeight="1">
      <c r="A85" s="20"/>
      <c r="B85" s="20"/>
      <c r="C85" s="20"/>
    </row>
    <row r="86" spans="1:3" ht="15.75" customHeight="1">
      <c r="A86" s="20"/>
      <c r="B86" s="20"/>
      <c r="C86" s="20"/>
    </row>
    <row r="87" spans="1:3" ht="15.75" customHeight="1">
      <c r="A87" s="20"/>
      <c r="B87" s="20"/>
      <c r="C87" s="20"/>
    </row>
    <row r="88" spans="1:3" ht="15.75" customHeight="1">
      <c r="A88" s="20"/>
      <c r="B88" s="20"/>
      <c r="C88" s="20"/>
    </row>
    <row r="89" spans="1:3" ht="15.75" customHeight="1">
      <c r="A89" s="20"/>
      <c r="B89" s="20"/>
      <c r="C89" s="20"/>
    </row>
    <row r="90" spans="1:3" ht="15.75" customHeight="1">
      <c r="A90" s="20"/>
      <c r="B90" s="20"/>
      <c r="C90" s="20"/>
    </row>
    <row r="91" spans="1:3" ht="15.75" customHeight="1">
      <c r="A91" s="20"/>
      <c r="B91" s="20"/>
      <c r="C91" s="20"/>
    </row>
    <row r="92" spans="1:3" ht="15.75" customHeight="1">
      <c r="A92" s="20"/>
      <c r="B92" s="20"/>
      <c r="C92" s="20"/>
    </row>
    <row r="93" spans="1:3" ht="15.75" customHeight="1">
      <c r="A93" s="20"/>
      <c r="B93" s="20"/>
      <c r="C93" s="20"/>
    </row>
    <row r="94" spans="1:3" ht="15.75" customHeight="1">
      <c r="A94" s="20"/>
      <c r="B94" s="20"/>
      <c r="C94" s="20"/>
    </row>
    <row r="95" spans="1:3" ht="15.75" customHeight="1">
      <c r="A95" s="20"/>
      <c r="B95" s="20"/>
      <c r="C95" s="20"/>
    </row>
    <row r="96" spans="1:3" ht="15.75" customHeight="1">
      <c r="A96" s="20"/>
      <c r="B96" s="20"/>
      <c r="C96" s="20"/>
    </row>
    <row r="97" spans="1:3" ht="15.75" customHeight="1">
      <c r="A97" s="20"/>
      <c r="B97" s="20"/>
      <c r="C97" s="20"/>
    </row>
    <row r="98" spans="1:3" ht="15.75" customHeight="1">
      <c r="A98" s="20"/>
      <c r="B98" s="20"/>
      <c r="C98" s="20"/>
    </row>
    <row r="99" spans="1:3" ht="15.75" customHeight="1">
      <c r="A99" s="20"/>
      <c r="B99" s="20"/>
      <c r="C99" s="20"/>
    </row>
    <row r="100" spans="1:3" ht="15.75" customHeight="1">
      <c r="A100" s="20"/>
      <c r="B100" s="20"/>
      <c r="C100" s="20"/>
    </row>
    <row r="101" spans="1:3" ht="15.75" customHeight="1">
      <c r="A101" s="20"/>
      <c r="B101" s="20"/>
      <c r="C101" s="20"/>
    </row>
    <row r="102" spans="1:3" ht="15.75" customHeight="1">
      <c r="A102" s="20"/>
      <c r="B102" s="20"/>
      <c r="C102" s="20"/>
    </row>
    <row r="103" spans="1:3" ht="15.75" customHeight="1">
      <c r="A103" s="20"/>
      <c r="B103" s="20"/>
      <c r="C103" s="20"/>
    </row>
    <row r="104" spans="1:3" ht="15.75" customHeight="1">
      <c r="A104" s="20"/>
      <c r="B104" s="20"/>
      <c r="C104" s="20"/>
    </row>
    <row r="105" spans="1:3" ht="15.75" customHeight="1">
      <c r="A105" s="20"/>
      <c r="B105" s="20"/>
      <c r="C105" s="20"/>
    </row>
    <row r="106" spans="1:3" ht="15.75" customHeight="1">
      <c r="A106" s="20"/>
      <c r="B106" s="20"/>
      <c r="C106" s="20"/>
    </row>
    <row r="107" spans="1:3" ht="15.75" customHeight="1">
      <c r="A107" s="20"/>
      <c r="B107" s="20"/>
      <c r="C107" s="20"/>
    </row>
    <row r="108" spans="1:3" ht="15.75" customHeight="1">
      <c r="A108" s="20"/>
      <c r="B108" s="20"/>
      <c r="C108" s="20"/>
    </row>
    <row r="109" spans="1:3" ht="15.75" customHeight="1">
      <c r="A109" s="20"/>
      <c r="B109" s="20"/>
      <c r="C109" s="20"/>
    </row>
    <row r="110" spans="1:3" ht="15.75" customHeight="1">
      <c r="A110" s="20"/>
      <c r="B110" s="20"/>
      <c r="C110" s="20"/>
    </row>
    <row r="111" spans="1:3" ht="15.75" customHeight="1">
      <c r="A111" s="20"/>
      <c r="B111" s="20"/>
      <c r="C111" s="20"/>
    </row>
    <row r="112" spans="1:3" ht="15.75" customHeight="1">
      <c r="A112" s="20"/>
      <c r="B112" s="20"/>
      <c r="C112" s="20"/>
    </row>
    <row r="113" spans="1:3" ht="15.75" customHeight="1">
      <c r="A113" s="20"/>
      <c r="B113" s="20"/>
      <c r="C113" s="20"/>
    </row>
    <row r="114" spans="1:3" ht="15.75" customHeight="1">
      <c r="A114" s="20"/>
      <c r="B114" s="20"/>
      <c r="C114" s="20"/>
    </row>
    <row r="115" spans="1:3" ht="15.75" customHeight="1">
      <c r="A115" s="20"/>
      <c r="B115" s="20"/>
      <c r="C115" s="20"/>
    </row>
    <row r="116" spans="1:3" ht="15.75" customHeight="1">
      <c r="A116" s="20"/>
      <c r="B116" s="20"/>
      <c r="C116" s="20"/>
    </row>
    <row r="117" spans="1:3" ht="15.75" customHeight="1">
      <c r="A117" s="20"/>
      <c r="B117" s="20"/>
      <c r="C117" s="20"/>
    </row>
    <row r="118" spans="1:3" ht="15.75" customHeight="1">
      <c r="A118" s="20"/>
      <c r="B118" s="20"/>
      <c r="C118" s="20"/>
    </row>
    <row r="119" spans="1:3" ht="15.75" customHeight="1">
      <c r="A119" s="20"/>
      <c r="B119" s="20"/>
      <c r="C119" s="20"/>
    </row>
    <row r="120" spans="1:3" ht="15.75" customHeight="1">
      <c r="A120" s="20"/>
      <c r="B120" s="20"/>
      <c r="C120" s="20"/>
    </row>
    <row r="121" spans="1:3" ht="15.75" customHeight="1">
      <c r="A121" s="20"/>
      <c r="B121" s="20"/>
      <c r="C121" s="20"/>
    </row>
    <row r="122" spans="1:3" ht="15.75" customHeight="1">
      <c r="A122" s="20"/>
      <c r="B122" s="20"/>
      <c r="C122" s="20"/>
    </row>
    <row r="123" spans="1:3" ht="15.75" customHeight="1">
      <c r="A123" s="20"/>
      <c r="B123" s="20"/>
      <c r="C123" s="20"/>
    </row>
    <row r="124" spans="1:3" ht="15.75" customHeight="1">
      <c r="A124" s="20"/>
      <c r="B124" s="20"/>
      <c r="C124" s="20"/>
    </row>
    <row r="125" spans="1:3" ht="15.75" customHeight="1">
      <c r="A125" s="20"/>
      <c r="B125" s="20"/>
      <c r="C125" s="20"/>
    </row>
    <row r="126" spans="1:3" ht="15.75" customHeight="1">
      <c r="A126" s="20"/>
      <c r="B126" s="20"/>
      <c r="C126" s="20"/>
    </row>
    <row r="127" spans="1:3" ht="15.75" customHeight="1">
      <c r="A127" s="20"/>
      <c r="B127" s="20"/>
      <c r="C127" s="20"/>
    </row>
    <row r="128" spans="1:3" ht="15.75" customHeight="1">
      <c r="A128" s="20"/>
      <c r="B128" s="20"/>
      <c r="C128" s="20"/>
    </row>
    <row r="129" spans="1:3" ht="15.75" customHeight="1">
      <c r="A129" s="20"/>
      <c r="B129" s="20"/>
      <c r="C129" s="20"/>
    </row>
    <row r="130" spans="1:3" ht="15.75" customHeight="1">
      <c r="A130" s="20"/>
      <c r="B130" s="20"/>
      <c r="C130" s="20"/>
    </row>
    <row r="131" spans="1:3" ht="15.75" customHeight="1">
      <c r="A131" s="20"/>
      <c r="B131" s="20"/>
      <c r="C131" s="20"/>
    </row>
    <row r="132" spans="1:3" ht="15.75" customHeight="1">
      <c r="A132" s="20"/>
      <c r="B132" s="20"/>
      <c r="C132" s="20"/>
    </row>
    <row r="133" spans="1:3" ht="15.75" customHeight="1">
      <c r="A133" s="20"/>
      <c r="B133" s="20"/>
      <c r="C133" s="20"/>
    </row>
    <row r="134" spans="1:3" ht="15.75" customHeight="1">
      <c r="A134" s="20"/>
      <c r="B134" s="20"/>
      <c r="C134" s="20"/>
    </row>
    <row r="135" spans="1:3" ht="15.75" customHeight="1">
      <c r="A135" s="20"/>
      <c r="B135" s="20"/>
      <c r="C135" s="20"/>
    </row>
    <row r="136" spans="1:3" ht="15.75" customHeight="1">
      <c r="A136" s="20"/>
      <c r="B136" s="20"/>
      <c r="C136" s="20"/>
    </row>
    <row r="137" spans="1:3" ht="15.75" customHeight="1">
      <c r="A137" s="20"/>
      <c r="B137" s="20"/>
      <c r="C137" s="20"/>
    </row>
    <row r="138" spans="1:3" ht="15.75" customHeight="1">
      <c r="A138" s="20"/>
      <c r="B138" s="20"/>
      <c r="C138" s="20"/>
    </row>
    <row r="139" spans="1:3" ht="15.75" customHeight="1">
      <c r="A139" s="20"/>
      <c r="B139" s="20"/>
      <c r="C139" s="20"/>
    </row>
    <row r="140" spans="1:3" ht="15.75" customHeight="1">
      <c r="A140" s="20"/>
      <c r="B140" s="20"/>
      <c r="C140" s="20"/>
    </row>
    <row r="141" spans="1:3" ht="15.75" customHeight="1">
      <c r="A141" s="20"/>
      <c r="B141" s="20"/>
      <c r="C141" s="20"/>
    </row>
    <row r="142" spans="1:3" ht="15.75" customHeight="1">
      <c r="A142" s="20"/>
      <c r="B142" s="20"/>
      <c r="C142" s="20"/>
    </row>
    <row r="143" spans="1:3" ht="15.75" customHeight="1">
      <c r="A143" s="20"/>
      <c r="B143" s="20"/>
      <c r="C143" s="20"/>
    </row>
    <row r="144" spans="1:3" ht="15.75" customHeight="1">
      <c r="A144" s="20"/>
      <c r="B144" s="20"/>
      <c r="C144" s="20"/>
    </row>
    <row r="145" spans="1:3" ht="15.75" customHeight="1">
      <c r="A145" s="20"/>
      <c r="B145" s="20"/>
      <c r="C145" s="20"/>
    </row>
    <row r="146" spans="1:3" ht="15.75" customHeight="1">
      <c r="A146" s="20"/>
      <c r="B146" s="20"/>
      <c r="C146" s="20"/>
    </row>
    <row r="147" spans="1:3" ht="15.75" customHeight="1">
      <c r="A147" s="20"/>
      <c r="B147" s="20"/>
      <c r="C147" s="20"/>
    </row>
    <row r="148" spans="1:3" ht="15.75" customHeight="1">
      <c r="A148" s="20"/>
      <c r="B148" s="20"/>
      <c r="C148" s="20"/>
    </row>
    <row r="149" spans="1:3" ht="15.75" customHeight="1">
      <c r="A149" s="20"/>
      <c r="B149" s="20"/>
      <c r="C149" s="20"/>
    </row>
    <row r="150" spans="1:3" ht="15.75" customHeight="1">
      <c r="A150" s="20"/>
      <c r="B150" s="20"/>
      <c r="C150" s="20"/>
    </row>
    <row r="151" spans="1:3" ht="15.75" customHeight="1">
      <c r="A151" s="20"/>
      <c r="B151" s="20"/>
      <c r="C151" s="20"/>
    </row>
    <row r="152" spans="1:3" ht="15.75" customHeight="1">
      <c r="A152" s="20"/>
      <c r="B152" s="20"/>
      <c r="C152" s="20"/>
    </row>
    <row r="153" spans="1:3" ht="15.75" customHeight="1">
      <c r="A153" s="20"/>
      <c r="B153" s="20"/>
      <c r="C153" s="20"/>
    </row>
    <row r="154" spans="1:3" ht="15.75" customHeight="1">
      <c r="A154" s="20"/>
      <c r="B154" s="20"/>
      <c r="C154" s="20"/>
    </row>
    <row r="155" spans="1:3" ht="15.75" customHeight="1">
      <c r="A155" s="20"/>
      <c r="B155" s="20"/>
      <c r="C155" s="20"/>
    </row>
    <row r="156" spans="1:3" ht="15.75" customHeight="1">
      <c r="A156" s="20"/>
      <c r="B156" s="20"/>
      <c r="C156" s="20"/>
    </row>
    <row r="157" spans="1:3" ht="15.75" customHeight="1">
      <c r="A157" s="20"/>
      <c r="B157" s="20"/>
      <c r="C157" s="20"/>
    </row>
    <row r="158" spans="1:3" ht="15.75" customHeight="1">
      <c r="A158" s="20"/>
      <c r="B158" s="20"/>
      <c r="C158" s="20"/>
    </row>
    <row r="159" spans="1:3" ht="15.75" customHeight="1">
      <c r="A159" s="20"/>
      <c r="B159" s="20"/>
      <c r="C159" s="20"/>
    </row>
    <row r="160" spans="1:3" ht="15.75" customHeight="1">
      <c r="A160" s="20"/>
      <c r="B160" s="20"/>
      <c r="C160" s="20"/>
    </row>
    <row r="161" spans="1:3" ht="15.75" customHeight="1">
      <c r="A161" s="20"/>
      <c r="B161" s="20"/>
      <c r="C161" s="20"/>
    </row>
    <row r="162" spans="1:3" ht="15.75" customHeight="1">
      <c r="A162" s="20"/>
      <c r="B162" s="20"/>
      <c r="C162" s="20"/>
    </row>
    <row r="163" spans="1:3" ht="15.75" customHeight="1">
      <c r="A163" s="20"/>
      <c r="B163" s="20"/>
      <c r="C163" s="20"/>
    </row>
    <row r="164" spans="1:3" ht="15.75" customHeight="1">
      <c r="A164" s="20"/>
      <c r="B164" s="20"/>
      <c r="C164" s="20"/>
    </row>
    <row r="165" spans="1:3" ht="15.75" customHeight="1">
      <c r="A165" s="20"/>
      <c r="B165" s="20"/>
      <c r="C165" s="20"/>
    </row>
    <row r="166" spans="1:3" ht="15.75" customHeight="1">
      <c r="A166" s="20"/>
      <c r="B166" s="20"/>
      <c r="C166" s="20"/>
    </row>
    <row r="167" spans="1:3" ht="15.75" customHeight="1">
      <c r="A167" s="20"/>
      <c r="B167" s="20"/>
      <c r="C167" s="20"/>
    </row>
    <row r="168" spans="1:3" ht="15.75" customHeight="1">
      <c r="A168" s="20"/>
      <c r="B168" s="20"/>
      <c r="C168" s="20"/>
    </row>
    <row r="169" spans="1:3" ht="15.75" customHeight="1">
      <c r="A169" s="20"/>
      <c r="B169" s="20"/>
      <c r="C169" s="20"/>
    </row>
    <row r="170" spans="1:3" ht="15.75" customHeight="1">
      <c r="A170" s="20"/>
      <c r="B170" s="20"/>
      <c r="C170" s="20"/>
    </row>
    <row r="171" spans="1:3" ht="15.75" customHeight="1">
      <c r="A171" s="20"/>
      <c r="B171" s="20"/>
      <c r="C171" s="20"/>
    </row>
    <row r="172" spans="1:3" ht="15.75" customHeight="1">
      <c r="A172" s="20"/>
      <c r="B172" s="20"/>
      <c r="C172" s="20"/>
    </row>
    <row r="173" spans="1:3" ht="15.75" customHeight="1">
      <c r="A173" s="20"/>
      <c r="B173" s="20"/>
      <c r="C173" s="20"/>
    </row>
    <row r="174" spans="1:3" ht="15.75" customHeight="1">
      <c r="A174" s="20"/>
      <c r="B174" s="20"/>
      <c r="C174" s="20"/>
    </row>
    <row r="175" spans="1:3" ht="15.75" customHeight="1">
      <c r="A175" s="20"/>
      <c r="B175" s="20"/>
      <c r="C175" s="20"/>
    </row>
    <row r="176" spans="1:3" ht="15.75" customHeight="1">
      <c r="A176" s="20"/>
      <c r="B176" s="20"/>
      <c r="C176" s="20"/>
    </row>
    <row r="177" spans="1:3" ht="15.75" customHeight="1">
      <c r="A177" s="20"/>
      <c r="B177" s="20"/>
      <c r="C177" s="20"/>
    </row>
    <row r="178" spans="1:3" ht="15.75" customHeight="1">
      <c r="A178" s="20"/>
      <c r="B178" s="20"/>
      <c r="C178" s="20"/>
    </row>
    <row r="179" spans="1:3" ht="15.75" customHeight="1">
      <c r="A179" s="20"/>
      <c r="B179" s="20"/>
      <c r="C179" s="20"/>
    </row>
    <row r="180" spans="1:3" ht="15.75" customHeight="1">
      <c r="A180" s="20"/>
      <c r="B180" s="20"/>
      <c r="C180" s="20"/>
    </row>
    <row r="181" spans="1:3" ht="15.75" customHeight="1">
      <c r="A181" s="20"/>
      <c r="B181" s="20"/>
      <c r="C181" s="20"/>
    </row>
    <row r="182" spans="1:3" ht="15.75" customHeight="1">
      <c r="A182" s="20"/>
      <c r="B182" s="20"/>
      <c r="C182" s="20"/>
    </row>
    <row r="183" spans="1:3" ht="15.75" customHeight="1">
      <c r="A183" s="20"/>
      <c r="B183" s="20"/>
      <c r="C183" s="20"/>
    </row>
    <row r="184" spans="1:3" ht="15.75" customHeight="1">
      <c r="A184" s="20"/>
      <c r="B184" s="20"/>
      <c r="C184" s="20"/>
    </row>
    <row r="185" spans="1:3" ht="15.75" customHeight="1">
      <c r="A185" s="20"/>
      <c r="B185" s="20"/>
      <c r="C185" s="20"/>
    </row>
    <row r="186" spans="1:3" ht="15.75" customHeight="1">
      <c r="A186" s="20"/>
      <c r="B186" s="20"/>
      <c r="C186" s="20"/>
    </row>
    <row r="187" spans="1:3" ht="15.75" customHeight="1">
      <c r="A187" s="20"/>
      <c r="B187" s="20"/>
      <c r="C187" s="20"/>
    </row>
    <row r="188" spans="1:3" ht="15.75" customHeight="1">
      <c r="A188" s="20"/>
      <c r="B188" s="20"/>
      <c r="C188" s="20"/>
    </row>
    <row r="189" spans="1:3" ht="15.75" customHeight="1">
      <c r="A189" s="20"/>
      <c r="B189" s="20"/>
      <c r="C189" s="20"/>
    </row>
    <row r="190" spans="1:3" ht="15.75" customHeight="1">
      <c r="A190" s="20"/>
      <c r="B190" s="20"/>
      <c r="C190" s="20"/>
    </row>
    <row r="191" spans="1:3" ht="15.75" customHeight="1">
      <c r="A191" s="20"/>
      <c r="B191" s="20"/>
      <c r="C191" s="20"/>
    </row>
    <row r="192" spans="1:3" ht="15.75" customHeight="1">
      <c r="A192" s="20"/>
      <c r="B192" s="20"/>
      <c r="C192" s="20"/>
    </row>
    <row r="193" spans="1:3" ht="15.75" customHeight="1">
      <c r="A193" s="20"/>
      <c r="B193" s="20"/>
      <c r="C193" s="20"/>
    </row>
    <row r="194" spans="1:3" ht="15.75" customHeight="1">
      <c r="A194" s="20"/>
      <c r="B194" s="20"/>
      <c r="C194" s="20"/>
    </row>
    <row r="195" spans="1:3" ht="15.75" customHeight="1">
      <c r="A195" s="20"/>
      <c r="B195" s="20"/>
      <c r="C195" s="20"/>
    </row>
    <row r="196" spans="1:3" ht="15.75" customHeight="1">
      <c r="A196" s="20"/>
      <c r="B196" s="20"/>
      <c r="C196" s="20"/>
    </row>
    <row r="197" spans="1:3" ht="15.75" customHeight="1">
      <c r="A197" s="20"/>
      <c r="B197" s="20"/>
      <c r="C197" s="20"/>
    </row>
    <row r="198" spans="1:3" ht="15.75" customHeight="1">
      <c r="A198" s="20"/>
      <c r="B198" s="20"/>
      <c r="C198" s="20"/>
    </row>
    <row r="199" spans="1:3" ht="15.75" customHeight="1">
      <c r="A199" s="20"/>
      <c r="B199" s="20"/>
      <c r="C199" s="20"/>
    </row>
    <row r="200" spans="1:3" ht="15.75" customHeight="1">
      <c r="A200" s="20"/>
      <c r="B200" s="20"/>
      <c r="C200" s="20"/>
    </row>
    <row r="201" spans="1:3" ht="15.75" customHeight="1">
      <c r="A201" s="20"/>
      <c r="B201" s="20"/>
      <c r="C201" s="20"/>
    </row>
    <row r="202" spans="1:3" ht="15.75" customHeight="1">
      <c r="A202" s="20"/>
      <c r="B202" s="20"/>
      <c r="C202" s="20"/>
    </row>
    <row r="203" spans="1:3" ht="15.75" customHeight="1">
      <c r="A203" s="20"/>
      <c r="B203" s="20"/>
      <c r="C203" s="20"/>
    </row>
    <row r="204" spans="1:3" ht="15.75" customHeight="1">
      <c r="A204" s="20"/>
      <c r="B204" s="20"/>
      <c r="C204" s="20"/>
    </row>
    <row r="205" spans="1:3" ht="15.75" customHeight="1">
      <c r="A205" s="20"/>
      <c r="B205" s="20"/>
      <c r="C205" s="20"/>
    </row>
    <row r="206" spans="1:3" ht="15.75" customHeight="1">
      <c r="A206" s="20"/>
      <c r="B206" s="20"/>
      <c r="C206" s="20"/>
    </row>
    <row r="207" spans="1:3" ht="15.75" customHeight="1">
      <c r="A207" s="20"/>
      <c r="B207" s="20"/>
      <c r="C207" s="20"/>
    </row>
    <row r="208" spans="1:3" ht="15.75" customHeight="1">
      <c r="A208" s="20"/>
      <c r="B208" s="20"/>
      <c r="C208" s="20"/>
    </row>
    <row r="209" spans="1:3" ht="15.75" customHeight="1">
      <c r="A209" s="20"/>
      <c r="B209" s="20"/>
      <c r="C209" s="20"/>
    </row>
    <row r="210" spans="1:3" ht="15.75" customHeight="1">
      <c r="A210" s="20"/>
      <c r="B210" s="20"/>
      <c r="C210" s="20"/>
    </row>
    <row r="211" spans="1:3" ht="15.75" customHeight="1">
      <c r="A211" s="20"/>
      <c r="B211" s="20"/>
      <c r="C211" s="20"/>
    </row>
    <row r="212" spans="1:3" ht="15.75" customHeight="1">
      <c r="A212" s="20"/>
      <c r="B212" s="20"/>
      <c r="C212" s="20"/>
    </row>
    <row r="213" spans="1:3" ht="15.75" customHeight="1">
      <c r="A213" s="20"/>
      <c r="B213" s="20"/>
      <c r="C213" s="20"/>
    </row>
    <row r="214" spans="1:3" ht="15.75" customHeight="1">
      <c r="A214" s="20"/>
      <c r="B214" s="20"/>
      <c r="C214" s="20"/>
    </row>
    <row r="215" spans="1:3" ht="15.75" customHeight="1">
      <c r="A215" s="20"/>
      <c r="B215" s="20"/>
      <c r="C215" s="20"/>
    </row>
    <row r="216" spans="1:3" ht="15.75" customHeight="1">
      <c r="A216" s="20"/>
      <c r="B216" s="20"/>
      <c r="C216" s="20"/>
    </row>
    <row r="217" spans="1:3" ht="15.75" customHeight="1">
      <c r="A217" s="20"/>
      <c r="B217" s="20"/>
      <c r="C217" s="20"/>
    </row>
    <row r="218" spans="1:3" ht="15.75" customHeight="1">
      <c r="A218" s="20"/>
      <c r="B218" s="20"/>
      <c r="C218" s="20"/>
    </row>
    <row r="219" spans="1:3" ht="15.75" customHeight="1">
      <c r="A219" s="20"/>
      <c r="B219" s="20"/>
      <c r="C219" s="20"/>
    </row>
    <row r="220" spans="1:3" ht="15.75" customHeight="1">
      <c r="A220" s="20"/>
      <c r="B220" s="20"/>
      <c r="C220" s="20"/>
    </row>
    <row r="221" spans="1:3" ht="15.75" customHeight="1">
      <c r="A221" s="20"/>
      <c r="B221" s="20"/>
      <c r="C221" s="20"/>
    </row>
    <row r="222" spans="1:3" ht="15.75" customHeight="1">
      <c r="A222" s="20"/>
      <c r="B222" s="20"/>
      <c r="C222" s="20"/>
    </row>
    <row r="223" spans="1:3" ht="15.75" customHeight="1">
      <c r="A223" s="20"/>
      <c r="B223" s="20"/>
      <c r="C223" s="20"/>
    </row>
    <row r="224" spans="1:3" ht="15.75" customHeight="1">
      <c r="A224" s="20"/>
      <c r="B224" s="20"/>
      <c r="C224" s="20"/>
    </row>
    <row r="225" spans="1:3" ht="15.75" customHeight="1">
      <c r="A225" s="20"/>
      <c r="B225" s="20"/>
      <c r="C225" s="20"/>
    </row>
    <row r="226" spans="1:3" ht="15.75" customHeight="1">
      <c r="A226" s="20"/>
      <c r="B226" s="20"/>
      <c r="C226" s="20"/>
    </row>
    <row r="227" spans="1:3" ht="15.75" customHeight="1">
      <c r="A227" s="20"/>
      <c r="B227" s="20"/>
      <c r="C227" s="20"/>
    </row>
    <row r="228" spans="1:3" ht="15.75" customHeight="1">
      <c r="A228" s="20"/>
      <c r="B228" s="20"/>
      <c r="C228" s="20"/>
    </row>
    <row r="229" spans="1:3" ht="15.75" customHeight="1">
      <c r="A229" s="20"/>
      <c r="B229" s="20"/>
      <c r="C229" s="20"/>
    </row>
    <row r="230" spans="1:3" ht="15.75" customHeight="1">
      <c r="A230" s="20"/>
      <c r="B230" s="20"/>
      <c r="C230" s="20"/>
    </row>
    <row r="231" spans="1:3" ht="15.75" customHeight="1">
      <c r="A231" s="20"/>
      <c r="B231" s="20"/>
      <c r="C231" s="20"/>
    </row>
    <row r="232" spans="1:3" ht="15.75" customHeight="1">
      <c r="A232" s="20"/>
      <c r="B232" s="20"/>
      <c r="C232" s="20"/>
    </row>
    <row r="233" spans="1:3" ht="15.75" customHeight="1">
      <c r="A233" s="20"/>
      <c r="B233" s="20"/>
      <c r="C233" s="20"/>
    </row>
    <row r="234" spans="1:3" ht="15.75" customHeight="1">
      <c r="A234" s="20"/>
      <c r="B234" s="20"/>
      <c r="C234" s="20"/>
    </row>
    <row r="235" spans="1:3" ht="15.75" customHeight="1">
      <c r="A235" s="20"/>
      <c r="B235" s="20"/>
      <c r="C235" s="20"/>
    </row>
    <row r="236" spans="1:3" ht="15.75" customHeight="1">
      <c r="A236" s="20"/>
      <c r="B236" s="20"/>
      <c r="C236" s="20"/>
    </row>
    <row r="237" spans="1:3" ht="15.75" customHeight="1">
      <c r="A237" s="20"/>
      <c r="B237" s="20"/>
      <c r="C237" s="20"/>
    </row>
    <row r="238" spans="1:3" ht="15.75" customHeight="1">
      <c r="A238" s="20"/>
      <c r="B238" s="20"/>
      <c r="C238" s="20"/>
    </row>
    <row r="239" spans="1:3" ht="15.75" customHeight="1">
      <c r="A239" s="20"/>
      <c r="B239" s="20"/>
      <c r="C239" s="20"/>
    </row>
    <row r="240" spans="1:3" ht="15.75" customHeight="1">
      <c r="A240" s="20"/>
      <c r="B240" s="20"/>
      <c r="C240" s="20"/>
    </row>
    <row r="241" spans="1:3" ht="15.75" customHeight="1">
      <c r="A241" s="20"/>
      <c r="B241" s="20"/>
      <c r="C241" s="20"/>
    </row>
  </sheetData>
  <mergeCells count="18">
    <mergeCell ref="DG41:DI41"/>
    <mergeCell ref="AY41:BD41"/>
    <mergeCell ref="BE41:BJ41"/>
    <mergeCell ref="BK41:BP41"/>
    <mergeCell ref="BQ41:BV41"/>
    <mergeCell ref="BW41:CB41"/>
    <mergeCell ref="CC41:CH41"/>
    <mergeCell ref="CI41:CN41"/>
    <mergeCell ref="AM41:AR41"/>
    <mergeCell ref="AS41:AX41"/>
    <mergeCell ref="CO41:CT41"/>
    <mergeCell ref="CU41:CZ41"/>
    <mergeCell ref="DA41:DF41"/>
    <mergeCell ref="I41:N41"/>
    <mergeCell ref="O41:T41"/>
    <mergeCell ref="U41:Z41"/>
    <mergeCell ref="AA41:AF41"/>
    <mergeCell ref="AG41:AL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24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" customHeight="1"/>
  <cols>
    <col min="1" max="1" width="2.5703125" customWidth="1"/>
    <col min="2" max="2" width="31.42578125" customWidth="1"/>
    <col min="3" max="3" width="14.85546875" customWidth="1"/>
    <col min="4" max="4" width="6.5703125" customWidth="1"/>
    <col min="5" max="5" width="24.7109375" customWidth="1"/>
    <col min="6" max="6" width="11" customWidth="1"/>
    <col min="7" max="7" width="10" customWidth="1"/>
    <col min="8" max="8" width="4.42578125" customWidth="1"/>
    <col min="9" max="9" width="3.5703125" customWidth="1"/>
    <col min="10" max="10" width="5.42578125" customWidth="1"/>
    <col min="11" max="12" width="5.140625" customWidth="1"/>
    <col min="13" max="13" width="5.42578125" customWidth="1"/>
    <col min="14" max="14" width="9.28515625" customWidth="1"/>
    <col min="15" max="15" width="3.5703125" customWidth="1"/>
    <col min="16" max="16" width="4.5703125" customWidth="1"/>
    <col min="17" max="17" width="5.42578125" customWidth="1"/>
    <col min="18" max="18" width="4" customWidth="1"/>
    <col min="19" max="19" width="5.7109375" customWidth="1"/>
    <col min="20" max="20" width="8" customWidth="1"/>
    <col min="21" max="21" width="3.5703125" customWidth="1"/>
    <col min="22" max="22" width="4.5703125" customWidth="1"/>
    <col min="23" max="23" width="5.42578125" customWidth="1"/>
    <col min="24" max="24" width="4" customWidth="1"/>
    <col min="25" max="25" width="5.7109375" customWidth="1"/>
    <col min="26" max="26" width="8" customWidth="1"/>
    <col min="27" max="27" width="3.5703125" customWidth="1"/>
    <col min="28" max="28" width="4.5703125" customWidth="1"/>
    <col min="29" max="29" width="5.42578125" customWidth="1"/>
    <col min="30" max="30" width="4" customWidth="1"/>
    <col min="31" max="31" width="5.7109375" customWidth="1"/>
    <col min="32" max="32" width="8" customWidth="1"/>
    <col min="33" max="33" width="3.5703125" customWidth="1"/>
    <col min="34" max="34" width="4.5703125" customWidth="1"/>
    <col min="35" max="35" width="5.42578125" customWidth="1"/>
    <col min="36" max="36" width="4" customWidth="1"/>
    <col min="37" max="37" width="5.7109375" customWidth="1"/>
    <col min="38" max="38" width="8" customWidth="1"/>
    <col min="39" max="39" width="3.5703125" customWidth="1"/>
    <col min="40" max="40" width="4.5703125" customWidth="1"/>
    <col min="41" max="41" width="5.42578125" customWidth="1"/>
    <col min="42" max="42" width="4" customWidth="1"/>
    <col min="43" max="43" width="5.7109375" customWidth="1"/>
    <col min="44" max="44" width="8" customWidth="1"/>
    <col min="45" max="45" width="3.5703125" customWidth="1"/>
    <col min="46" max="46" width="4.5703125" customWidth="1"/>
    <col min="47" max="47" width="5.42578125" customWidth="1"/>
    <col min="48" max="48" width="4" customWidth="1"/>
    <col min="49" max="49" width="5.7109375" customWidth="1"/>
    <col min="50" max="50" width="8" customWidth="1"/>
    <col min="51" max="51" width="3.5703125" customWidth="1"/>
    <col min="52" max="53" width="5.42578125" customWidth="1"/>
    <col min="54" max="54" width="4" customWidth="1"/>
    <col min="55" max="55" width="5.28515625" customWidth="1"/>
    <col min="56" max="56" width="8" customWidth="1"/>
    <col min="57" max="57" width="3.5703125" customWidth="1"/>
    <col min="58" max="58" width="4.5703125" customWidth="1"/>
    <col min="59" max="59" width="5.42578125" customWidth="1"/>
    <col min="60" max="60" width="4" customWidth="1"/>
    <col min="61" max="61" width="5.7109375" customWidth="1"/>
    <col min="62" max="62" width="8" customWidth="1"/>
    <col min="63" max="63" width="3.5703125" customWidth="1"/>
    <col min="64" max="64" width="4.5703125" customWidth="1"/>
    <col min="65" max="65" width="5.42578125" customWidth="1"/>
    <col min="66" max="66" width="4" customWidth="1"/>
    <col min="67" max="67" width="5.7109375" customWidth="1"/>
    <col min="68" max="68" width="8" customWidth="1"/>
    <col min="69" max="69" width="3.5703125" customWidth="1"/>
    <col min="70" max="70" width="4.5703125" customWidth="1"/>
    <col min="71" max="71" width="5.42578125" customWidth="1"/>
    <col min="72" max="72" width="4" customWidth="1"/>
    <col min="73" max="73" width="5.7109375" customWidth="1"/>
    <col min="74" max="74" width="8" customWidth="1"/>
    <col min="75" max="75" width="3.5703125" customWidth="1"/>
    <col min="76" max="76" width="4.5703125" customWidth="1"/>
    <col min="77" max="77" width="5.42578125" customWidth="1"/>
    <col min="78" max="78" width="4" customWidth="1"/>
    <col min="79" max="79" width="5.7109375" customWidth="1"/>
    <col min="80" max="80" width="8" customWidth="1"/>
    <col min="81" max="81" width="3.5703125" customWidth="1"/>
    <col min="82" max="82" width="4.5703125" customWidth="1"/>
    <col min="83" max="83" width="5.42578125" customWidth="1"/>
    <col min="84" max="84" width="4" customWidth="1"/>
    <col min="85" max="85" width="5.7109375" customWidth="1"/>
    <col min="86" max="86" width="8" customWidth="1"/>
    <col min="87" max="87" width="3.5703125" customWidth="1"/>
    <col min="88" max="88" width="4.5703125" customWidth="1"/>
    <col min="89" max="89" width="5.42578125" customWidth="1"/>
    <col min="90" max="90" width="4" customWidth="1"/>
    <col min="91" max="91" width="5.7109375" customWidth="1"/>
    <col min="92" max="92" width="8" customWidth="1"/>
    <col min="93" max="93" width="3.5703125" customWidth="1"/>
    <col min="94" max="94" width="4.5703125" customWidth="1"/>
    <col min="95" max="95" width="5.42578125" customWidth="1"/>
    <col min="96" max="96" width="4" customWidth="1"/>
    <col min="97" max="97" width="5.7109375" customWidth="1"/>
    <col min="98" max="98" width="8" customWidth="1"/>
    <col min="99" max="99" width="3.5703125" customWidth="1"/>
    <col min="100" max="100" width="4.5703125" customWidth="1"/>
    <col min="101" max="101" width="5.42578125" customWidth="1"/>
    <col min="102" max="102" width="4" customWidth="1"/>
    <col min="103" max="103" width="5.7109375" customWidth="1"/>
    <col min="104" max="104" width="8" customWidth="1"/>
    <col min="105" max="105" width="3.5703125" customWidth="1"/>
    <col min="106" max="106" width="4.5703125" customWidth="1"/>
    <col min="107" max="107" width="5.42578125" customWidth="1"/>
    <col min="108" max="108" width="4" customWidth="1"/>
    <col min="109" max="109" width="5.7109375" customWidth="1"/>
    <col min="110" max="110" width="8" customWidth="1"/>
    <col min="111" max="111" width="3.5703125" customWidth="1"/>
    <col min="112" max="112" width="5.7109375" customWidth="1"/>
    <col min="113" max="113" width="8" customWidth="1"/>
    <col min="114" max="114" width="9.28515625" customWidth="1"/>
    <col min="115" max="166" width="10.42578125" customWidth="1"/>
  </cols>
  <sheetData>
    <row r="1" spans="1:166">
      <c r="A1" s="1" t="s">
        <v>132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8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8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 t="s">
        <v>8</v>
      </c>
      <c r="AN1" s="2" t="s">
        <v>9</v>
      </c>
      <c r="AO1" s="2" t="s">
        <v>10</v>
      </c>
      <c r="AP1" s="2" t="s">
        <v>11</v>
      </c>
      <c r="AQ1" s="2" t="s">
        <v>12</v>
      </c>
      <c r="AR1" s="2" t="s">
        <v>13</v>
      </c>
      <c r="AS1" s="2" t="s">
        <v>8</v>
      </c>
      <c r="AT1" s="2" t="s">
        <v>9</v>
      </c>
      <c r="AU1" s="2" t="s">
        <v>10</v>
      </c>
      <c r="AV1" s="2" t="s">
        <v>11</v>
      </c>
      <c r="AW1" s="2" t="s">
        <v>12</v>
      </c>
      <c r="AX1" s="2" t="s">
        <v>13</v>
      </c>
      <c r="AY1" s="2" t="s">
        <v>8</v>
      </c>
      <c r="AZ1" s="1" t="s">
        <v>9</v>
      </c>
      <c r="BA1" s="2" t="s">
        <v>10</v>
      </c>
      <c r="BB1" s="2" t="s">
        <v>11</v>
      </c>
      <c r="BC1" s="2" t="s">
        <v>12</v>
      </c>
      <c r="BD1" s="2" t="s">
        <v>13</v>
      </c>
      <c r="BE1" s="2" t="s">
        <v>8</v>
      </c>
      <c r="BF1" s="2" t="s">
        <v>9</v>
      </c>
      <c r="BG1" s="2" t="s">
        <v>10</v>
      </c>
      <c r="BH1" s="2" t="s">
        <v>11</v>
      </c>
      <c r="BI1" s="2" t="s">
        <v>12</v>
      </c>
      <c r="BJ1" s="2" t="s">
        <v>13</v>
      </c>
      <c r="BK1" s="2" t="s">
        <v>8</v>
      </c>
      <c r="BL1" s="2" t="s">
        <v>9</v>
      </c>
      <c r="BM1" s="2" t="s">
        <v>10</v>
      </c>
      <c r="BN1" s="2" t="s">
        <v>11</v>
      </c>
      <c r="BO1" s="2" t="s">
        <v>12</v>
      </c>
      <c r="BP1" s="2" t="s">
        <v>13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13</v>
      </c>
      <c r="BW1" s="2" t="s">
        <v>8</v>
      </c>
      <c r="BX1" s="2" t="s">
        <v>9</v>
      </c>
      <c r="BY1" s="2" t="s">
        <v>10</v>
      </c>
      <c r="BZ1" s="2" t="s">
        <v>11</v>
      </c>
      <c r="CA1" s="2" t="s">
        <v>12</v>
      </c>
      <c r="CB1" s="2" t="s">
        <v>13</v>
      </c>
      <c r="CC1" s="2" t="s">
        <v>8</v>
      </c>
      <c r="CD1" s="2" t="s">
        <v>9</v>
      </c>
      <c r="CE1" s="2" t="s">
        <v>10</v>
      </c>
      <c r="CF1" s="2" t="s">
        <v>11</v>
      </c>
      <c r="CG1" s="2" t="s">
        <v>12</v>
      </c>
      <c r="CH1" s="2" t="s">
        <v>13</v>
      </c>
      <c r="CI1" s="2" t="s">
        <v>8</v>
      </c>
      <c r="CJ1" s="2" t="s">
        <v>9</v>
      </c>
      <c r="CK1" s="2" t="s">
        <v>10</v>
      </c>
      <c r="CL1" s="2" t="s">
        <v>11</v>
      </c>
      <c r="CM1" s="2" t="s">
        <v>12</v>
      </c>
      <c r="CN1" s="2" t="s">
        <v>13</v>
      </c>
      <c r="CO1" s="2" t="s">
        <v>8</v>
      </c>
      <c r="CP1" s="2" t="s">
        <v>9</v>
      </c>
      <c r="CQ1" s="2" t="s">
        <v>10</v>
      </c>
      <c r="CR1" s="2" t="s">
        <v>11</v>
      </c>
      <c r="CS1" s="2" t="s">
        <v>12</v>
      </c>
      <c r="CT1" s="2" t="s">
        <v>13</v>
      </c>
      <c r="CU1" s="2" t="s">
        <v>8</v>
      </c>
      <c r="CV1" s="2" t="s">
        <v>9</v>
      </c>
      <c r="CW1" s="3" t="s">
        <v>10</v>
      </c>
      <c r="CX1" s="2" t="s">
        <v>11</v>
      </c>
      <c r="CY1" s="2" t="s">
        <v>12</v>
      </c>
      <c r="CZ1" s="2" t="s">
        <v>13</v>
      </c>
      <c r="DA1" s="2" t="s">
        <v>8</v>
      </c>
      <c r="DB1" s="2" t="s">
        <v>9</v>
      </c>
      <c r="DC1" s="2" t="s">
        <v>10</v>
      </c>
      <c r="DD1" s="2" t="s">
        <v>11</v>
      </c>
      <c r="DE1" s="2" t="s">
        <v>12</v>
      </c>
      <c r="DF1" s="2" t="s">
        <v>13</v>
      </c>
      <c r="DG1" s="2" t="s">
        <v>8</v>
      </c>
      <c r="DH1" s="2" t="s">
        <v>12</v>
      </c>
      <c r="DI1" s="2" t="s">
        <v>13</v>
      </c>
      <c r="DJ1" s="2" t="s">
        <v>14</v>
      </c>
      <c r="DK1" s="4" t="s">
        <v>15</v>
      </c>
      <c r="DL1" s="4" t="s">
        <v>16</v>
      </c>
      <c r="DM1" s="4" t="s">
        <v>17</v>
      </c>
      <c r="DN1" s="4" t="s">
        <v>18</v>
      </c>
      <c r="DO1" s="4" t="s">
        <v>19</v>
      </c>
      <c r="DP1" s="4" t="s">
        <v>20</v>
      </c>
      <c r="DQ1" s="4" t="s">
        <v>21</v>
      </c>
      <c r="DR1" s="4" t="s">
        <v>22</v>
      </c>
      <c r="DS1" s="4" t="s">
        <v>23</v>
      </c>
      <c r="DT1" s="4" t="s">
        <v>24</v>
      </c>
      <c r="DU1" s="4" t="s">
        <v>25</v>
      </c>
      <c r="DV1" s="4" t="s">
        <v>26</v>
      </c>
      <c r="DW1" s="4" t="s">
        <v>27</v>
      </c>
      <c r="DX1" s="4" t="s">
        <v>28</v>
      </c>
      <c r="DY1" s="4" t="s">
        <v>29</v>
      </c>
      <c r="DZ1" s="4" t="s">
        <v>30</v>
      </c>
      <c r="EA1" s="4" t="s">
        <v>31</v>
      </c>
      <c r="EB1" s="4" t="s">
        <v>32</v>
      </c>
      <c r="EC1" s="4" t="s">
        <v>33</v>
      </c>
      <c r="ED1" s="4" t="s">
        <v>34</v>
      </c>
      <c r="EE1" s="4" t="s">
        <v>35</v>
      </c>
      <c r="EF1" s="4" t="s">
        <v>36</v>
      </c>
      <c r="EG1" s="4" t="s">
        <v>37</v>
      </c>
      <c r="EH1" s="4" t="s">
        <v>38</v>
      </c>
      <c r="EI1" s="4" t="s">
        <v>39</v>
      </c>
      <c r="EJ1" s="4" t="s">
        <v>40</v>
      </c>
      <c r="EK1" s="4" t="s">
        <v>41</v>
      </c>
      <c r="EL1" s="4" t="s">
        <v>42</v>
      </c>
      <c r="EM1" s="4" t="s">
        <v>43</v>
      </c>
      <c r="EN1" s="4" t="s">
        <v>44</v>
      </c>
      <c r="EO1" s="4" t="s">
        <v>45</v>
      </c>
      <c r="EP1" s="4" t="s">
        <v>46</v>
      </c>
      <c r="EQ1" s="4" t="s">
        <v>47</v>
      </c>
      <c r="ER1" s="4" t="s">
        <v>48</v>
      </c>
      <c r="ES1" s="4" t="s">
        <v>49</v>
      </c>
      <c r="ET1" s="4" t="s">
        <v>50</v>
      </c>
      <c r="EU1" s="4" t="s">
        <v>51</v>
      </c>
      <c r="EV1" s="4" t="s">
        <v>52</v>
      </c>
      <c r="EW1" s="4" t="s">
        <v>53</v>
      </c>
      <c r="EX1" s="4" t="s">
        <v>54</v>
      </c>
      <c r="EY1" s="4" t="s">
        <v>55</v>
      </c>
      <c r="EZ1" s="4" t="s">
        <v>56</v>
      </c>
      <c r="FA1" s="4" t="s">
        <v>57</v>
      </c>
      <c r="FB1" s="4" t="s">
        <v>58</v>
      </c>
      <c r="FC1" s="4" t="s">
        <v>59</v>
      </c>
      <c r="FD1" s="4" t="s">
        <v>60</v>
      </c>
      <c r="FE1" s="4" t="s">
        <v>61</v>
      </c>
      <c r="FF1" s="4" t="s">
        <v>62</v>
      </c>
      <c r="FG1" s="4" t="s">
        <v>63</v>
      </c>
      <c r="FH1" s="4" t="s">
        <v>64</v>
      </c>
      <c r="FI1" s="4" t="s">
        <v>65</v>
      </c>
      <c r="FJ1" s="4" t="s">
        <v>66</v>
      </c>
    </row>
    <row r="2" spans="1:166">
      <c r="A2" s="5">
        <v>1</v>
      </c>
      <c r="B2" s="5" t="s">
        <v>175</v>
      </c>
      <c r="C2" s="6">
        <v>1043455095</v>
      </c>
      <c r="D2" s="5" t="s">
        <v>176</v>
      </c>
      <c r="E2" s="5" t="s">
        <v>177</v>
      </c>
      <c r="F2" s="5" t="s">
        <v>70</v>
      </c>
      <c r="G2" s="5" t="s">
        <v>71</v>
      </c>
      <c r="H2" s="5">
        <v>2026</v>
      </c>
      <c r="I2" s="5">
        <v>4</v>
      </c>
      <c r="J2" s="7">
        <v>2.4</v>
      </c>
      <c r="K2" s="7">
        <v>2.5</v>
      </c>
      <c r="L2" s="7">
        <v>2.6</v>
      </c>
      <c r="M2" s="5">
        <f t="shared" ref="M2:M5" si="0">((J2*0.3)+(K2*0.4)+(L2*0.3))</f>
        <v>2.5</v>
      </c>
      <c r="N2" s="5" t="str">
        <f t="shared" ref="N2:N42" si="1">IF(M2&lt;3,"BAJO",IF(M2&lt;4,"BASICO",IF(M2&lt;4.5,"ALTO",IF(M2&lt;=5,"SUPERIOR"))))</f>
        <v>BAJO</v>
      </c>
      <c r="O2" s="5">
        <v>1</v>
      </c>
      <c r="P2" s="7">
        <v>2.5</v>
      </c>
      <c r="Q2" s="7">
        <v>2.5</v>
      </c>
      <c r="R2" s="7">
        <v>2.5</v>
      </c>
      <c r="S2" s="5">
        <f t="shared" ref="S2:S11" si="2">((P2*0.3)+(Q2*0.4)+(R2*0.3))</f>
        <v>2.5</v>
      </c>
      <c r="T2" s="5" t="str">
        <f t="shared" ref="T2:T42" si="3">IF(S2&lt;3,"BAJO",IF(S2&lt;4,"BASICO",IF(S2&lt;4.5,"ALTO",IF(S2&lt;=5,"SUPERIOR"))))</f>
        <v>BAJO</v>
      </c>
      <c r="U2" s="5">
        <v>4</v>
      </c>
      <c r="V2" s="7">
        <v>4</v>
      </c>
      <c r="W2" s="7">
        <v>4.5999999999999996</v>
      </c>
      <c r="X2" s="7">
        <v>3</v>
      </c>
      <c r="Y2" s="5">
        <f t="shared" ref="Y2:Y42" si="4">((V2*0.3)+(W2*0.4)+(X2*0.3))</f>
        <v>3.94</v>
      </c>
      <c r="Z2" s="5" t="str">
        <f t="shared" ref="Z2:Z42" si="5">IF(Y2&lt;3,"BAJO",IF(Y2&lt;4,"BASICO",IF(Y2&lt;4.5,"ALTO",IF(Y2&lt;=5,"SUPERIOR"))))</f>
        <v>BASICO</v>
      </c>
      <c r="AA2" s="5">
        <v>1</v>
      </c>
      <c r="AB2" s="7">
        <v>4.2</v>
      </c>
      <c r="AC2" s="7">
        <v>4.2</v>
      </c>
      <c r="AD2" s="7">
        <v>4.2</v>
      </c>
      <c r="AE2" s="5">
        <f t="shared" ref="AE2:AE42" si="6">((AB2*0.3)+(AC2*0.4)+(AD2*0.3))</f>
        <v>4.2</v>
      </c>
      <c r="AF2" s="5" t="str">
        <f t="shared" ref="AF2:AF42" si="7">IF(AE2&lt;3,"BAJO",IF(AE2&lt;4,"BASICO",IF(AE2&lt;4.5,"ALTO",IF(AE2&lt;=5,"SUPERIOR"))))</f>
        <v>ALTO</v>
      </c>
      <c r="AG2" s="5">
        <v>2</v>
      </c>
      <c r="AH2" s="8">
        <v>3.5</v>
      </c>
      <c r="AI2" s="8">
        <v>3.5</v>
      </c>
      <c r="AJ2" s="8">
        <v>3.5</v>
      </c>
      <c r="AK2" s="5">
        <f t="shared" ref="AK2:AK42" si="8">((AH2*0.3)+(AI2*0.4)+(AJ2*0.3))</f>
        <v>3.5</v>
      </c>
      <c r="AL2" s="5" t="str">
        <f t="shared" ref="AL2:AL42" si="9">IF(AK2&lt;3,"BAJO",IF(AK2&lt;4,"BASICO",IF(AK2&lt;4.5,"ALTO",IF(AK2&lt;=5,"SUPERIOR"))))</f>
        <v>BASICO</v>
      </c>
      <c r="AM2" s="5">
        <v>1</v>
      </c>
      <c r="AN2" s="8">
        <v>3.5</v>
      </c>
      <c r="AO2" s="8">
        <v>3.5</v>
      </c>
      <c r="AP2" s="8">
        <v>3.5</v>
      </c>
      <c r="AQ2" s="5">
        <f t="shared" ref="AQ2:AQ42" si="10">((AN2*0.3)+(AO2*0.4)+(AP2*0.3))</f>
        <v>3.5</v>
      </c>
      <c r="AR2" s="5" t="str">
        <f t="shared" ref="AR2:AR42" si="11">IF(AQ2&lt;3,"BAJO",IF(AQ2&lt;4,"BASICO",IF(AQ2&lt;4.5,"ALTO",IF(AQ2&lt;=5,"SUPERIOR"))))</f>
        <v>BASICO</v>
      </c>
      <c r="AS2" s="5">
        <v>4</v>
      </c>
      <c r="AT2" s="7">
        <v>2</v>
      </c>
      <c r="AU2" s="7">
        <v>2</v>
      </c>
      <c r="AV2" s="7">
        <v>2</v>
      </c>
      <c r="AW2" s="5">
        <f t="shared" ref="AW2:AW42" si="12">((AT2*0.3)+(AU2*0.4)+(AV2*0.3))</f>
        <v>2</v>
      </c>
      <c r="AX2" s="5" t="str">
        <f t="shared" ref="AX2:AX12" si="13">IF(AW2&lt;3,"BAJO",IF(AW2&lt;4,"BASICO",IF(AW2&lt;4.5,"ALTO",IF(AW47&lt;=5,"SUPERIOR"))))</f>
        <v>BAJO</v>
      </c>
      <c r="AY2" s="5">
        <v>1</v>
      </c>
      <c r="AZ2" s="7">
        <v>3</v>
      </c>
      <c r="BA2" s="7">
        <v>3</v>
      </c>
      <c r="BB2" s="7">
        <v>3</v>
      </c>
      <c r="BC2" s="5">
        <f t="shared" ref="BC2:BC42" si="14">((AZ2*0.3)+(BA2*0.4)+(BB2*0.3))</f>
        <v>3</v>
      </c>
      <c r="BD2" s="5" t="str">
        <f t="shared" ref="BD2:BD42" si="15">IF(BC2&lt;3,"BAJO",IF(BC2&lt;4,"BASICO",IF(BC2&lt;4.5,"ALTO",IF(BC2&lt;=5,"SUPERIOR"))))</f>
        <v>BASICO</v>
      </c>
      <c r="BE2" s="7">
        <v>2</v>
      </c>
      <c r="BF2" s="7">
        <v>2</v>
      </c>
      <c r="BG2" s="7">
        <v>2.5</v>
      </c>
      <c r="BH2" s="7">
        <v>2.4</v>
      </c>
      <c r="BI2" s="5">
        <f t="shared" ref="BI2:BI14" si="16">((BF2*0.3)+(BG2*0.4)+(BH2*0.3))</f>
        <v>2.3200000000000003</v>
      </c>
      <c r="BJ2" s="5" t="str">
        <f t="shared" ref="BJ2:BJ42" si="17">IF(BI2&lt;3,"BAJO",IF(BI2&lt;4,"BASICO",IF(BI2&lt;4.5,"ALTO",IF(BI2&lt;=5,"SUPERIOR"))))</f>
        <v>BAJO</v>
      </c>
      <c r="BK2" s="5">
        <v>1</v>
      </c>
      <c r="BL2" s="7">
        <v>2.5</v>
      </c>
      <c r="BM2" s="7">
        <v>2.8</v>
      </c>
      <c r="BN2" s="7">
        <v>2.5</v>
      </c>
      <c r="BO2" s="5">
        <f t="shared" ref="BO2:BO17" si="18">((BL2*0.3)+(BM2*0.4)+(BN2*0.3))</f>
        <v>2.62</v>
      </c>
      <c r="BP2" s="5" t="str">
        <f t="shared" ref="BP2:BP42" si="19">IF(BO2&lt;3,"BAJO",IF(BO2&lt;4,"BASICO",IF(BO2&lt;4.5,"ALTO",IF(BO2&lt;=5,"SUPERIOR"))))</f>
        <v>BAJO</v>
      </c>
      <c r="BQ2" s="5">
        <v>1</v>
      </c>
      <c r="BR2" s="7">
        <v>2</v>
      </c>
      <c r="BS2" s="7">
        <v>2.2000000000000002</v>
      </c>
      <c r="BT2" s="7">
        <v>2.5</v>
      </c>
      <c r="BU2" s="5">
        <f t="shared" ref="BU2:BU42" si="20">((BR2*0.3)+(BS2*0.4)+(BT2*0.3))</f>
        <v>2.23</v>
      </c>
      <c r="BV2" s="5" t="str">
        <f t="shared" ref="BV2:BV42" si="21">IF(BU2&lt;3,"BAJO",IF(BU2&lt;4,"BASICO",IF(BU2&lt;4.5,"ALTO",IF(BU2&lt;=5,"SUPERIOR"))))</f>
        <v>BAJO</v>
      </c>
      <c r="BW2" s="5">
        <v>1</v>
      </c>
      <c r="BX2" s="7">
        <v>2.4</v>
      </c>
      <c r="BY2" s="7">
        <v>2.7</v>
      </c>
      <c r="BZ2" s="7">
        <v>2.2000000000000002</v>
      </c>
      <c r="CA2" s="5">
        <f t="shared" ref="CA2:CA42" si="22">((BX2*0.3)+(BY2*0.4)+(BZ2*0.3))</f>
        <v>2.46</v>
      </c>
      <c r="CB2" s="5" t="str">
        <f t="shared" ref="CB2:CB42" si="23">IF(CA2&lt;3,"BAJO",IF(CA2&lt;4,"BASICO",IF(CA2&lt;4.5,"ALTO",IF(CA2&lt;=5,"SUPERIOR"))))</f>
        <v>BAJO</v>
      </c>
      <c r="CC2" s="5">
        <v>1</v>
      </c>
      <c r="CD2" s="7">
        <v>2</v>
      </c>
      <c r="CE2" s="7">
        <v>2</v>
      </c>
      <c r="CF2" s="7">
        <v>2</v>
      </c>
      <c r="CG2" s="5">
        <f t="shared" ref="CG2:CG42" si="24">((CD2*0.3)+(CE2*0.4)+(CF2*0.3))</f>
        <v>2</v>
      </c>
      <c r="CH2" s="5" t="str">
        <f t="shared" ref="CH2:CH42" si="25">IF(CG2&lt;3,"BAJO",IF(CG2&lt;4,"BASICO",IF(CG2&lt;4.5,"ALTO",IF(CG2&lt;=5,"SUPERIOR"))))</f>
        <v>BAJO</v>
      </c>
      <c r="CI2" s="5">
        <v>1</v>
      </c>
      <c r="CJ2" s="7">
        <v>4</v>
      </c>
      <c r="CK2" s="7">
        <v>4</v>
      </c>
      <c r="CL2" s="7">
        <v>4</v>
      </c>
      <c r="CM2" s="5">
        <f t="shared" ref="CM2:CM42" si="26">((CJ2*0.3)+(CK2*0.4)+(CL2*0.3))</f>
        <v>4</v>
      </c>
      <c r="CN2" s="5" t="str">
        <f t="shared" ref="CN2:CN42" si="27">IF(CM2&lt;3,"BAJO",IF(CM2&lt;4,"BASICO",IF(CM2&lt;4.5,"ALTO",IF(CM2&lt;=5,"SUPERIOR"))))</f>
        <v>ALTO</v>
      </c>
      <c r="CO2" s="5">
        <v>1</v>
      </c>
      <c r="CP2" s="7">
        <v>3.5</v>
      </c>
      <c r="CQ2" s="7">
        <v>3.5</v>
      </c>
      <c r="CR2" s="7">
        <v>3.5</v>
      </c>
      <c r="CS2" s="5">
        <f t="shared" ref="CS2:CS42" si="28">((CP2*0.3)+(CQ2*0.4)+(CR2*0.3))</f>
        <v>3.5</v>
      </c>
      <c r="CT2" s="5" t="str">
        <f t="shared" ref="CT2:CT42" si="29">IF(CS2&lt;3,"BAJO",IF(CS2&lt;4,"BASICO",IF(CS2&lt;4.5,"ALTO",IF(CS2&lt;=5,"SUPERIOR"))))</f>
        <v>BASICO</v>
      </c>
      <c r="CU2" s="5">
        <v>2</v>
      </c>
      <c r="CV2" s="7">
        <v>2.8</v>
      </c>
      <c r="CW2" s="7">
        <v>2.8</v>
      </c>
      <c r="CX2" s="7">
        <v>2.8</v>
      </c>
      <c r="CY2" s="5">
        <f t="shared" ref="CY2:CY42" si="30">((CV2*0.3)+(CW2*0.4)+(CX2*0.3))</f>
        <v>2.8</v>
      </c>
      <c r="CZ2" s="5" t="str">
        <f t="shared" ref="CZ2:CZ42" si="31">IF(CY2&lt;3,"BAJO",IF(CY2&lt;4,"BASICO",IF(CY2&lt;4.5,"ALTO",IF(CY2&lt;=5,"SUPERIOR"))))</f>
        <v>BAJO</v>
      </c>
      <c r="DA2" s="5">
        <v>2</v>
      </c>
      <c r="DB2" s="7">
        <v>3.8</v>
      </c>
      <c r="DC2" s="7">
        <v>4</v>
      </c>
      <c r="DD2" s="7">
        <v>4</v>
      </c>
      <c r="DE2" s="5">
        <f t="shared" ref="DE2:DE42" si="32">((DB2*0.3)+(DC2*0.4)+(DD2*0.3))</f>
        <v>3.9400000000000004</v>
      </c>
      <c r="DF2" s="5" t="str">
        <f t="shared" ref="DF2:DF42" si="33">IF(DE2&lt;2.95,"BAJO",IF(DE2&lt;3.95,"BASICO",IF(DE2&lt;4.45,"ALTO",IF(DE2&lt;=5,"SUPERIOR"))))</f>
        <v>BASICO</v>
      </c>
      <c r="DG2" s="5">
        <v>0</v>
      </c>
      <c r="DH2" s="7">
        <v>3.5</v>
      </c>
      <c r="DI2" s="5" t="str">
        <f t="shared" ref="DI2:DI42" si="34">IF(DH2&lt;3,"BAJO",IF(DH2&lt;4,"BASICO",IF(DH2&lt;4.5,"ALTO",IF(DH2&lt;=5,"SUPERIOR"))))</f>
        <v>BASICO</v>
      </c>
      <c r="DJ2" s="5">
        <f t="shared" ref="DJ2:DJ42" si="35">AVERAGE(M2,Y2,AE2,AK2,AW2,BC2,BI2,BO2,CA2,DE2,DH2,CY2,CS2,CM2,CG2,AQ2,S2)</f>
        <v>3.0752941176470587</v>
      </c>
      <c r="DK2" s="5" t="str">
        <f>DESEMPEÑOS!B2</f>
        <v>Comprende el concepto de números reales, su relación de orden y las propiedades de sus operaciones, así como las relaciones de semejanza y congruencia de distintas figuras geométricas.</v>
      </c>
      <c r="DL2" s="5" t="str">
        <f>DESEMPEÑOS!C2</f>
        <v>Aplica correctamente las propiedades de las operaciones de números reales y expresiones algebraicas en la resolución de problemas.</v>
      </c>
      <c r="DM2" s="5" t="str">
        <f>DESEMPEÑOS!D2</f>
        <v>Valora el uso del pensamiento lógico a la hora de plantear y resolver problemas de las matemáticas y de la vida cotidiana.</v>
      </c>
      <c r="DN2" s="5" t="str">
        <f>DESEMPEÑOS!B3</f>
        <v>Reconoce y clasifica variables aleatorias, comprendiendo sus tipos y características; además, interpreta la información presentada en tablas de frecuencias y diagramas estadísticos, explicando su significado en contextos diversos.</v>
      </c>
      <c r="DO2" s="5" t="str">
        <f>DESEMPEÑOS!C3</f>
        <v>Organiza y analiza datos mediante la construcción de tablas de frecuencias y diagramas estadísticos, identificando variables aleatorias y utilizando estas representaciones para resolver situaciones problema.</v>
      </c>
      <c r="DP2" s="5" t="str">
        <f>DESEMPEÑOS!D3</f>
        <v>Muestra disposición y responsabilidad en el manejo y análisis de datos, participando activamente en actividades individuales y colaborativas, y comunicando información estadística con claridad y sentido crítico.</v>
      </c>
      <c r="DQ2" s="5" t="str">
        <f>DESEMPEÑOS!B4</f>
        <v>Analiza las características de la literatura prehispánica y la literatura del descubrimiento y la conquista en Colombia identificando sus elementos fundamentales y su impacto en la cultura y el lenguaje actual.</v>
      </c>
      <c r="DR2" s="5" t="str">
        <f>DESEMPEÑOS!C4</f>
        <v>Realiza comprensión lectora cuando analiza un texto desde el discurso de la Enunciación e identifica la función de cada uno de sus componentes.
Responde preguntas en los tres niveles de lectura a una leyenda del Caribe.</v>
      </c>
      <c r="DS2" s="5" t="str">
        <f>DESEMPEÑOS!D4</f>
        <v>Muestra disposición para participar activamente en las clases, promoviendo el respeto por las ideas ajenas y reconociendo la importancia de la precisión como una herramienta clave para una comunicación</v>
      </c>
      <c r="DT2" s="5" t="str">
        <f>DESEMPEÑOS!B5</f>
        <v>Comprende el contenido del cuento A la deriva, identificando su tema central, la secuencia de los hechos, los personajes y las ideas explícitas e implícitas del texto.</v>
      </c>
      <c r="DU2" s="5" t="str">
        <f>DESEMPEÑOS!C5</f>
        <v>Analiza críticamente el cuento A la deriva mediante la identificación de información literal, inferencial y crítica, sustentando sus respuestas de forma oral y escrita.</v>
      </c>
      <c r="DV2" s="5" t="str">
        <f>DESEMPEÑOS!D5</f>
        <v>Valora la lectura literaria como una oportunidad para reflexionar sobre la vida, la naturaleza y la condición humana, participando con interés, respeto y sentido crítico en las actividades propuestas.</v>
      </c>
      <c r="DW2" s="5" t="str">
        <f>DESEMPEÑOS!B6</f>
        <v>Comprende y reconoce vocabulario y estructuras basicas del ingles para interpretar textos cortos y conversaciones sobre temas cotidianos de la vida diaria.</v>
      </c>
      <c r="DX2" s="5" t="str">
        <f>DESEMPEÑOS!C6</f>
        <v>Produce de forma oral y escrita frases y parrafos cortos en Ingles, utilizando correctamente las estructuras conocidas para describir rutinas, narrar experiencias y participar en conversaciones.</v>
      </c>
      <c r="DY2" s="5" t="str">
        <f>DESEMPEÑOS!D6</f>
        <v>Muestra disposicion positiva hacia el aprendizaje del Ingles participando activamente en clase.</v>
      </c>
      <c r="DZ2" s="5" t="str">
        <f>DESEMPEÑOS!B7</f>
        <v>Identifica vocabulario en Ingles  de situaciones cotidianas.</v>
      </c>
      <c r="EA2" s="5" t="str">
        <f>DESEMPEÑOS!C7</f>
        <v>Participa en actividades utilizando vocabulario aprendido para expresar gustos,emociones y necesidades.</v>
      </c>
      <c r="EB2" s="5" t="str">
        <f>DESEMPEÑOS!D7</f>
        <v>Respeta la opinion de los demas, muestra disposicion para participar en actividades orales.</v>
      </c>
      <c r="EC2" s="5" t="str">
        <f>DESEMPEÑOS!B8</f>
        <v>Identifica la conformación y funcionamiento del sistema inmunolófico y diferencia las característics de los estados de la materia.</v>
      </c>
      <c r="ED2" s="5" t="str">
        <f>DESEMPEÑOS!C8</f>
        <v>Reconoce experimentalmente las características de materiales en los diferentes estados de la materia.</v>
      </c>
      <c r="EE2" s="5" t="str">
        <f>DESEMPEÑOS!D8</f>
        <v xml:space="preserve">Valora la importancia de tener habitos saludables, para lograr el mantenimiento saludable del sistema inmune. </v>
      </c>
      <c r="EF2" s="5" t="str">
        <f>DESEMPEÑOS!B9</f>
        <v>Describe correctamente la secuencia de eventos biologicos de la fecundacion,incluyendo las recciones acrosomicas,la funcion de gametos y la formacion de gametos.</v>
      </c>
      <c r="EG2" s="5" t="str">
        <f>DESEMPEÑOS!C9</f>
        <v>Mide la capacidad del labolatrio para lograr la fecundacion exitosa de los ovulos con el espermatozoide.</v>
      </c>
      <c r="EH2" s="5" t="str">
        <f>DESEMPEÑOS!D9</f>
        <v>Valora la importancia del cuidado del cuerpo y de la salud reproductiva como la base para una fecundacion saludable.</v>
      </c>
      <c r="EI2" s="5" t="str">
        <f>DESEMPEÑOS!B10</f>
        <v>Explico las principales caracteristicas de algunas revoluciones de los siglos XVIII y XIX (Revolucion francesa, Industrial...)</v>
      </c>
      <c r="EJ2" s="5" t="str">
        <f>DESEMPEÑOS!C10</f>
        <v>Analiza las causas y consecuencias de procesos historicos como la Revolucion Industrial y Francesa.</v>
      </c>
      <c r="EK2" s="5" t="str">
        <f>DESEMPEÑOS!D10</f>
        <v>Muestra interes y curiosidad por comprender los procesos historicos y su impacto en la sociedad.</v>
      </c>
      <c r="EL2" s="5" t="str">
        <f>DESEMPEÑOS!B11</f>
        <v xml:space="preserve">Identifica los procesos historicos de algunas revoluciones de los siglos XVIII y XIX </v>
      </c>
      <c r="EM2" s="5">
        <f>DESEMPEÑOS!C11</f>
        <v>0</v>
      </c>
      <c r="EN2" s="5">
        <f>DESEMPEÑOS!D11</f>
        <v>0</v>
      </c>
      <c r="EO2" s="5" t="str">
        <f>DESEMPEÑOS!B12</f>
        <v xml:space="preserve">Comprende la distribucion espacial de la poblacion antes y despues de las revoluciones </v>
      </c>
      <c r="EP2" s="5" t="str">
        <f>DESEMPEÑOS!C12</f>
        <v xml:space="preserve">Ubica en mapas las regiones donde se desarrollaron las principales revoluciones y explica sus caracteristicas geograficas </v>
      </c>
      <c r="EQ2" s="5" t="str">
        <f>DESEMPEÑOS!D12</f>
        <v>Muestra interes por comprender la relacion entre sociedad, economia y territorio</v>
      </c>
      <c r="ER2" s="5" t="str">
        <f>DESEMPEÑOS!B13</f>
        <v>Comprende el concepto de cultura de paz y su importancia en la sociedad</v>
      </c>
      <c r="ES2" s="5" t="str">
        <f>DESEMPEÑOS!C13</f>
        <v>Practica normas de convivencia en diferentes espacios( aula, hogar, comunidad)</v>
      </c>
      <c r="ET2" s="5" t="str">
        <f>DESEMPEÑOS!D13</f>
        <v>Muestra actitud de respeto hacia la diversidad cuktural, social y de pensamiento</v>
      </c>
      <c r="EU2" s="5">
        <f>DESEMPEÑOS!B14</f>
        <v>0</v>
      </c>
      <c r="EV2" s="5">
        <f>DESEMPEÑOS!C14</f>
        <v>0</v>
      </c>
      <c r="EW2" s="5">
        <f>DESEMPEÑOS!D14</f>
        <v>0</v>
      </c>
      <c r="EX2" s="5">
        <f>DESEMPEÑOS!B15</f>
        <v>0</v>
      </c>
      <c r="EY2" s="5">
        <f>DESEMPEÑOS!C15</f>
        <v>0</v>
      </c>
      <c r="EZ2" s="5">
        <f>DESEMPEÑOS!D15</f>
        <v>0</v>
      </c>
      <c r="FA2" s="5">
        <f>DESEMPEÑOS!B16</f>
        <v>0</v>
      </c>
      <c r="FB2" s="5">
        <f>DESEMPEÑOS!C16</f>
        <v>0</v>
      </c>
      <c r="FC2" s="5">
        <f>DESEMPEÑOS!D16</f>
        <v>0</v>
      </c>
      <c r="FD2" s="5" t="str">
        <f>DESEMPEÑOS!B17</f>
        <v xml:space="preserve"> Identifica las expresiones motrices relacionadas con el juego del voleibol,  como una oportunidad para mejorar la salud, la estética y las relaciones con los demás.</v>
      </c>
      <c r="FE2" s="5" t="str">
        <f>DESEMPEÑOS!C17</f>
        <v>Pone en práctica los fundamentos básicos del voleibol.</v>
      </c>
      <c r="FF2" s="5" t="str">
        <f>DESEMPEÑOS!D17</f>
        <v>Muestra  responsabilidad y buena actitud al realizar el juego de voleibol.</v>
      </c>
      <c r="FG2" s="5" t="str">
        <f>DESEMPEÑOS!B18</f>
        <v>Comprende el concepto de variable como espacio de almacenamiento de datos y reconoce el uso de estructuras condicionales (si, si-no) para la toma de decisiones en un programa.</v>
      </c>
      <c r="FH2" s="5" t="str">
        <f>DESEMPEÑOS!C18</f>
        <v>Diseña y desarrolla programas que utilizan variables y estructuras condicionales para resolver problemas, evaluando condiciones y generando respuestas según diferentes situaciones.</v>
      </c>
      <c r="FI2" s="5" t="str">
        <f>DESEMPEÑOS!D18</f>
        <v>Muestra pensamiento lógico, perseverancia y actitud crítica al analizar errores y proponer soluciones en la construcción de programas con variables y condicionales.</v>
      </c>
      <c r="FJ2" s="5" t="str">
        <f>DESEMPEÑOS!B19</f>
        <v>Identifica y reconoce sus pricipales deberes y derechos dentro y fuera  de la Institución educativa.</v>
      </c>
    </row>
    <row r="3" spans="1:166">
      <c r="A3" s="5">
        <v>2</v>
      </c>
      <c r="B3" s="5" t="s">
        <v>178</v>
      </c>
      <c r="C3" s="6">
        <v>1044643366</v>
      </c>
      <c r="D3" s="5" t="s">
        <v>176</v>
      </c>
      <c r="E3" s="5" t="s">
        <v>177</v>
      </c>
      <c r="F3" s="5" t="s">
        <v>70</v>
      </c>
      <c r="G3" s="5" t="s">
        <v>71</v>
      </c>
      <c r="H3" s="5">
        <v>2026</v>
      </c>
      <c r="I3" s="5">
        <v>4</v>
      </c>
      <c r="J3" s="7">
        <v>2.8</v>
      </c>
      <c r="K3" s="7">
        <v>3</v>
      </c>
      <c r="L3" s="7">
        <v>3.2</v>
      </c>
      <c r="M3" s="5">
        <f t="shared" si="0"/>
        <v>3</v>
      </c>
      <c r="N3" s="5" t="str">
        <f t="shared" si="1"/>
        <v>BASICO</v>
      </c>
      <c r="O3" s="5">
        <v>1</v>
      </c>
      <c r="P3" s="7">
        <v>3.5</v>
      </c>
      <c r="Q3" s="7">
        <v>3.5</v>
      </c>
      <c r="R3" s="7">
        <v>4</v>
      </c>
      <c r="S3" s="5">
        <f t="shared" si="2"/>
        <v>3.6500000000000004</v>
      </c>
      <c r="T3" s="5" t="str">
        <f t="shared" si="3"/>
        <v>BASICO</v>
      </c>
      <c r="U3" s="5">
        <v>4</v>
      </c>
      <c r="V3" s="7">
        <v>3.6</v>
      </c>
      <c r="W3" s="7">
        <v>4</v>
      </c>
      <c r="X3" s="7">
        <v>3</v>
      </c>
      <c r="Y3" s="5">
        <f t="shared" si="4"/>
        <v>3.58</v>
      </c>
      <c r="Z3" s="5" t="str">
        <f t="shared" si="5"/>
        <v>BASICO</v>
      </c>
      <c r="AA3" s="5">
        <v>1</v>
      </c>
      <c r="AB3" s="7">
        <v>4</v>
      </c>
      <c r="AC3" s="7">
        <v>4</v>
      </c>
      <c r="AD3" s="7">
        <v>4</v>
      </c>
      <c r="AE3" s="5">
        <f t="shared" si="6"/>
        <v>4</v>
      </c>
      <c r="AF3" s="5" t="str">
        <f t="shared" si="7"/>
        <v>ALTO</v>
      </c>
      <c r="AG3" s="5">
        <v>2</v>
      </c>
      <c r="AH3" s="8">
        <v>3.5</v>
      </c>
      <c r="AI3" s="8">
        <v>3.5</v>
      </c>
      <c r="AJ3" s="8">
        <v>3.5</v>
      </c>
      <c r="AK3" s="5">
        <f t="shared" si="8"/>
        <v>3.5</v>
      </c>
      <c r="AL3" s="5" t="str">
        <f t="shared" si="9"/>
        <v>BASICO</v>
      </c>
      <c r="AM3" s="5">
        <v>1</v>
      </c>
      <c r="AN3" s="8">
        <v>3.5</v>
      </c>
      <c r="AO3" s="8">
        <v>3.5</v>
      </c>
      <c r="AP3" s="8">
        <v>3.5</v>
      </c>
      <c r="AQ3" s="5">
        <f t="shared" si="10"/>
        <v>3.5</v>
      </c>
      <c r="AR3" s="5" t="str">
        <f t="shared" si="11"/>
        <v>BASICO</v>
      </c>
      <c r="AS3" s="5">
        <v>4</v>
      </c>
      <c r="AT3" s="7">
        <v>3</v>
      </c>
      <c r="AU3" s="7">
        <v>3</v>
      </c>
      <c r="AV3" s="7">
        <v>3</v>
      </c>
      <c r="AW3" s="5">
        <f t="shared" si="12"/>
        <v>3</v>
      </c>
      <c r="AX3" s="5" t="str">
        <f t="shared" si="13"/>
        <v>BASICO</v>
      </c>
      <c r="AY3" s="5">
        <v>1</v>
      </c>
      <c r="AZ3" s="7">
        <v>3.5</v>
      </c>
      <c r="BA3" s="7">
        <v>3.5</v>
      </c>
      <c r="BB3" s="7">
        <v>3.5</v>
      </c>
      <c r="BC3" s="5">
        <f t="shared" si="14"/>
        <v>3.5</v>
      </c>
      <c r="BD3" s="5" t="str">
        <f t="shared" si="15"/>
        <v>BASICO</v>
      </c>
      <c r="BE3" s="7">
        <v>2</v>
      </c>
      <c r="BF3" s="7">
        <v>3.3</v>
      </c>
      <c r="BG3" s="7">
        <v>3.4</v>
      </c>
      <c r="BH3" s="7">
        <v>3.3</v>
      </c>
      <c r="BI3" s="5">
        <f t="shared" si="16"/>
        <v>3.34</v>
      </c>
      <c r="BJ3" s="5" t="str">
        <f t="shared" si="17"/>
        <v>BASICO</v>
      </c>
      <c r="BK3" s="5">
        <v>1</v>
      </c>
      <c r="BL3" s="7">
        <v>3.4</v>
      </c>
      <c r="BM3" s="7">
        <v>3.6</v>
      </c>
      <c r="BN3" s="7">
        <v>3.3</v>
      </c>
      <c r="BO3" s="5">
        <f t="shared" si="18"/>
        <v>3.4499999999999997</v>
      </c>
      <c r="BP3" s="5" t="str">
        <f t="shared" si="19"/>
        <v>BASICO</v>
      </c>
      <c r="BQ3" s="5">
        <v>1</v>
      </c>
      <c r="BR3" s="7">
        <v>3.2</v>
      </c>
      <c r="BS3" s="7">
        <v>3.3</v>
      </c>
      <c r="BT3" s="7">
        <v>3.4</v>
      </c>
      <c r="BU3" s="5">
        <f t="shared" si="20"/>
        <v>3.3000000000000003</v>
      </c>
      <c r="BV3" s="5" t="str">
        <f t="shared" si="21"/>
        <v>BASICO</v>
      </c>
      <c r="BW3" s="5">
        <v>1</v>
      </c>
      <c r="BX3" s="7">
        <v>3.4</v>
      </c>
      <c r="BY3" s="7">
        <v>3.3</v>
      </c>
      <c r="BZ3" s="7">
        <v>3.2</v>
      </c>
      <c r="CA3" s="5">
        <f t="shared" si="22"/>
        <v>3.3</v>
      </c>
      <c r="CB3" s="5" t="str">
        <f t="shared" si="23"/>
        <v>BASICO</v>
      </c>
      <c r="CC3" s="5">
        <v>1</v>
      </c>
      <c r="CD3" s="7">
        <v>3.8</v>
      </c>
      <c r="CE3" s="7">
        <v>4</v>
      </c>
      <c r="CF3" s="7">
        <v>4</v>
      </c>
      <c r="CG3" s="5">
        <f t="shared" si="24"/>
        <v>3.9400000000000004</v>
      </c>
      <c r="CH3" s="5" t="str">
        <f t="shared" si="25"/>
        <v>BASICO</v>
      </c>
      <c r="CI3" s="5">
        <v>1</v>
      </c>
      <c r="CJ3" s="7">
        <v>3.7</v>
      </c>
      <c r="CK3" s="7">
        <v>3.8</v>
      </c>
      <c r="CL3" s="7">
        <v>3.8</v>
      </c>
      <c r="CM3" s="5">
        <f t="shared" si="26"/>
        <v>3.7699999999999996</v>
      </c>
      <c r="CN3" s="5" t="str">
        <f t="shared" si="27"/>
        <v>BASICO</v>
      </c>
      <c r="CO3" s="5">
        <v>1</v>
      </c>
      <c r="CP3" s="7">
        <v>4</v>
      </c>
      <c r="CQ3" s="7">
        <v>4</v>
      </c>
      <c r="CR3" s="7">
        <v>4</v>
      </c>
      <c r="CS3" s="5">
        <f t="shared" si="28"/>
        <v>4</v>
      </c>
      <c r="CT3" s="5" t="str">
        <f t="shared" si="29"/>
        <v>ALTO</v>
      </c>
      <c r="CU3" s="5">
        <v>2</v>
      </c>
      <c r="CV3" s="7">
        <v>4.8</v>
      </c>
      <c r="CW3" s="7">
        <v>4.8</v>
      </c>
      <c r="CX3" s="7">
        <v>4.8</v>
      </c>
      <c r="CY3" s="5">
        <f t="shared" si="30"/>
        <v>4.8</v>
      </c>
      <c r="CZ3" s="5" t="str">
        <f t="shared" si="31"/>
        <v>SUPERIOR</v>
      </c>
      <c r="DA3" s="5">
        <v>2</v>
      </c>
      <c r="DB3" s="7">
        <v>3</v>
      </c>
      <c r="DC3" s="7">
        <v>3</v>
      </c>
      <c r="DD3" s="7">
        <v>3.2</v>
      </c>
      <c r="DE3" s="5">
        <f t="shared" si="32"/>
        <v>3.06</v>
      </c>
      <c r="DF3" s="5" t="str">
        <f t="shared" si="33"/>
        <v>BASICO</v>
      </c>
      <c r="DG3" s="5">
        <v>0</v>
      </c>
      <c r="DH3" s="7">
        <v>4</v>
      </c>
      <c r="DI3" s="5" t="str">
        <f t="shared" si="34"/>
        <v>ALTO</v>
      </c>
      <c r="DJ3" s="5">
        <f t="shared" si="35"/>
        <v>3.611176470588235</v>
      </c>
      <c r="DK3" s="5" t="str">
        <f t="shared" ref="DK3:DK42" si="36">$DK$2</f>
        <v>Comprende el concepto de números reales, su relación de orden y las propiedades de sus operaciones, así como las relaciones de semejanza y congruencia de distintas figuras geométricas.</v>
      </c>
      <c r="DL3" s="5" t="str">
        <f t="shared" ref="DL3:FJ3" si="37">DL2</f>
        <v>Aplica correctamente las propiedades de las operaciones de números reales y expresiones algebraicas en la resolución de problemas.</v>
      </c>
      <c r="DM3" s="5" t="str">
        <f t="shared" si="37"/>
        <v>Valora el uso del pensamiento lógico a la hora de plantear y resolver problemas de las matemáticas y de la vida cotidiana.</v>
      </c>
      <c r="DN3" s="5" t="str">
        <f t="shared" si="3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" s="5" t="str">
        <f t="shared" si="37"/>
        <v>Organiza y analiza datos mediante la construcción de tablas de frecuencias y diagramas estadísticos, identificando variables aleatorias y utilizando estas representaciones para resolver situaciones problema.</v>
      </c>
      <c r="DP3" s="5" t="str">
        <f t="shared" si="37"/>
        <v>Muestra disposición y responsabilidad en el manejo y análisis de datos, participando activamente en actividades individuales y colaborativas, y comunicando información estadística con claridad y sentido crítico.</v>
      </c>
      <c r="DQ3" s="5" t="str">
        <f t="shared" si="37"/>
        <v>Analiza las características de la literatura prehispánica y la literatura del descubrimiento y la conquista en Colombia identificando sus elementos fundamentales y su impacto en la cultura y el lenguaje actual.</v>
      </c>
      <c r="DR3" s="5" t="str">
        <f t="shared" si="37"/>
        <v>Realiza comprensión lectora cuando analiza un texto desde el discurso de la Enunciación e identifica la función de cada uno de sus componentes.
Responde preguntas en los tres niveles de lectura a una leyenda del Caribe.</v>
      </c>
      <c r="DS3" s="5" t="str">
        <f t="shared" si="37"/>
        <v>Muestra disposición para participar activamente en las clases, promoviendo el respeto por las ideas ajenas y reconociendo la importancia de la precisión como una herramienta clave para una comunicación</v>
      </c>
      <c r="DT3" s="5" t="str">
        <f t="shared" si="37"/>
        <v>Comprende el contenido del cuento A la deriva, identificando su tema central, la secuencia de los hechos, los personajes y las ideas explícitas e implícitas del texto.</v>
      </c>
      <c r="DU3" s="5" t="str">
        <f t="shared" si="37"/>
        <v>Analiza críticamente el cuento A la deriva mediante la identificación de información literal, inferencial y crítica, sustentando sus respuestas de forma oral y escrita.</v>
      </c>
      <c r="DV3" s="5" t="str">
        <f t="shared" si="37"/>
        <v>Valora la lectura literaria como una oportunidad para reflexionar sobre la vida, la naturaleza y la condición humana, participando con interés, respeto y sentido crítico en las actividades propuestas.</v>
      </c>
      <c r="DW3" s="5" t="str">
        <f t="shared" si="37"/>
        <v>Comprende y reconoce vocabulario y estructuras basicas del ingles para interpretar textos cortos y conversaciones sobre temas cotidianos de la vida diaria.</v>
      </c>
      <c r="DX3" s="5" t="str">
        <f t="shared" si="37"/>
        <v>Produce de forma oral y escrita frases y parrafos cortos en Ingles, utilizando correctamente las estructuras conocidas para describir rutinas, narrar experiencias y participar en conversaciones.</v>
      </c>
      <c r="DY3" s="5" t="str">
        <f t="shared" si="37"/>
        <v>Muestra disposicion positiva hacia el aprendizaje del Ingles participando activamente en clase.</v>
      </c>
      <c r="DZ3" s="5" t="str">
        <f t="shared" si="37"/>
        <v>Identifica vocabulario en Ingles  de situaciones cotidianas.</v>
      </c>
      <c r="EA3" s="5" t="str">
        <f t="shared" si="37"/>
        <v>Participa en actividades utilizando vocabulario aprendido para expresar gustos,emociones y necesidades.</v>
      </c>
      <c r="EB3" s="5" t="str">
        <f t="shared" si="37"/>
        <v>Respeta la opinion de los demas, muestra disposicion para participar en actividades orales.</v>
      </c>
      <c r="EC3" s="5" t="str">
        <f t="shared" si="37"/>
        <v>Identifica la conformación y funcionamiento del sistema inmunolófico y diferencia las característics de los estados de la materia.</v>
      </c>
      <c r="ED3" s="5" t="str">
        <f t="shared" si="37"/>
        <v>Reconoce experimentalmente las características de materiales en los diferentes estados de la materia.</v>
      </c>
      <c r="EE3" s="5" t="str">
        <f t="shared" si="37"/>
        <v xml:space="preserve">Valora la importancia de tener habitos saludables, para lograr el mantenimiento saludable del sistema inmune. </v>
      </c>
      <c r="EF3" s="5" t="str">
        <f t="shared" si="37"/>
        <v>Describe correctamente la secuencia de eventos biologicos de la fecundacion,incluyendo las recciones acrosomicas,la funcion de gametos y la formacion de gametos.</v>
      </c>
      <c r="EG3" s="5" t="str">
        <f t="shared" si="37"/>
        <v>Mide la capacidad del labolatrio para lograr la fecundacion exitosa de los ovulos con el espermatozoide.</v>
      </c>
      <c r="EH3" s="5" t="str">
        <f t="shared" si="37"/>
        <v>Valora la importancia del cuidado del cuerpo y de la salud reproductiva como la base para una fecundacion saludable.</v>
      </c>
      <c r="EI3" s="5" t="str">
        <f t="shared" si="37"/>
        <v>Explico las principales caracteristicas de algunas revoluciones de los siglos XVIII y XIX (Revolucion francesa, Industrial...)</v>
      </c>
      <c r="EJ3" s="5" t="str">
        <f t="shared" si="37"/>
        <v>Analiza las causas y consecuencias de procesos historicos como la Revolucion Industrial y Francesa.</v>
      </c>
      <c r="EK3" s="5" t="str">
        <f t="shared" si="37"/>
        <v>Muestra interes y curiosidad por comprender los procesos historicos y su impacto en la sociedad.</v>
      </c>
      <c r="EL3" s="5" t="str">
        <f t="shared" si="37"/>
        <v xml:space="preserve">Identifica los procesos historicos de algunas revoluciones de los siglos XVIII y XIX </v>
      </c>
      <c r="EM3" s="5">
        <f t="shared" si="37"/>
        <v>0</v>
      </c>
      <c r="EN3" s="5">
        <f t="shared" si="37"/>
        <v>0</v>
      </c>
      <c r="EO3" s="5" t="str">
        <f t="shared" si="37"/>
        <v xml:space="preserve">Comprende la distribucion espacial de la poblacion antes y despues de las revoluciones </v>
      </c>
      <c r="EP3" s="5" t="str">
        <f t="shared" si="37"/>
        <v xml:space="preserve">Ubica en mapas las regiones donde se desarrollaron las principales revoluciones y explica sus caracteristicas geograficas </v>
      </c>
      <c r="EQ3" s="5" t="str">
        <f t="shared" si="37"/>
        <v>Muestra interes por comprender la relacion entre sociedad, economia y territorio</v>
      </c>
      <c r="ER3" s="5" t="str">
        <f t="shared" si="37"/>
        <v>Comprende el concepto de cultura de paz y su importancia en la sociedad</v>
      </c>
      <c r="ES3" s="5" t="str">
        <f t="shared" si="37"/>
        <v>Practica normas de convivencia en diferentes espacios( aula, hogar, comunidad)</v>
      </c>
      <c r="ET3" s="5" t="str">
        <f t="shared" si="37"/>
        <v>Muestra actitud de respeto hacia la diversidad cuktural, social y de pensamiento</v>
      </c>
      <c r="EU3" s="5">
        <f t="shared" si="37"/>
        <v>0</v>
      </c>
      <c r="EV3" s="5">
        <f t="shared" si="37"/>
        <v>0</v>
      </c>
      <c r="EW3" s="5">
        <f t="shared" si="37"/>
        <v>0</v>
      </c>
      <c r="EX3" s="5">
        <f t="shared" si="37"/>
        <v>0</v>
      </c>
      <c r="EY3" s="5">
        <f t="shared" si="37"/>
        <v>0</v>
      </c>
      <c r="EZ3" s="5">
        <f t="shared" si="37"/>
        <v>0</v>
      </c>
      <c r="FA3" s="5">
        <f t="shared" si="37"/>
        <v>0</v>
      </c>
      <c r="FB3" s="5">
        <f t="shared" si="37"/>
        <v>0</v>
      </c>
      <c r="FC3" s="5">
        <f t="shared" si="37"/>
        <v>0</v>
      </c>
      <c r="FD3" s="5" t="str">
        <f t="shared" si="37"/>
        <v xml:space="preserve"> Identifica las expresiones motrices relacionadas con el juego del voleibol,  como una oportunidad para mejorar la salud, la estética y las relaciones con los demás.</v>
      </c>
      <c r="FE3" s="5" t="str">
        <f t="shared" si="37"/>
        <v>Pone en práctica los fundamentos básicos del voleibol.</v>
      </c>
      <c r="FF3" s="5" t="str">
        <f t="shared" si="37"/>
        <v>Muestra  responsabilidad y buena actitud al realizar el juego de voleibol.</v>
      </c>
      <c r="FG3" s="5" t="str">
        <f t="shared" si="37"/>
        <v>Comprende el concepto de variable como espacio de almacenamiento de datos y reconoce el uso de estructuras condicionales (si, si-no) para la toma de decisiones en un programa.</v>
      </c>
      <c r="FH3" s="5" t="str">
        <f t="shared" si="37"/>
        <v>Diseña y desarrolla programas que utilizan variables y estructuras condicionales para resolver problemas, evaluando condiciones y generando respuestas según diferentes situaciones.</v>
      </c>
      <c r="FI3" s="5" t="str">
        <f t="shared" si="37"/>
        <v>Muestra pensamiento lógico, perseverancia y actitud crítica al analizar errores y proponer soluciones en la construcción de programas con variables y condicionales.</v>
      </c>
      <c r="FJ3" s="5" t="str">
        <f t="shared" si="37"/>
        <v>Identifica y reconoce sus pricipales deberes y derechos dentro y fuera  de la Institución educativa.</v>
      </c>
    </row>
    <row r="4" spans="1:166">
      <c r="A4" s="5">
        <v>3</v>
      </c>
      <c r="B4" s="5" t="s">
        <v>179</v>
      </c>
      <c r="C4" s="6">
        <v>1043470474</v>
      </c>
      <c r="D4" s="5" t="s">
        <v>176</v>
      </c>
      <c r="E4" s="5" t="s">
        <v>177</v>
      </c>
      <c r="F4" s="5" t="s">
        <v>70</v>
      </c>
      <c r="G4" s="5" t="s">
        <v>71</v>
      </c>
      <c r="H4" s="5">
        <v>2026</v>
      </c>
      <c r="I4" s="5">
        <v>4</v>
      </c>
      <c r="J4" s="7">
        <v>3</v>
      </c>
      <c r="K4" s="7">
        <v>3.1</v>
      </c>
      <c r="L4" s="7">
        <v>3.2</v>
      </c>
      <c r="M4" s="5">
        <f t="shared" si="0"/>
        <v>3.1</v>
      </c>
      <c r="N4" s="5" t="str">
        <f t="shared" si="1"/>
        <v>BASICO</v>
      </c>
      <c r="O4" s="5">
        <v>1</v>
      </c>
      <c r="P4" s="7">
        <v>3</v>
      </c>
      <c r="Q4" s="7">
        <v>3.5</v>
      </c>
      <c r="R4" s="7">
        <v>3</v>
      </c>
      <c r="S4" s="5">
        <f t="shared" si="2"/>
        <v>3.1999999999999997</v>
      </c>
      <c r="T4" s="5" t="str">
        <f t="shared" si="3"/>
        <v>BASICO</v>
      </c>
      <c r="U4" s="5">
        <v>4</v>
      </c>
      <c r="V4" s="7">
        <v>4.5</v>
      </c>
      <c r="W4" s="7">
        <v>4</v>
      </c>
      <c r="X4" s="7">
        <v>4.5</v>
      </c>
      <c r="Y4" s="5">
        <f t="shared" si="4"/>
        <v>4.3</v>
      </c>
      <c r="Z4" s="5" t="str">
        <f t="shared" si="5"/>
        <v>ALTO</v>
      </c>
      <c r="AA4" s="5">
        <v>1</v>
      </c>
      <c r="AB4" s="7">
        <v>4.5</v>
      </c>
      <c r="AC4" s="7">
        <v>4.5</v>
      </c>
      <c r="AD4" s="7">
        <v>4.5</v>
      </c>
      <c r="AE4" s="5">
        <f t="shared" si="6"/>
        <v>4.5</v>
      </c>
      <c r="AF4" s="5" t="str">
        <f t="shared" si="7"/>
        <v>SUPERIOR</v>
      </c>
      <c r="AG4" s="5">
        <v>2</v>
      </c>
      <c r="AH4" s="8">
        <v>3.8</v>
      </c>
      <c r="AI4" s="8">
        <v>3.8</v>
      </c>
      <c r="AJ4" s="8">
        <v>3.8</v>
      </c>
      <c r="AK4" s="5">
        <f t="shared" si="8"/>
        <v>3.8</v>
      </c>
      <c r="AL4" s="5" t="str">
        <f t="shared" si="9"/>
        <v>BASICO</v>
      </c>
      <c r="AM4" s="5">
        <v>1</v>
      </c>
      <c r="AN4" s="8">
        <v>3.8</v>
      </c>
      <c r="AO4" s="8">
        <v>3.8</v>
      </c>
      <c r="AP4" s="8">
        <v>3.8</v>
      </c>
      <c r="AQ4" s="5">
        <f t="shared" si="10"/>
        <v>3.8</v>
      </c>
      <c r="AR4" s="5" t="str">
        <f t="shared" si="11"/>
        <v>BASICO</v>
      </c>
      <c r="AS4" s="5">
        <v>4</v>
      </c>
      <c r="AT4" s="7">
        <v>3</v>
      </c>
      <c r="AU4" s="7">
        <v>3</v>
      </c>
      <c r="AV4" s="7">
        <v>3</v>
      </c>
      <c r="AW4" s="5">
        <f t="shared" si="12"/>
        <v>3</v>
      </c>
      <c r="AX4" s="5" t="str">
        <f t="shared" si="13"/>
        <v>BASICO</v>
      </c>
      <c r="AY4" s="5">
        <v>1</v>
      </c>
      <c r="AZ4" s="7">
        <v>3</v>
      </c>
      <c r="BA4" s="7">
        <v>3</v>
      </c>
      <c r="BB4" s="7">
        <v>3</v>
      </c>
      <c r="BC4" s="5">
        <f t="shared" si="14"/>
        <v>3</v>
      </c>
      <c r="BD4" s="5" t="str">
        <f t="shared" si="15"/>
        <v>BASICO</v>
      </c>
      <c r="BE4" s="7">
        <v>2</v>
      </c>
      <c r="BF4" s="7">
        <v>3.4</v>
      </c>
      <c r="BG4" s="7">
        <v>3.5</v>
      </c>
      <c r="BH4" s="7">
        <v>3.3</v>
      </c>
      <c r="BI4" s="5">
        <f t="shared" si="16"/>
        <v>3.4099999999999997</v>
      </c>
      <c r="BJ4" s="5" t="str">
        <f t="shared" si="17"/>
        <v>BASICO</v>
      </c>
      <c r="BK4" s="5">
        <v>1</v>
      </c>
      <c r="BL4" s="7">
        <v>3.4</v>
      </c>
      <c r="BM4" s="7">
        <v>3.3</v>
      </c>
      <c r="BN4" s="7">
        <v>3.8</v>
      </c>
      <c r="BO4" s="5">
        <f t="shared" si="18"/>
        <v>3.4799999999999995</v>
      </c>
      <c r="BP4" s="5" t="str">
        <f t="shared" si="19"/>
        <v>BASICO</v>
      </c>
      <c r="BQ4" s="5">
        <v>1</v>
      </c>
      <c r="BR4" s="7">
        <v>3.3</v>
      </c>
      <c r="BS4" s="7">
        <v>3.2</v>
      </c>
      <c r="BT4" s="7">
        <v>3.5</v>
      </c>
      <c r="BU4" s="5">
        <f t="shared" si="20"/>
        <v>3.3200000000000003</v>
      </c>
      <c r="BV4" s="5" t="str">
        <f t="shared" si="21"/>
        <v>BASICO</v>
      </c>
      <c r="BW4" s="5">
        <v>1</v>
      </c>
      <c r="BX4" s="7">
        <v>3.4</v>
      </c>
      <c r="BY4" s="7">
        <v>3.3</v>
      </c>
      <c r="BZ4" s="7">
        <v>3.2</v>
      </c>
      <c r="CA4" s="5">
        <f t="shared" si="22"/>
        <v>3.3</v>
      </c>
      <c r="CB4" s="5" t="str">
        <f t="shared" si="23"/>
        <v>BASICO</v>
      </c>
      <c r="CC4" s="5">
        <v>1</v>
      </c>
      <c r="CD4" s="7">
        <v>4</v>
      </c>
      <c r="CE4" s="7">
        <v>3.8</v>
      </c>
      <c r="CF4" s="7">
        <v>3.8</v>
      </c>
      <c r="CG4" s="5">
        <f t="shared" si="24"/>
        <v>3.8599999999999994</v>
      </c>
      <c r="CH4" s="5" t="str">
        <f t="shared" si="25"/>
        <v>BASICO</v>
      </c>
      <c r="CI4" s="5">
        <v>1</v>
      </c>
      <c r="CJ4" s="7">
        <v>4.0999999999999996</v>
      </c>
      <c r="CK4" s="7">
        <v>4.3</v>
      </c>
      <c r="CL4" s="7">
        <v>4</v>
      </c>
      <c r="CM4" s="5">
        <f t="shared" si="26"/>
        <v>4.1499999999999995</v>
      </c>
      <c r="CN4" s="5" t="str">
        <f t="shared" si="27"/>
        <v>ALTO</v>
      </c>
      <c r="CO4" s="5">
        <v>1</v>
      </c>
      <c r="CP4" s="7">
        <v>5</v>
      </c>
      <c r="CQ4" s="7">
        <v>5</v>
      </c>
      <c r="CR4" s="7">
        <v>5</v>
      </c>
      <c r="CS4" s="5">
        <f t="shared" si="28"/>
        <v>5</v>
      </c>
      <c r="CT4" s="5" t="str">
        <f t="shared" si="29"/>
        <v>SUPERIOR</v>
      </c>
      <c r="CU4" s="5">
        <v>2</v>
      </c>
      <c r="CV4" s="7">
        <v>4.5</v>
      </c>
      <c r="CW4" s="7">
        <v>4.5</v>
      </c>
      <c r="CX4" s="7">
        <v>4.5</v>
      </c>
      <c r="CY4" s="5">
        <f t="shared" si="30"/>
        <v>4.5</v>
      </c>
      <c r="CZ4" s="5" t="str">
        <f t="shared" si="31"/>
        <v>SUPERIOR</v>
      </c>
      <c r="DA4" s="5">
        <v>2</v>
      </c>
      <c r="DB4" s="7">
        <v>4.5</v>
      </c>
      <c r="DC4" s="7">
        <v>4.5</v>
      </c>
      <c r="DD4" s="7">
        <v>4.5</v>
      </c>
      <c r="DE4" s="5">
        <f t="shared" si="32"/>
        <v>4.5</v>
      </c>
      <c r="DF4" s="5" t="str">
        <f t="shared" si="33"/>
        <v>SUPERIOR</v>
      </c>
      <c r="DG4" s="5">
        <v>0</v>
      </c>
      <c r="DH4" s="7">
        <v>4</v>
      </c>
      <c r="DI4" s="5" t="str">
        <f t="shared" si="34"/>
        <v>ALTO</v>
      </c>
      <c r="DJ4" s="5">
        <f t="shared" si="35"/>
        <v>3.8176470588235287</v>
      </c>
      <c r="DK4" s="5" t="str">
        <f t="shared" si="36"/>
        <v>Comprende el concepto de números reales, su relación de orden y las propiedades de sus operaciones, así como las relaciones de semejanza y congruencia de distintas figuras geométricas.</v>
      </c>
      <c r="DL4" s="5" t="str">
        <f t="shared" ref="DL4:FJ4" si="38">DL3</f>
        <v>Aplica correctamente las propiedades de las operaciones de números reales y expresiones algebraicas en la resolución de problemas.</v>
      </c>
      <c r="DM4" s="5" t="str">
        <f t="shared" si="38"/>
        <v>Valora el uso del pensamiento lógico a la hora de plantear y resolver problemas de las matemáticas y de la vida cotidiana.</v>
      </c>
      <c r="DN4" s="5" t="str">
        <f t="shared" si="3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" s="5" t="str">
        <f t="shared" si="38"/>
        <v>Organiza y analiza datos mediante la construcción de tablas de frecuencias y diagramas estadísticos, identificando variables aleatorias y utilizando estas representaciones para resolver situaciones problema.</v>
      </c>
      <c r="DP4" s="5" t="str">
        <f t="shared" si="38"/>
        <v>Muestra disposición y responsabilidad en el manejo y análisis de datos, participando activamente en actividades individuales y colaborativas, y comunicando información estadística con claridad y sentido crítico.</v>
      </c>
      <c r="DQ4" s="5" t="str">
        <f t="shared" si="38"/>
        <v>Analiza las características de la literatura prehispánica y la literatura del descubrimiento y la conquista en Colombia identificando sus elementos fundamentales y su impacto en la cultura y el lenguaje actual.</v>
      </c>
      <c r="DR4" s="5" t="str">
        <f t="shared" si="38"/>
        <v>Realiza comprensión lectora cuando analiza un texto desde el discurso de la Enunciación e identifica la función de cada uno de sus componentes.
Responde preguntas en los tres niveles de lectura a una leyenda del Caribe.</v>
      </c>
      <c r="DS4" s="5" t="str">
        <f t="shared" si="38"/>
        <v>Muestra disposición para participar activamente en las clases, promoviendo el respeto por las ideas ajenas y reconociendo la importancia de la precisión como una herramienta clave para una comunicación</v>
      </c>
      <c r="DT4" s="5" t="str">
        <f t="shared" si="38"/>
        <v>Comprende el contenido del cuento A la deriva, identificando su tema central, la secuencia de los hechos, los personajes y las ideas explícitas e implícitas del texto.</v>
      </c>
      <c r="DU4" s="5" t="str">
        <f t="shared" si="38"/>
        <v>Analiza críticamente el cuento A la deriva mediante la identificación de información literal, inferencial y crítica, sustentando sus respuestas de forma oral y escrita.</v>
      </c>
      <c r="DV4" s="5" t="str">
        <f t="shared" si="38"/>
        <v>Valora la lectura literaria como una oportunidad para reflexionar sobre la vida, la naturaleza y la condición humana, participando con interés, respeto y sentido crítico en las actividades propuestas.</v>
      </c>
      <c r="DW4" s="5" t="str">
        <f t="shared" si="38"/>
        <v>Comprende y reconoce vocabulario y estructuras basicas del ingles para interpretar textos cortos y conversaciones sobre temas cotidianos de la vida diaria.</v>
      </c>
      <c r="DX4" s="5" t="str">
        <f t="shared" si="38"/>
        <v>Produce de forma oral y escrita frases y parrafos cortos en Ingles, utilizando correctamente las estructuras conocidas para describir rutinas, narrar experiencias y participar en conversaciones.</v>
      </c>
      <c r="DY4" s="5" t="str">
        <f t="shared" si="38"/>
        <v>Muestra disposicion positiva hacia el aprendizaje del Ingles participando activamente en clase.</v>
      </c>
      <c r="DZ4" s="5" t="str">
        <f t="shared" si="38"/>
        <v>Identifica vocabulario en Ingles  de situaciones cotidianas.</v>
      </c>
      <c r="EA4" s="5" t="str">
        <f t="shared" si="38"/>
        <v>Participa en actividades utilizando vocabulario aprendido para expresar gustos,emociones y necesidades.</v>
      </c>
      <c r="EB4" s="5" t="str">
        <f t="shared" si="38"/>
        <v>Respeta la opinion de los demas, muestra disposicion para participar en actividades orales.</v>
      </c>
      <c r="EC4" s="5" t="str">
        <f t="shared" si="38"/>
        <v>Identifica la conformación y funcionamiento del sistema inmunolófico y diferencia las característics de los estados de la materia.</v>
      </c>
      <c r="ED4" s="5" t="str">
        <f t="shared" si="38"/>
        <v>Reconoce experimentalmente las características de materiales en los diferentes estados de la materia.</v>
      </c>
      <c r="EE4" s="5" t="str">
        <f t="shared" si="38"/>
        <v xml:space="preserve">Valora la importancia de tener habitos saludables, para lograr el mantenimiento saludable del sistema inmune. </v>
      </c>
      <c r="EF4" s="5" t="str">
        <f t="shared" si="38"/>
        <v>Describe correctamente la secuencia de eventos biologicos de la fecundacion,incluyendo las recciones acrosomicas,la funcion de gametos y la formacion de gametos.</v>
      </c>
      <c r="EG4" s="5" t="str">
        <f t="shared" si="38"/>
        <v>Mide la capacidad del labolatrio para lograr la fecundacion exitosa de los ovulos con el espermatozoide.</v>
      </c>
      <c r="EH4" s="5" t="str">
        <f t="shared" si="38"/>
        <v>Valora la importancia del cuidado del cuerpo y de la salud reproductiva como la base para una fecundacion saludable.</v>
      </c>
      <c r="EI4" s="5" t="str">
        <f t="shared" si="38"/>
        <v>Explico las principales caracteristicas de algunas revoluciones de los siglos XVIII y XIX (Revolucion francesa, Industrial...)</v>
      </c>
      <c r="EJ4" s="5" t="str">
        <f t="shared" si="38"/>
        <v>Analiza las causas y consecuencias de procesos historicos como la Revolucion Industrial y Francesa.</v>
      </c>
      <c r="EK4" s="5" t="str">
        <f t="shared" si="38"/>
        <v>Muestra interes y curiosidad por comprender los procesos historicos y su impacto en la sociedad.</v>
      </c>
      <c r="EL4" s="5" t="str">
        <f t="shared" si="38"/>
        <v xml:space="preserve">Identifica los procesos historicos de algunas revoluciones de los siglos XVIII y XIX </v>
      </c>
      <c r="EM4" s="5">
        <f t="shared" si="38"/>
        <v>0</v>
      </c>
      <c r="EN4" s="5">
        <f t="shared" si="38"/>
        <v>0</v>
      </c>
      <c r="EO4" s="5" t="str">
        <f t="shared" si="38"/>
        <v xml:space="preserve">Comprende la distribucion espacial de la poblacion antes y despues de las revoluciones </v>
      </c>
      <c r="EP4" s="5" t="str">
        <f t="shared" si="38"/>
        <v xml:space="preserve">Ubica en mapas las regiones donde se desarrollaron las principales revoluciones y explica sus caracteristicas geograficas </v>
      </c>
      <c r="EQ4" s="5" t="str">
        <f t="shared" si="38"/>
        <v>Muestra interes por comprender la relacion entre sociedad, economia y territorio</v>
      </c>
      <c r="ER4" s="5" t="str">
        <f t="shared" si="38"/>
        <v>Comprende el concepto de cultura de paz y su importancia en la sociedad</v>
      </c>
      <c r="ES4" s="5" t="str">
        <f t="shared" si="38"/>
        <v>Practica normas de convivencia en diferentes espacios( aula, hogar, comunidad)</v>
      </c>
      <c r="ET4" s="5" t="str">
        <f t="shared" si="38"/>
        <v>Muestra actitud de respeto hacia la diversidad cuktural, social y de pensamiento</v>
      </c>
      <c r="EU4" s="5">
        <f t="shared" si="38"/>
        <v>0</v>
      </c>
      <c r="EV4" s="5">
        <f t="shared" si="38"/>
        <v>0</v>
      </c>
      <c r="EW4" s="5">
        <f t="shared" si="38"/>
        <v>0</v>
      </c>
      <c r="EX4" s="5">
        <f t="shared" si="38"/>
        <v>0</v>
      </c>
      <c r="EY4" s="5">
        <f t="shared" si="38"/>
        <v>0</v>
      </c>
      <c r="EZ4" s="5">
        <f t="shared" si="38"/>
        <v>0</v>
      </c>
      <c r="FA4" s="5">
        <f t="shared" si="38"/>
        <v>0</v>
      </c>
      <c r="FB4" s="5">
        <f t="shared" si="38"/>
        <v>0</v>
      </c>
      <c r="FC4" s="5">
        <f t="shared" si="38"/>
        <v>0</v>
      </c>
      <c r="FD4" s="5" t="str">
        <f t="shared" si="38"/>
        <v xml:space="preserve"> Identifica las expresiones motrices relacionadas con el juego del voleibol,  como una oportunidad para mejorar la salud, la estética y las relaciones con los demás.</v>
      </c>
      <c r="FE4" s="5" t="str">
        <f t="shared" si="38"/>
        <v>Pone en práctica los fundamentos básicos del voleibol.</v>
      </c>
      <c r="FF4" s="5" t="str">
        <f t="shared" si="38"/>
        <v>Muestra  responsabilidad y buena actitud al realizar el juego de voleibol.</v>
      </c>
      <c r="FG4" s="5" t="str">
        <f t="shared" si="38"/>
        <v>Comprende el concepto de variable como espacio de almacenamiento de datos y reconoce el uso de estructuras condicionales (si, si-no) para la toma de decisiones en un programa.</v>
      </c>
      <c r="FH4" s="5" t="str">
        <f t="shared" si="38"/>
        <v>Diseña y desarrolla programas que utilizan variables y estructuras condicionales para resolver problemas, evaluando condiciones y generando respuestas según diferentes situaciones.</v>
      </c>
      <c r="FI4" s="5" t="str">
        <f t="shared" si="38"/>
        <v>Muestra pensamiento lógico, perseverancia y actitud crítica al analizar errores y proponer soluciones en la construcción de programas con variables y condicionales.</v>
      </c>
      <c r="FJ4" s="5" t="str">
        <f t="shared" si="38"/>
        <v>Identifica y reconoce sus pricipales deberes y derechos dentro y fuera  de la Institución educativa.</v>
      </c>
    </row>
    <row r="5" spans="1:166">
      <c r="A5" s="5">
        <v>4</v>
      </c>
      <c r="B5" s="5" t="s">
        <v>180</v>
      </c>
      <c r="C5" s="6">
        <v>1044648624</v>
      </c>
      <c r="D5" s="5" t="s">
        <v>176</v>
      </c>
      <c r="E5" s="5" t="s">
        <v>177</v>
      </c>
      <c r="F5" s="5" t="s">
        <v>70</v>
      </c>
      <c r="G5" s="5" t="s">
        <v>71</v>
      </c>
      <c r="H5" s="5">
        <v>2026</v>
      </c>
      <c r="I5" s="5">
        <v>4</v>
      </c>
      <c r="J5" s="7">
        <v>2.9</v>
      </c>
      <c r="K5" s="7">
        <v>3.1</v>
      </c>
      <c r="L5" s="7">
        <v>3.3</v>
      </c>
      <c r="M5" s="5">
        <f t="shared" si="0"/>
        <v>3.1</v>
      </c>
      <c r="N5" s="5" t="str">
        <f t="shared" si="1"/>
        <v>BASICO</v>
      </c>
      <c r="O5" s="5">
        <v>1</v>
      </c>
      <c r="P5" s="7">
        <v>3</v>
      </c>
      <c r="Q5" s="7">
        <v>3.5</v>
      </c>
      <c r="R5" s="7">
        <v>3</v>
      </c>
      <c r="S5" s="5">
        <f t="shared" si="2"/>
        <v>3.1999999999999997</v>
      </c>
      <c r="T5" s="5" t="str">
        <f t="shared" si="3"/>
        <v>BASICO</v>
      </c>
      <c r="U5" s="5">
        <v>4</v>
      </c>
      <c r="V5" s="7">
        <v>4</v>
      </c>
      <c r="W5" s="7">
        <v>3.9</v>
      </c>
      <c r="X5" s="7">
        <v>4.3</v>
      </c>
      <c r="Y5" s="5">
        <f t="shared" si="4"/>
        <v>4.05</v>
      </c>
      <c r="Z5" s="5" t="str">
        <f t="shared" si="5"/>
        <v>ALTO</v>
      </c>
      <c r="AA5" s="5">
        <v>1</v>
      </c>
      <c r="AB5" s="7">
        <v>3.6</v>
      </c>
      <c r="AC5" s="7">
        <v>3.6</v>
      </c>
      <c r="AD5" s="7">
        <v>3.6</v>
      </c>
      <c r="AE5" s="5">
        <f t="shared" si="6"/>
        <v>3.6000000000000005</v>
      </c>
      <c r="AF5" s="5" t="str">
        <f t="shared" si="7"/>
        <v>BASICO</v>
      </c>
      <c r="AG5" s="5">
        <v>2</v>
      </c>
      <c r="AH5" s="8">
        <v>3</v>
      </c>
      <c r="AI5" s="8">
        <v>3.5</v>
      </c>
      <c r="AJ5" s="8">
        <v>3.5</v>
      </c>
      <c r="AK5" s="5">
        <f t="shared" si="8"/>
        <v>3.3499999999999996</v>
      </c>
      <c r="AL5" s="5" t="str">
        <f t="shared" si="9"/>
        <v>BASICO</v>
      </c>
      <c r="AM5" s="5">
        <v>1</v>
      </c>
      <c r="AN5" s="8">
        <v>3</v>
      </c>
      <c r="AO5" s="8">
        <v>3.5</v>
      </c>
      <c r="AP5" s="8">
        <v>3.5</v>
      </c>
      <c r="AQ5" s="5">
        <f t="shared" si="10"/>
        <v>3.3499999999999996</v>
      </c>
      <c r="AR5" s="5" t="str">
        <f t="shared" si="11"/>
        <v>BASICO</v>
      </c>
      <c r="AS5" s="5">
        <v>4</v>
      </c>
      <c r="AT5" s="7">
        <v>3.2</v>
      </c>
      <c r="AU5" s="7">
        <v>3.2</v>
      </c>
      <c r="AV5" s="7">
        <v>3.2</v>
      </c>
      <c r="AW5" s="5">
        <f t="shared" si="12"/>
        <v>3.2</v>
      </c>
      <c r="AX5" s="5" t="str">
        <f t="shared" si="13"/>
        <v>BASICO</v>
      </c>
      <c r="AY5" s="5">
        <v>1</v>
      </c>
      <c r="AZ5" s="7">
        <v>4</v>
      </c>
      <c r="BA5" s="7">
        <v>4</v>
      </c>
      <c r="BB5" s="7">
        <v>4</v>
      </c>
      <c r="BC5" s="5">
        <f t="shared" si="14"/>
        <v>4</v>
      </c>
      <c r="BD5" s="5" t="str">
        <f t="shared" si="15"/>
        <v>ALTO</v>
      </c>
      <c r="BE5" s="7">
        <v>2</v>
      </c>
      <c r="BF5" s="7">
        <v>2</v>
      </c>
      <c r="BG5" s="7">
        <v>2.5</v>
      </c>
      <c r="BH5" s="7">
        <v>2.2000000000000002</v>
      </c>
      <c r="BI5" s="5">
        <f t="shared" si="16"/>
        <v>2.2600000000000002</v>
      </c>
      <c r="BJ5" s="5" t="str">
        <f t="shared" si="17"/>
        <v>BAJO</v>
      </c>
      <c r="BK5" s="5">
        <v>1</v>
      </c>
      <c r="BL5" s="7">
        <v>2.5</v>
      </c>
      <c r="BM5" s="7">
        <v>2.6</v>
      </c>
      <c r="BN5" s="7">
        <v>2.8</v>
      </c>
      <c r="BO5" s="5">
        <f t="shared" si="18"/>
        <v>2.63</v>
      </c>
      <c r="BP5" s="5" t="str">
        <f t="shared" si="19"/>
        <v>BAJO</v>
      </c>
      <c r="BQ5" s="5">
        <v>1</v>
      </c>
      <c r="BR5" s="7">
        <v>2.5</v>
      </c>
      <c r="BS5" s="7">
        <v>2.8</v>
      </c>
      <c r="BT5" s="7">
        <v>2.2000000000000002</v>
      </c>
      <c r="BU5" s="5">
        <f t="shared" si="20"/>
        <v>2.5299999999999998</v>
      </c>
      <c r="BV5" s="5" t="str">
        <f t="shared" si="21"/>
        <v>BAJO</v>
      </c>
      <c r="BW5" s="5">
        <v>1</v>
      </c>
      <c r="BX5" s="7">
        <v>2.5</v>
      </c>
      <c r="BY5" s="7">
        <v>2.2000000000000002</v>
      </c>
      <c r="BZ5" s="7">
        <v>2.4</v>
      </c>
      <c r="CA5" s="5">
        <f t="shared" si="22"/>
        <v>2.35</v>
      </c>
      <c r="CB5" s="5" t="str">
        <f t="shared" si="23"/>
        <v>BAJO</v>
      </c>
      <c r="CC5" s="5">
        <v>1</v>
      </c>
      <c r="CD5" s="7">
        <v>2</v>
      </c>
      <c r="CE5" s="7">
        <v>2</v>
      </c>
      <c r="CF5" s="7">
        <v>2</v>
      </c>
      <c r="CG5" s="5">
        <f t="shared" si="24"/>
        <v>2</v>
      </c>
      <c r="CH5" s="5" t="str">
        <f t="shared" si="25"/>
        <v>BAJO</v>
      </c>
      <c r="CI5" s="5">
        <v>1</v>
      </c>
      <c r="CJ5" s="7">
        <v>4</v>
      </c>
      <c r="CK5" s="7">
        <v>3.8</v>
      </c>
      <c r="CL5" s="7">
        <v>4</v>
      </c>
      <c r="CM5" s="5">
        <f t="shared" si="26"/>
        <v>3.92</v>
      </c>
      <c r="CN5" s="5" t="str">
        <f t="shared" si="27"/>
        <v>BASICO</v>
      </c>
      <c r="CO5" s="5">
        <v>1</v>
      </c>
      <c r="CP5" s="7">
        <v>5</v>
      </c>
      <c r="CQ5" s="7">
        <v>5</v>
      </c>
      <c r="CR5" s="7">
        <v>5</v>
      </c>
      <c r="CS5" s="5">
        <f t="shared" si="28"/>
        <v>5</v>
      </c>
      <c r="CT5" s="5" t="str">
        <f t="shared" si="29"/>
        <v>SUPERIOR</v>
      </c>
      <c r="CU5" s="5">
        <v>2</v>
      </c>
      <c r="CV5" s="7">
        <v>4</v>
      </c>
      <c r="CW5" s="7">
        <v>4</v>
      </c>
      <c r="CX5" s="7">
        <v>4</v>
      </c>
      <c r="CY5" s="5">
        <f t="shared" si="30"/>
        <v>4</v>
      </c>
      <c r="CZ5" s="5" t="str">
        <f t="shared" si="31"/>
        <v>ALTO</v>
      </c>
      <c r="DA5" s="5">
        <v>2</v>
      </c>
      <c r="DB5" s="7">
        <v>4</v>
      </c>
      <c r="DC5" s="7">
        <v>4</v>
      </c>
      <c r="DD5" s="7">
        <v>4</v>
      </c>
      <c r="DE5" s="5">
        <f t="shared" si="32"/>
        <v>4</v>
      </c>
      <c r="DF5" s="5" t="str">
        <f t="shared" si="33"/>
        <v>ALTO</v>
      </c>
      <c r="DG5" s="5">
        <v>0</v>
      </c>
      <c r="DH5" s="7">
        <v>4</v>
      </c>
      <c r="DI5" s="5" t="str">
        <f t="shared" si="34"/>
        <v>ALTO</v>
      </c>
      <c r="DJ5" s="5">
        <f t="shared" si="35"/>
        <v>3.4123529411764713</v>
      </c>
      <c r="DK5" s="5" t="str">
        <f t="shared" si="36"/>
        <v>Comprende el concepto de números reales, su relación de orden y las propiedades de sus operaciones, así como las relaciones de semejanza y congruencia de distintas figuras geométricas.</v>
      </c>
      <c r="DL5" s="5" t="str">
        <f t="shared" ref="DL5:FJ5" si="39">DL4</f>
        <v>Aplica correctamente las propiedades de las operaciones de números reales y expresiones algebraicas en la resolución de problemas.</v>
      </c>
      <c r="DM5" s="5" t="str">
        <f t="shared" si="39"/>
        <v>Valora el uso del pensamiento lógico a la hora de plantear y resolver problemas de las matemáticas y de la vida cotidiana.</v>
      </c>
      <c r="DN5" s="5" t="str">
        <f t="shared" si="3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5" s="5" t="str">
        <f t="shared" si="39"/>
        <v>Organiza y analiza datos mediante la construcción de tablas de frecuencias y diagramas estadísticos, identificando variables aleatorias y utilizando estas representaciones para resolver situaciones problema.</v>
      </c>
      <c r="DP5" s="5" t="str">
        <f t="shared" si="39"/>
        <v>Muestra disposición y responsabilidad en el manejo y análisis de datos, participando activamente en actividades individuales y colaborativas, y comunicando información estadística con claridad y sentido crítico.</v>
      </c>
      <c r="DQ5" s="5" t="str">
        <f t="shared" si="39"/>
        <v>Analiza las características de la literatura prehispánica y la literatura del descubrimiento y la conquista en Colombia identificando sus elementos fundamentales y su impacto en la cultura y el lenguaje actual.</v>
      </c>
      <c r="DR5" s="5" t="str">
        <f t="shared" si="39"/>
        <v>Realiza comprensión lectora cuando analiza un texto desde el discurso de la Enunciación e identifica la función de cada uno de sus componentes.
Responde preguntas en los tres niveles de lectura a una leyenda del Caribe.</v>
      </c>
      <c r="DS5" s="5" t="str">
        <f t="shared" si="39"/>
        <v>Muestra disposición para participar activamente en las clases, promoviendo el respeto por las ideas ajenas y reconociendo la importancia de la precisión como una herramienta clave para una comunicación</v>
      </c>
      <c r="DT5" s="5" t="str">
        <f t="shared" si="39"/>
        <v>Comprende el contenido del cuento A la deriva, identificando su tema central, la secuencia de los hechos, los personajes y las ideas explícitas e implícitas del texto.</v>
      </c>
      <c r="DU5" s="5" t="str">
        <f t="shared" si="39"/>
        <v>Analiza críticamente el cuento A la deriva mediante la identificación de información literal, inferencial y crítica, sustentando sus respuestas de forma oral y escrita.</v>
      </c>
      <c r="DV5" s="5" t="str">
        <f t="shared" si="39"/>
        <v>Valora la lectura literaria como una oportunidad para reflexionar sobre la vida, la naturaleza y la condición humana, participando con interés, respeto y sentido crítico en las actividades propuestas.</v>
      </c>
      <c r="DW5" s="5" t="str">
        <f t="shared" si="39"/>
        <v>Comprende y reconoce vocabulario y estructuras basicas del ingles para interpretar textos cortos y conversaciones sobre temas cotidianos de la vida diaria.</v>
      </c>
      <c r="DX5" s="5" t="str">
        <f t="shared" si="39"/>
        <v>Produce de forma oral y escrita frases y parrafos cortos en Ingles, utilizando correctamente las estructuras conocidas para describir rutinas, narrar experiencias y participar en conversaciones.</v>
      </c>
      <c r="DY5" s="5" t="str">
        <f t="shared" si="39"/>
        <v>Muestra disposicion positiva hacia el aprendizaje del Ingles participando activamente en clase.</v>
      </c>
      <c r="DZ5" s="5" t="str">
        <f t="shared" si="39"/>
        <v>Identifica vocabulario en Ingles  de situaciones cotidianas.</v>
      </c>
      <c r="EA5" s="5" t="str">
        <f t="shared" si="39"/>
        <v>Participa en actividades utilizando vocabulario aprendido para expresar gustos,emociones y necesidades.</v>
      </c>
      <c r="EB5" s="5" t="str">
        <f t="shared" si="39"/>
        <v>Respeta la opinion de los demas, muestra disposicion para participar en actividades orales.</v>
      </c>
      <c r="EC5" s="5" t="str">
        <f t="shared" si="39"/>
        <v>Identifica la conformación y funcionamiento del sistema inmunolófico y diferencia las característics de los estados de la materia.</v>
      </c>
      <c r="ED5" s="5" t="str">
        <f t="shared" si="39"/>
        <v>Reconoce experimentalmente las características de materiales en los diferentes estados de la materia.</v>
      </c>
      <c r="EE5" s="5" t="str">
        <f t="shared" si="39"/>
        <v xml:space="preserve">Valora la importancia de tener habitos saludables, para lograr el mantenimiento saludable del sistema inmune. </v>
      </c>
      <c r="EF5" s="5" t="str">
        <f t="shared" si="39"/>
        <v>Describe correctamente la secuencia de eventos biologicos de la fecundacion,incluyendo las recciones acrosomicas,la funcion de gametos y la formacion de gametos.</v>
      </c>
      <c r="EG5" s="5" t="str">
        <f t="shared" si="39"/>
        <v>Mide la capacidad del labolatrio para lograr la fecundacion exitosa de los ovulos con el espermatozoide.</v>
      </c>
      <c r="EH5" s="5" t="str">
        <f t="shared" si="39"/>
        <v>Valora la importancia del cuidado del cuerpo y de la salud reproductiva como la base para una fecundacion saludable.</v>
      </c>
      <c r="EI5" s="5" t="str">
        <f t="shared" si="39"/>
        <v>Explico las principales caracteristicas de algunas revoluciones de los siglos XVIII y XIX (Revolucion francesa, Industrial...)</v>
      </c>
      <c r="EJ5" s="5" t="str">
        <f t="shared" si="39"/>
        <v>Analiza las causas y consecuencias de procesos historicos como la Revolucion Industrial y Francesa.</v>
      </c>
      <c r="EK5" s="5" t="str">
        <f t="shared" si="39"/>
        <v>Muestra interes y curiosidad por comprender los procesos historicos y su impacto en la sociedad.</v>
      </c>
      <c r="EL5" s="5" t="str">
        <f t="shared" si="39"/>
        <v xml:space="preserve">Identifica los procesos historicos de algunas revoluciones de los siglos XVIII y XIX </v>
      </c>
      <c r="EM5" s="5">
        <f t="shared" si="39"/>
        <v>0</v>
      </c>
      <c r="EN5" s="5">
        <f t="shared" si="39"/>
        <v>0</v>
      </c>
      <c r="EO5" s="5" t="str">
        <f t="shared" si="39"/>
        <v xml:space="preserve">Comprende la distribucion espacial de la poblacion antes y despues de las revoluciones </v>
      </c>
      <c r="EP5" s="5" t="str">
        <f t="shared" si="39"/>
        <v xml:space="preserve">Ubica en mapas las regiones donde se desarrollaron las principales revoluciones y explica sus caracteristicas geograficas </v>
      </c>
      <c r="EQ5" s="5" t="str">
        <f t="shared" si="39"/>
        <v>Muestra interes por comprender la relacion entre sociedad, economia y territorio</v>
      </c>
      <c r="ER5" s="5" t="str">
        <f t="shared" si="39"/>
        <v>Comprende el concepto de cultura de paz y su importancia en la sociedad</v>
      </c>
      <c r="ES5" s="5" t="str">
        <f t="shared" si="39"/>
        <v>Practica normas de convivencia en diferentes espacios( aula, hogar, comunidad)</v>
      </c>
      <c r="ET5" s="5" t="str">
        <f t="shared" si="39"/>
        <v>Muestra actitud de respeto hacia la diversidad cuktural, social y de pensamiento</v>
      </c>
      <c r="EU5" s="5">
        <f t="shared" si="39"/>
        <v>0</v>
      </c>
      <c r="EV5" s="5">
        <f t="shared" si="39"/>
        <v>0</v>
      </c>
      <c r="EW5" s="5">
        <f t="shared" si="39"/>
        <v>0</v>
      </c>
      <c r="EX5" s="5">
        <f t="shared" si="39"/>
        <v>0</v>
      </c>
      <c r="EY5" s="5">
        <f t="shared" si="39"/>
        <v>0</v>
      </c>
      <c r="EZ5" s="5">
        <f t="shared" si="39"/>
        <v>0</v>
      </c>
      <c r="FA5" s="5">
        <f t="shared" si="39"/>
        <v>0</v>
      </c>
      <c r="FB5" s="5">
        <f t="shared" si="39"/>
        <v>0</v>
      </c>
      <c r="FC5" s="5">
        <f t="shared" si="39"/>
        <v>0</v>
      </c>
      <c r="FD5" s="5" t="str">
        <f t="shared" si="39"/>
        <v xml:space="preserve"> Identifica las expresiones motrices relacionadas con el juego del voleibol,  como una oportunidad para mejorar la salud, la estética y las relaciones con los demás.</v>
      </c>
      <c r="FE5" s="5" t="str">
        <f t="shared" si="39"/>
        <v>Pone en práctica los fundamentos básicos del voleibol.</v>
      </c>
      <c r="FF5" s="5" t="str">
        <f t="shared" si="39"/>
        <v>Muestra  responsabilidad y buena actitud al realizar el juego de voleibol.</v>
      </c>
      <c r="FG5" s="5" t="str">
        <f t="shared" si="39"/>
        <v>Comprende el concepto de variable como espacio de almacenamiento de datos y reconoce el uso de estructuras condicionales (si, si-no) para la toma de decisiones en un programa.</v>
      </c>
      <c r="FH5" s="5" t="str">
        <f t="shared" si="39"/>
        <v>Diseña y desarrolla programas que utilizan variables y estructuras condicionales para resolver problemas, evaluando condiciones y generando respuestas según diferentes situaciones.</v>
      </c>
      <c r="FI5" s="5" t="str">
        <f t="shared" si="39"/>
        <v>Muestra pensamiento lógico, perseverancia y actitud crítica al analizar errores y proponer soluciones en la construcción de programas con variables y condicionales.</v>
      </c>
      <c r="FJ5" s="5" t="str">
        <f t="shared" si="39"/>
        <v>Identifica y reconoce sus pricipales deberes y derechos dentro y fuera  de la Institución educativa.</v>
      </c>
    </row>
    <row r="6" spans="1:166">
      <c r="A6" s="5">
        <v>5</v>
      </c>
      <c r="B6" s="9" t="s">
        <v>81</v>
      </c>
      <c r="C6" s="6">
        <v>1043170610</v>
      </c>
      <c r="D6" s="5" t="s">
        <v>176</v>
      </c>
      <c r="E6" s="5" t="s">
        <v>177</v>
      </c>
      <c r="F6" s="5" t="s">
        <v>70</v>
      </c>
      <c r="G6" s="5" t="s">
        <v>71</v>
      </c>
      <c r="H6" s="5">
        <v>2026</v>
      </c>
      <c r="I6" s="5">
        <v>4</v>
      </c>
      <c r="J6" s="7"/>
      <c r="K6" s="7"/>
      <c r="L6" s="7"/>
      <c r="M6" s="5"/>
      <c r="N6" s="5" t="str">
        <f t="shared" si="1"/>
        <v>BAJO</v>
      </c>
      <c r="O6" s="5">
        <v>1</v>
      </c>
      <c r="P6" s="7"/>
      <c r="Q6" s="7"/>
      <c r="R6" s="7"/>
      <c r="S6" s="5">
        <f t="shared" si="2"/>
        <v>0</v>
      </c>
      <c r="T6" s="5" t="str">
        <f t="shared" si="3"/>
        <v>BAJO</v>
      </c>
      <c r="U6" s="5">
        <v>4</v>
      </c>
      <c r="V6" s="7">
        <v>5</v>
      </c>
      <c r="W6" s="7">
        <v>4.5</v>
      </c>
      <c r="X6" s="7">
        <v>5</v>
      </c>
      <c r="Y6" s="5">
        <f t="shared" si="4"/>
        <v>4.8</v>
      </c>
      <c r="Z6" s="5" t="str">
        <f t="shared" si="5"/>
        <v>SUPERIOR</v>
      </c>
      <c r="AA6" s="5">
        <v>1</v>
      </c>
      <c r="AB6" s="7"/>
      <c r="AC6" s="7"/>
      <c r="AD6" s="7"/>
      <c r="AE6" s="5">
        <f t="shared" si="6"/>
        <v>0</v>
      </c>
      <c r="AF6" s="5" t="str">
        <f t="shared" si="7"/>
        <v>BAJO</v>
      </c>
      <c r="AG6" s="5">
        <v>2</v>
      </c>
      <c r="AH6" s="8"/>
      <c r="AI6" s="11"/>
      <c r="AJ6" s="11"/>
      <c r="AK6" s="5">
        <f t="shared" si="8"/>
        <v>0</v>
      </c>
      <c r="AL6" s="5" t="str">
        <f t="shared" si="9"/>
        <v>BAJO</v>
      </c>
      <c r="AM6" s="5">
        <v>1</v>
      </c>
      <c r="AN6" s="8"/>
      <c r="AO6" s="11"/>
      <c r="AP6" s="11"/>
      <c r="AQ6" s="5">
        <f t="shared" si="10"/>
        <v>0</v>
      </c>
      <c r="AR6" s="5" t="str">
        <f t="shared" si="11"/>
        <v>BAJO</v>
      </c>
      <c r="AS6" s="5">
        <v>4</v>
      </c>
      <c r="AT6" s="7">
        <v>3.8</v>
      </c>
      <c r="AU6" s="7">
        <v>3.8</v>
      </c>
      <c r="AV6" s="7">
        <v>3.8</v>
      </c>
      <c r="AW6" s="5">
        <f t="shared" si="12"/>
        <v>3.8</v>
      </c>
      <c r="AX6" s="5" t="str">
        <f t="shared" si="13"/>
        <v>BASICO</v>
      </c>
      <c r="AY6" s="5">
        <v>1</v>
      </c>
      <c r="AZ6" s="7">
        <v>5</v>
      </c>
      <c r="BA6" s="7">
        <v>5</v>
      </c>
      <c r="BB6" s="7">
        <v>5</v>
      </c>
      <c r="BC6" s="5">
        <f t="shared" si="14"/>
        <v>5</v>
      </c>
      <c r="BD6" s="5" t="str">
        <f t="shared" si="15"/>
        <v>SUPERIOR</v>
      </c>
      <c r="BE6" s="7">
        <v>2</v>
      </c>
      <c r="BF6" s="7"/>
      <c r="BG6" s="7"/>
      <c r="BH6" s="7"/>
      <c r="BI6" s="5">
        <f t="shared" si="16"/>
        <v>0</v>
      </c>
      <c r="BJ6" s="5" t="str">
        <f t="shared" si="17"/>
        <v>BAJO</v>
      </c>
      <c r="BK6" s="5">
        <v>1</v>
      </c>
      <c r="BL6" s="7"/>
      <c r="BM6" s="7"/>
      <c r="BN6" s="7"/>
      <c r="BO6" s="5">
        <f t="shared" si="18"/>
        <v>0</v>
      </c>
      <c r="BP6" s="5" t="str">
        <f t="shared" si="19"/>
        <v>BAJO</v>
      </c>
      <c r="BQ6" s="5">
        <v>1</v>
      </c>
      <c r="BR6" s="7"/>
      <c r="BS6" s="7"/>
      <c r="BT6" s="7"/>
      <c r="BU6" s="5">
        <f t="shared" si="20"/>
        <v>0</v>
      </c>
      <c r="BV6" s="5" t="str">
        <f t="shared" si="21"/>
        <v>BAJO</v>
      </c>
      <c r="BW6" s="5">
        <v>1</v>
      </c>
      <c r="BX6" s="7"/>
      <c r="BY6" s="7"/>
      <c r="BZ6" s="7"/>
      <c r="CA6" s="5">
        <f t="shared" si="22"/>
        <v>0</v>
      </c>
      <c r="CB6" s="5" t="str">
        <f t="shared" si="23"/>
        <v>BAJO</v>
      </c>
      <c r="CC6" s="5">
        <v>1</v>
      </c>
      <c r="CD6" s="7">
        <v>4</v>
      </c>
      <c r="CE6" s="7">
        <v>4.2</v>
      </c>
      <c r="CF6" s="7">
        <v>4.2</v>
      </c>
      <c r="CG6" s="5">
        <f t="shared" si="24"/>
        <v>4.1399999999999997</v>
      </c>
      <c r="CH6" s="5" t="str">
        <f t="shared" si="25"/>
        <v>ALTO</v>
      </c>
      <c r="CI6" s="5">
        <v>1</v>
      </c>
      <c r="CJ6" s="7"/>
      <c r="CK6" s="7"/>
      <c r="CL6" s="7"/>
      <c r="CM6" s="5">
        <f t="shared" si="26"/>
        <v>0</v>
      </c>
      <c r="CN6" s="5" t="str">
        <f t="shared" si="27"/>
        <v>BAJO</v>
      </c>
      <c r="CO6" s="5">
        <v>1</v>
      </c>
      <c r="CP6" s="7"/>
      <c r="CQ6" s="7"/>
      <c r="CR6" s="7"/>
      <c r="CS6" s="5">
        <f t="shared" si="28"/>
        <v>0</v>
      </c>
      <c r="CT6" s="5" t="str">
        <f t="shared" si="29"/>
        <v>BAJO</v>
      </c>
      <c r="CU6" s="5">
        <v>2</v>
      </c>
      <c r="CV6" s="7"/>
      <c r="CW6" s="7"/>
      <c r="CX6" s="7"/>
      <c r="CY6" s="5">
        <f t="shared" si="30"/>
        <v>0</v>
      </c>
      <c r="CZ6" s="5" t="str">
        <f t="shared" si="31"/>
        <v>BAJO</v>
      </c>
      <c r="DA6" s="5">
        <v>2</v>
      </c>
      <c r="DB6" s="5"/>
      <c r="DC6" s="5"/>
      <c r="DD6" s="5"/>
      <c r="DE6" s="5">
        <f t="shared" si="32"/>
        <v>0</v>
      </c>
      <c r="DF6" s="5" t="str">
        <f t="shared" si="33"/>
        <v>BAJO</v>
      </c>
      <c r="DG6" s="5">
        <v>0</v>
      </c>
      <c r="DH6" s="7"/>
      <c r="DI6" s="5" t="str">
        <f t="shared" si="34"/>
        <v>BAJO</v>
      </c>
      <c r="DJ6" s="5">
        <f t="shared" si="35"/>
        <v>1.1826666666666665</v>
      </c>
      <c r="DK6" s="5" t="str">
        <f t="shared" si="36"/>
        <v>Comprende el concepto de números reales, su relación de orden y las propiedades de sus operaciones, así como las relaciones de semejanza y congruencia de distintas figuras geométricas.</v>
      </c>
      <c r="DL6" s="5" t="str">
        <f t="shared" ref="DL6:FJ6" si="40">DL5</f>
        <v>Aplica correctamente las propiedades de las operaciones de números reales y expresiones algebraicas en la resolución de problemas.</v>
      </c>
      <c r="DM6" s="5" t="str">
        <f t="shared" si="40"/>
        <v>Valora el uso del pensamiento lógico a la hora de plantear y resolver problemas de las matemáticas y de la vida cotidiana.</v>
      </c>
      <c r="DN6" s="5" t="str">
        <f t="shared" si="4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6" s="5" t="str">
        <f t="shared" si="40"/>
        <v>Organiza y analiza datos mediante la construcción de tablas de frecuencias y diagramas estadísticos, identificando variables aleatorias y utilizando estas representaciones para resolver situaciones problema.</v>
      </c>
      <c r="DP6" s="5" t="str">
        <f t="shared" si="40"/>
        <v>Muestra disposición y responsabilidad en el manejo y análisis de datos, participando activamente en actividades individuales y colaborativas, y comunicando información estadística con claridad y sentido crítico.</v>
      </c>
      <c r="DQ6" s="5" t="str">
        <f t="shared" si="40"/>
        <v>Analiza las características de la literatura prehispánica y la literatura del descubrimiento y la conquista en Colombia identificando sus elementos fundamentales y su impacto en la cultura y el lenguaje actual.</v>
      </c>
      <c r="DR6" s="5" t="str">
        <f t="shared" si="40"/>
        <v>Realiza comprensión lectora cuando analiza un texto desde el discurso de la Enunciación e identifica la función de cada uno de sus componentes.
Responde preguntas en los tres niveles de lectura a una leyenda del Caribe.</v>
      </c>
      <c r="DS6" s="5" t="str">
        <f t="shared" si="40"/>
        <v>Muestra disposición para participar activamente en las clases, promoviendo el respeto por las ideas ajenas y reconociendo la importancia de la precisión como una herramienta clave para una comunicación</v>
      </c>
      <c r="DT6" s="5" t="str">
        <f t="shared" si="40"/>
        <v>Comprende el contenido del cuento A la deriva, identificando su tema central, la secuencia de los hechos, los personajes y las ideas explícitas e implícitas del texto.</v>
      </c>
      <c r="DU6" s="5" t="str">
        <f t="shared" si="40"/>
        <v>Analiza críticamente el cuento A la deriva mediante la identificación de información literal, inferencial y crítica, sustentando sus respuestas de forma oral y escrita.</v>
      </c>
      <c r="DV6" s="5" t="str">
        <f t="shared" si="40"/>
        <v>Valora la lectura literaria como una oportunidad para reflexionar sobre la vida, la naturaleza y la condición humana, participando con interés, respeto y sentido crítico en las actividades propuestas.</v>
      </c>
      <c r="DW6" s="5" t="str">
        <f t="shared" si="40"/>
        <v>Comprende y reconoce vocabulario y estructuras basicas del ingles para interpretar textos cortos y conversaciones sobre temas cotidianos de la vida diaria.</v>
      </c>
      <c r="DX6" s="5" t="str">
        <f t="shared" si="40"/>
        <v>Produce de forma oral y escrita frases y parrafos cortos en Ingles, utilizando correctamente las estructuras conocidas para describir rutinas, narrar experiencias y participar en conversaciones.</v>
      </c>
      <c r="DY6" s="5" t="str">
        <f t="shared" si="40"/>
        <v>Muestra disposicion positiva hacia el aprendizaje del Ingles participando activamente en clase.</v>
      </c>
      <c r="DZ6" s="5" t="str">
        <f t="shared" si="40"/>
        <v>Identifica vocabulario en Ingles  de situaciones cotidianas.</v>
      </c>
      <c r="EA6" s="5" t="str">
        <f t="shared" si="40"/>
        <v>Participa en actividades utilizando vocabulario aprendido para expresar gustos,emociones y necesidades.</v>
      </c>
      <c r="EB6" s="5" t="str">
        <f t="shared" si="40"/>
        <v>Respeta la opinion de los demas, muestra disposicion para participar en actividades orales.</v>
      </c>
      <c r="EC6" s="5" t="str">
        <f t="shared" si="40"/>
        <v>Identifica la conformación y funcionamiento del sistema inmunolófico y diferencia las característics de los estados de la materia.</v>
      </c>
      <c r="ED6" s="5" t="str">
        <f t="shared" si="40"/>
        <v>Reconoce experimentalmente las características de materiales en los diferentes estados de la materia.</v>
      </c>
      <c r="EE6" s="5" t="str">
        <f t="shared" si="40"/>
        <v xml:space="preserve">Valora la importancia de tener habitos saludables, para lograr el mantenimiento saludable del sistema inmune. </v>
      </c>
      <c r="EF6" s="5" t="str">
        <f t="shared" si="40"/>
        <v>Describe correctamente la secuencia de eventos biologicos de la fecundacion,incluyendo las recciones acrosomicas,la funcion de gametos y la formacion de gametos.</v>
      </c>
      <c r="EG6" s="5" t="str">
        <f t="shared" si="40"/>
        <v>Mide la capacidad del labolatrio para lograr la fecundacion exitosa de los ovulos con el espermatozoide.</v>
      </c>
      <c r="EH6" s="5" t="str">
        <f t="shared" si="40"/>
        <v>Valora la importancia del cuidado del cuerpo y de la salud reproductiva como la base para una fecundacion saludable.</v>
      </c>
      <c r="EI6" s="5" t="str">
        <f t="shared" si="40"/>
        <v>Explico las principales caracteristicas de algunas revoluciones de los siglos XVIII y XIX (Revolucion francesa, Industrial...)</v>
      </c>
      <c r="EJ6" s="5" t="str">
        <f t="shared" si="40"/>
        <v>Analiza las causas y consecuencias de procesos historicos como la Revolucion Industrial y Francesa.</v>
      </c>
      <c r="EK6" s="5" t="str">
        <f t="shared" si="40"/>
        <v>Muestra interes y curiosidad por comprender los procesos historicos y su impacto en la sociedad.</v>
      </c>
      <c r="EL6" s="5" t="str">
        <f t="shared" si="40"/>
        <v xml:space="preserve">Identifica los procesos historicos de algunas revoluciones de los siglos XVIII y XIX </v>
      </c>
      <c r="EM6" s="5">
        <f t="shared" si="40"/>
        <v>0</v>
      </c>
      <c r="EN6" s="5">
        <f t="shared" si="40"/>
        <v>0</v>
      </c>
      <c r="EO6" s="5" t="str">
        <f t="shared" si="40"/>
        <v xml:space="preserve">Comprende la distribucion espacial de la poblacion antes y despues de las revoluciones </v>
      </c>
      <c r="EP6" s="5" t="str">
        <f t="shared" si="40"/>
        <v xml:space="preserve">Ubica en mapas las regiones donde se desarrollaron las principales revoluciones y explica sus caracteristicas geograficas </v>
      </c>
      <c r="EQ6" s="5" t="str">
        <f t="shared" si="40"/>
        <v>Muestra interes por comprender la relacion entre sociedad, economia y territorio</v>
      </c>
      <c r="ER6" s="5" t="str">
        <f t="shared" si="40"/>
        <v>Comprende el concepto de cultura de paz y su importancia en la sociedad</v>
      </c>
      <c r="ES6" s="5" t="str">
        <f t="shared" si="40"/>
        <v>Practica normas de convivencia en diferentes espacios( aula, hogar, comunidad)</v>
      </c>
      <c r="ET6" s="5" t="str">
        <f t="shared" si="40"/>
        <v>Muestra actitud de respeto hacia la diversidad cuktural, social y de pensamiento</v>
      </c>
      <c r="EU6" s="5">
        <f t="shared" si="40"/>
        <v>0</v>
      </c>
      <c r="EV6" s="5">
        <f t="shared" si="40"/>
        <v>0</v>
      </c>
      <c r="EW6" s="5">
        <f t="shared" si="40"/>
        <v>0</v>
      </c>
      <c r="EX6" s="5">
        <f t="shared" si="40"/>
        <v>0</v>
      </c>
      <c r="EY6" s="5">
        <f t="shared" si="40"/>
        <v>0</v>
      </c>
      <c r="EZ6" s="5">
        <f t="shared" si="40"/>
        <v>0</v>
      </c>
      <c r="FA6" s="5">
        <f t="shared" si="40"/>
        <v>0</v>
      </c>
      <c r="FB6" s="5">
        <f t="shared" si="40"/>
        <v>0</v>
      </c>
      <c r="FC6" s="5">
        <f t="shared" si="40"/>
        <v>0</v>
      </c>
      <c r="FD6" s="5" t="str">
        <f t="shared" si="40"/>
        <v xml:space="preserve"> Identifica las expresiones motrices relacionadas con el juego del voleibol,  como una oportunidad para mejorar la salud, la estética y las relaciones con los demás.</v>
      </c>
      <c r="FE6" s="5" t="str">
        <f t="shared" si="40"/>
        <v>Pone en práctica los fundamentos básicos del voleibol.</v>
      </c>
      <c r="FF6" s="5" t="str">
        <f t="shared" si="40"/>
        <v>Muestra  responsabilidad y buena actitud al realizar el juego de voleibol.</v>
      </c>
      <c r="FG6" s="5" t="str">
        <f t="shared" si="40"/>
        <v>Comprende el concepto de variable como espacio de almacenamiento de datos y reconoce el uso de estructuras condicionales (si, si-no) para la toma de decisiones en un programa.</v>
      </c>
      <c r="FH6" s="5" t="str">
        <f t="shared" si="40"/>
        <v>Diseña y desarrolla programas que utilizan variables y estructuras condicionales para resolver problemas, evaluando condiciones y generando respuestas según diferentes situaciones.</v>
      </c>
      <c r="FI6" s="5" t="str">
        <f t="shared" si="40"/>
        <v>Muestra pensamiento lógico, perseverancia y actitud crítica al analizar errores y proponer soluciones en la construcción de programas con variables y condicionales.</v>
      </c>
      <c r="FJ6" s="5" t="str">
        <f t="shared" si="40"/>
        <v>Identifica y reconoce sus pricipales deberes y derechos dentro y fuera  de la Institución educativa.</v>
      </c>
    </row>
    <row r="7" spans="1:166">
      <c r="A7" s="5">
        <v>6</v>
      </c>
      <c r="B7" s="5" t="s">
        <v>181</v>
      </c>
      <c r="C7" s="6">
        <v>1119709509</v>
      </c>
      <c r="D7" s="5" t="s">
        <v>176</v>
      </c>
      <c r="E7" s="5" t="s">
        <v>177</v>
      </c>
      <c r="F7" s="5" t="s">
        <v>70</v>
      </c>
      <c r="G7" s="5" t="s">
        <v>71</v>
      </c>
      <c r="H7" s="5">
        <v>2026</v>
      </c>
      <c r="I7" s="5">
        <v>4</v>
      </c>
      <c r="J7" s="7">
        <v>3</v>
      </c>
      <c r="K7" s="7">
        <v>3.1</v>
      </c>
      <c r="L7" s="7">
        <v>3.2</v>
      </c>
      <c r="M7" s="5">
        <f t="shared" ref="M7:M42" si="41">((J7*0.3)+(K7*0.4)+(L7*0.3))</f>
        <v>3.1</v>
      </c>
      <c r="N7" s="5" t="str">
        <f t="shared" si="1"/>
        <v>BASICO</v>
      </c>
      <c r="O7" s="5">
        <v>1</v>
      </c>
      <c r="P7" s="7">
        <v>3.5</v>
      </c>
      <c r="Q7" s="7">
        <v>3.5</v>
      </c>
      <c r="R7" s="7">
        <v>3.5</v>
      </c>
      <c r="S7" s="5">
        <f t="shared" si="2"/>
        <v>3.5</v>
      </c>
      <c r="T7" s="5" t="str">
        <f t="shared" si="3"/>
        <v>BASICO</v>
      </c>
      <c r="U7" s="5">
        <v>4</v>
      </c>
      <c r="V7" s="7">
        <v>4</v>
      </c>
      <c r="W7" s="7">
        <v>4</v>
      </c>
      <c r="X7" s="7">
        <v>4.5</v>
      </c>
      <c r="Y7" s="5">
        <f t="shared" si="4"/>
        <v>4.1499999999999995</v>
      </c>
      <c r="Z7" s="5" t="str">
        <f t="shared" si="5"/>
        <v>ALTO</v>
      </c>
      <c r="AA7" s="5">
        <v>1</v>
      </c>
      <c r="AB7" s="7">
        <v>2.8</v>
      </c>
      <c r="AC7" s="7">
        <v>2.8</v>
      </c>
      <c r="AD7" s="7">
        <v>2.8</v>
      </c>
      <c r="AE7" s="5">
        <f t="shared" si="6"/>
        <v>2.8</v>
      </c>
      <c r="AF7" s="5" t="str">
        <f t="shared" si="7"/>
        <v>BAJO</v>
      </c>
      <c r="AG7" s="5">
        <v>2</v>
      </c>
      <c r="AH7" s="8">
        <v>3.5</v>
      </c>
      <c r="AI7" s="8">
        <v>3.5</v>
      </c>
      <c r="AJ7" s="8">
        <v>3.5</v>
      </c>
      <c r="AK7" s="5">
        <f t="shared" si="8"/>
        <v>3.5</v>
      </c>
      <c r="AL7" s="5" t="str">
        <f t="shared" si="9"/>
        <v>BASICO</v>
      </c>
      <c r="AM7" s="5">
        <v>1</v>
      </c>
      <c r="AN7" s="8">
        <v>3.5</v>
      </c>
      <c r="AO7" s="8">
        <v>3.5</v>
      </c>
      <c r="AP7" s="8">
        <v>3.5</v>
      </c>
      <c r="AQ7" s="5">
        <f t="shared" si="10"/>
        <v>3.5</v>
      </c>
      <c r="AR7" s="5" t="str">
        <f t="shared" si="11"/>
        <v>BASICO</v>
      </c>
      <c r="AS7" s="5">
        <v>4</v>
      </c>
      <c r="AT7" s="7">
        <v>3</v>
      </c>
      <c r="AU7" s="7">
        <v>3</v>
      </c>
      <c r="AV7" s="7">
        <v>3</v>
      </c>
      <c r="AW7" s="5">
        <f t="shared" si="12"/>
        <v>3</v>
      </c>
      <c r="AX7" s="5" t="str">
        <f t="shared" si="13"/>
        <v>BASICO</v>
      </c>
      <c r="AY7" s="5">
        <v>1</v>
      </c>
      <c r="AZ7" s="7">
        <v>4</v>
      </c>
      <c r="BA7" s="7">
        <v>4</v>
      </c>
      <c r="BB7" s="7">
        <v>4</v>
      </c>
      <c r="BC7" s="5">
        <f t="shared" si="14"/>
        <v>4</v>
      </c>
      <c r="BD7" s="5" t="str">
        <f t="shared" si="15"/>
        <v>ALTO</v>
      </c>
      <c r="BE7" s="7">
        <v>2</v>
      </c>
      <c r="BF7" s="7">
        <v>2</v>
      </c>
      <c r="BG7" s="7">
        <v>2.2000000000000002</v>
      </c>
      <c r="BH7" s="7">
        <v>2.5</v>
      </c>
      <c r="BI7" s="5">
        <f t="shared" si="16"/>
        <v>2.23</v>
      </c>
      <c r="BJ7" s="5" t="str">
        <f t="shared" si="17"/>
        <v>BAJO</v>
      </c>
      <c r="BK7" s="5">
        <v>1</v>
      </c>
      <c r="BL7" s="7">
        <v>2.2000000000000002</v>
      </c>
      <c r="BM7" s="7">
        <v>2.8</v>
      </c>
      <c r="BN7" s="7">
        <v>2.6</v>
      </c>
      <c r="BO7" s="5">
        <f t="shared" si="18"/>
        <v>2.5599999999999996</v>
      </c>
      <c r="BP7" s="5" t="str">
        <f t="shared" si="19"/>
        <v>BAJO</v>
      </c>
      <c r="BQ7" s="5">
        <v>1</v>
      </c>
      <c r="BR7" s="7">
        <v>2.2000000000000002</v>
      </c>
      <c r="BS7" s="7">
        <v>2.8</v>
      </c>
      <c r="BT7" s="7">
        <v>2.5</v>
      </c>
      <c r="BU7" s="5">
        <f t="shared" si="20"/>
        <v>2.5299999999999998</v>
      </c>
      <c r="BV7" s="5" t="str">
        <f t="shared" si="21"/>
        <v>BAJO</v>
      </c>
      <c r="BW7" s="5">
        <v>1</v>
      </c>
      <c r="BX7" s="7">
        <v>2.2000000000000002</v>
      </c>
      <c r="BY7" s="7">
        <v>2.6</v>
      </c>
      <c r="BZ7" s="7">
        <v>2.5</v>
      </c>
      <c r="CA7" s="5">
        <f t="shared" si="22"/>
        <v>2.4500000000000002</v>
      </c>
      <c r="CB7" s="5" t="str">
        <f t="shared" si="23"/>
        <v>BAJO</v>
      </c>
      <c r="CC7" s="5">
        <v>1</v>
      </c>
      <c r="CD7" s="7">
        <v>3.5</v>
      </c>
      <c r="CE7" s="7">
        <v>3.4</v>
      </c>
      <c r="CF7" s="7">
        <v>3.4</v>
      </c>
      <c r="CG7" s="5">
        <f t="shared" si="24"/>
        <v>3.43</v>
      </c>
      <c r="CH7" s="5" t="str">
        <f t="shared" si="25"/>
        <v>BASICO</v>
      </c>
      <c r="CI7" s="5">
        <v>1</v>
      </c>
      <c r="CJ7" s="7">
        <v>3.5</v>
      </c>
      <c r="CK7" s="7">
        <v>3.5</v>
      </c>
      <c r="CL7" s="7">
        <v>3.5</v>
      </c>
      <c r="CM7" s="5">
        <f t="shared" si="26"/>
        <v>3.5</v>
      </c>
      <c r="CN7" s="5" t="str">
        <f t="shared" si="27"/>
        <v>BASICO</v>
      </c>
      <c r="CO7" s="5">
        <v>1</v>
      </c>
      <c r="CP7" s="7">
        <v>4.5</v>
      </c>
      <c r="CQ7" s="7">
        <v>4</v>
      </c>
      <c r="CR7" s="7">
        <v>5</v>
      </c>
      <c r="CS7" s="5">
        <f t="shared" si="28"/>
        <v>4.45</v>
      </c>
      <c r="CT7" s="5" t="str">
        <f t="shared" si="29"/>
        <v>ALTO</v>
      </c>
      <c r="CU7" s="5">
        <v>2</v>
      </c>
      <c r="CV7" s="7">
        <v>3</v>
      </c>
      <c r="CW7" s="7">
        <v>3</v>
      </c>
      <c r="CX7" s="7">
        <v>3</v>
      </c>
      <c r="CY7" s="5">
        <f t="shared" si="30"/>
        <v>3</v>
      </c>
      <c r="CZ7" s="5" t="str">
        <f t="shared" si="31"/>
        <v>BASICO</v>
      </c>
      <c r="DA7" s="5">
        <v>2</v>
      </c>
      <c r="DB7" s="7">
        <v>2.9</v>
      </c>
      <c r="DC7" s="7">
        <v>2.9</v>
      </c>
      <c r="DD7" s="7">
        <v>3.5</v>
      </c>
      <c r="DE7" s="5">
        <f t="shared" si="32"/>
        <v>3.08</v>
      </c>
      <c r="DF7" s="5" t="str">
        <f t="shared" si="33"/>
        <v>BASICO</v>
      </c>
      <c r="DG7" s="5">
        <v>0</v>
      </c>
      <c r="DH7" s="7">
        <v>4.5</v>
      </c>
      <c r="DI7" s="5" t="str">
        <f t="shared" si="34"/>
        <v>SUPERIOR</v>
      </c>
      <c r="DJ7" s="5">
        <f t="shared" si="35"/>
        <v>3.3382352941176472</v>
      </c>
      <c r="DK7" s="5" t="str">
        <f t="shared" si="36"/>
        <v>Comprende el concepto de números reales, su relación de orden y las propiedades de sus operaciones, así como las relaciones de semejanza y congruencia de distintas figuras geométricas.</v>
      </c>
      <c r="DL7" s="5" t="str">
        <f t="shared" ref="DL7:FJ7" si="42">DL6</f>
        <v>Aplica correctamente las propiedades de las operaciones de números reales y expresiones algebraicas en la resolución de problemas.</v>
      </c>
      <c r="DM7" s="5" t="str">
        <f t="shared" si="42"/>
        <v>Valora el uso del pensamiento lógico a la hora de plantear y resolver problemas de las matemáticas y de la vida cotidiana.</v>
      </c>
      <c r="DN7" s="5" t="str">
        <f t="shared" si="4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7" s="5" t="str">
        <f t="shared" si="42"/>
        <v>Organiza y analiza datos mediante la construcción de tablas de frecuencias y diagramas estadísticos, identificando variables aleatorias y utilizando estas representaciones para resolver situaciones problema.</v>
      </c>
      <c r="DP7" s="5" t="str">
        <f t="shared" si="42"/>
        <v>Muestra disposición y responsabilidad en el manejo y análisis de datos, participando activamente en actividades individuales y colaborativas, y comunicando información estadística con claridad y sentido crítico.</v>
      </c>
      <c r="DQ7" s="5" t="str">
        <f t="shared" si="42"/>
        <v>Analiza las características de la literatura prehispánica y la literatura del descubrimiento y la conquista en Colombia identificando sus elementos fundamentales y su impacto en la cultura y el lenguaje actual.</v>
      </c>
      <c r="DR7" s="5" t="str">
        <f t="shared" si="42"/>
        <v>Realiza comprensión lectora cuando analiza un texto desde el discurso de la Enunciación e identifica la función de cada uno de sus componentes.
Responde preguntas en los tres niveles de lectura a una leyenda del Caribe.</v>
      </c>
      <c r="DS7" s="5" t="str">
        <f t="shared" si="42"/>
        <v>Muestra disposición para participar activamente en las clases, promoviendo el respeto por las ideas ajenas y reconociendo la importancia de la precisión como una herramienta clave para una comunicación</v>
      </c>
      <c r="DT7" s="5" t="str">
        <f t="shared" si="42"/>
        <v>Comprende el contenido del cuento A la deriva, identificando su tema central, la secuencia de los hechos, los personajes y las ideas explícitas e implícitas del texto.</v>
      </c>
      <c r="DU7" s="5" t="str">
        <f t="shared" si="42"/>
        <v>Analiza críticamente el cuento A la deriva mediante la identificación de información literal, inferencial y crítica, sustentando sus respuestas de forma oral y escrita.</v>
      </c>
      <c r="DV7" s="5" t="str">
        <f t="shared" si="42"/>
        <v>Valora la lectura literaria como una oportunidad para reflexionar sobre la vida, la naturaleza y la condición humana, participando con interés, respeto y sentido crítico en las actividades propuestas.</v>
      </c>
      <c r="DW7" s="5" t="str">
        <f t="shared" si="42"/>
        <v>Comprende y reconoce vocabulario y estructuras basicas del ingles para interpretar textos cortos y conversaciones sobre temas cotidianos de la vida diaria.</v>
      </c>
      <c r="DX7" s="5" t="str">
        <f t="shared" si="42"/>
        <v>Produce de forma oral y escrita frases y parrafos cortos en Ingles, utilizando correctamente las estructuras conocidas para describir rutinas, narrar experiencias y participar en conversaciones.</v>
      </c>
      <c r="DY7" s="5" t="str">
        <f t="shared" si="42"/>
        <v>Muestra disposicion positiva hacia el aprendizaje del Ingles participando activamente en clase.</v>
      </c>
      <c r="DZ7" s="5" t="str">
        <f t="shared" si="42"/>
        <v>Identifica vocabulario en Ingles  de situaciones cotidianas.</v>
      </c>
      <c r="EA7" s="5" t="str">
        <f t="shared" si="42"/>
        <v>Participa en actividades utilizando vocabulario aprendido para expresar gustos,emociones y necesidades.</v>
      </c>
      <c r="EB7" s="5" t="str">
        <f t="shared" si="42"/>
        <v>Respeta la opinion de los demas, muestra disposicion para participar en actividades orales.</v>
      </c>
      <c r="EC7" s="5" t="str">
        <f t="shared" si="42"/>
        <v>Identifica la conformación y funcionamiento del sistema inmunolófico y diferencia las característics de los estados de la materia.</v>
      </c>
      <c r="ED7" s="5" t="str">
        <f t="shared" si="42"/>
        <v>Reconoce experimentalmente las características de materiales en los diferentes estados de la materia.</v>
      </c>
      <c r="EE7" s="5" t="str">
        <f t="shared" si="42"/>
        <v xml:space="preserve">Valora la importancia de tener habitos saludables, para lograr el mantenimiento saludable del sistema inmune. </v>
      </c>
      <c r="EF7" s="5" t="str">
        <f t="shared" si="42"/>
        <v>Describe correctamente la secuencia de eventos biologicos de la fecundacion,incluyendo las recciones acrosomicas,la funcion de gametos y la formacion de gametos.</v>
      </c>
      <c r="EG7" s="5" t="str">
        <f t="shared" si="42"/>
        <v>Mide la capacidad del labolatrio para lograr la fecundacion exitosa de los ovulos con el espermatozoide.</v>
      </c>
      <c r="EH7" s="5" t="str">
        <f t="shared" si="42"/>
        <v>Valora la importancia del cuidado del cuerpo y de la salud reproductiva como la base para una fecundacion saludable.</v>
      </c>
      <c r="EI7" s="5" t="str">
        <f t="shared" si="42"/>
        <v>Explico las principales caracteristicas de algunas revoluciones de los siglos XVIII y XIX (Revolucion francesa, Industrial...)</v>
      </c>
      <c r="EJ7" s="5" t="str">
        <f t="shared" si="42"/>
        <v>Analiza las causas y consecuencias de procesos historicos como la Revolucion Industrial y Francesa.</v>
      </c>
      <c r="EK7" s="5" t="str">
        <f t="shared" si="42"/>
        <v>Muestra interes y curiosidad por comprender los procesos historicos y su impacto en la sociedad.</v>
      </c>
      <c r="EL7" s="5" t="str">
        <f t="shared" si="42"/>
        <v xml:space="preserve">Identifica los procesos historicos de algunas revoluciones de los siglos XVIII y XIX </v>
      </c>
      <c r="EM7" s="5">
        <f t="shared" si="42"/>
        <v>0</v>
      </c>
      <c r="EN7" s="5">
        <f t="shared" si="42"/>
        <v>0</v>
      </c>
      <c r="EO7" s="5" t="str">
        <f t="shared" si="42"/>
        <v xml:space="preserve">Comprende la distribucion espacial de la poblacion antes y despues de las revoluciones </v>
      </c>
      <c r="EP7" s="5" t="str">
        <f t="shared" si="42"/>
        <v xml:space="preserve">Ubica en mapas las regiones donde se desarrollaron las principales revoluciones y explica sus caracteristicas geograficas </v>
      </c>
      <c r="EQ7" s="5" t="str">
        <f t="shared" si="42"/>
        <v>Muestra interes por comprender la relacion entre sociedad, economia y territorio</v>
      </c>
      <c r="ER7" s="5" t="str">
        <f t="shared" si="42"/>
        <v>Comprende el concepto de cultura de paz y su importancia en la sociedad</v>
      </c>
      <c r="ES7" s="5" t="str">
        <f t="shared" si="42"/>
        <v>Practica normas de convivencia en diferentes espacios( aula, hogar, comunidad)</v>
      </c>
      <c r="ET7" s="5" t="str">
        <f t="shared" si="42"/>
        <v>Muestra actitud de respeto hacia la diversidad cuktural, social y de pensamiento</v>
      </c>
      <c r="EU7" s="5">
        <f t="shared" si="42"/>
        <v>0</v>
      </c>
      <c r="EV7" s="5">
        <f t="shared" si="42"/>
        <v>0</v>
      </c>
      <c r="EW7" s="5">
        <f t="shared" si="42"/>
        <v>0</v>
      </c>
      <c r="EX7" s="5">
        <f t="shared" si="42"/>
        <v>0</v>
      </c>
      <c r="EY7" s="5">
        <f t="shared" si="42"/>
        <v>0</v>
      </c>
      <c r="EZ7" s="5">
        <f t="shared" si="42"/>
        <v>0</v>
      </c>
      <c r="FA7" s="5">
        <f t="shared" si="42"/>
        <v>0</v>
      </c>
      <c r="FB7" s="5">
        <f t="shared" si="42"/>
        <v>0</v>
      </c>
      <c r="FC7" s="5">
        <f t="shared" si="42"/>
        <v>0</v>
      </c>
      <c r="FD7" s="5" t="str">
        <f t="shared" si="42"/>
        <v xml:space="preserve"> Identifica las expresiones motrices relacionadas con el juego del voleibol,  como una oportunidad para mejorar la salud, la estética y las relaciones con los demás.</v>
      </c>
      <c r="FE7" s="5" t="str">
        <f t="shared" si="42"/>
        <v>Pone en práctica los fundamentos básicos del voleibol.</v>
      </c>
      <c r="FF7" s="5" t="str">
        <f t="shared" si="42"/>
        <v>Muestra  responsabilidad y buena actitud al realizar el juego de voleibol.</v>
      </c>
      <c r="FG7" s="5" t="str">
        <f t="shared" si="42"/>
        <v>Comprende el concepto de variable como espacio de almacenamiento de datos y reconoce el uso de estructuras condicionales (si, si-no) para la toma de decisiones en un programa.</v>
      </c>
      <c r="FH7" s="5" t="str">
        <f t="shared" si="42"/>
        <v>Diseña y desarrolla programas que utilizan variables y estructuras condicionales para resolver problemas, evaluando condiciones y generando respuestas según diferentes situaciones.</v>
      </c>
      <c r="FI7" s="5" t="str">
        <f t="shared" si="42"/>
        <v>Muestra pensamiento lógico, perseverancia y actitud crítica al analizar errores y proponer soluciones en la construcción de programas con variables y condicionales.</v>
      </c>
      <c r="FJ7" s="5" t="str">
        <f t="shared" si="42"/>
        <v>Identifica y reconoce sus pricipales deberes y derechos dentro y fuera  de la Institución educativa.</v>
      </c>
    </row>
    <row r="8" spans="1:166">
      <c r="A8" s="5">
        <v>7</v>
      </c>
      <c r="B8" s="5" t="s">
        <v>182</v>
      </c>
      <c r="C8" s="6">
        <v>1046713686</v>
      </c>
      <c r="D8" s="5" t="s">
        <v>176</v>
      </c>
      <c r="E8" s="5" t="s">
        <v>177</v>
      </c>
      <c r="F8" s="5" t="s">
        <v>70</v>
      </c>
      <c r="G8" s="5" t="s">
        <v>71</v>
      </c>
      <c r="H8" s="5">
        <v>2026</v>
      </c>
      <c r="I8" s="5">
        <v>4</v>
      </c>
      <c r="J8" s="7">
        <v>3</v>
      </c>
      <c r="K8" s="7">
        <v>3</v>
      </c>
      <c r="L8" s="7">
        <v>3</v>
      </c>
      <c r="M8" s="5">
        <f t="shared" si="41"/>
        <v>3</v>
      </c>
      <c r="N8" s="5" t="str">
        <f t="shared" si="1"/>
        <v>BASICO</v>
      </c>
      <c r="O8" s="5">
        <v>1</v>
      </c>
      <c r="P8" s="7">
        <v>3.8</v>
      </c>
      <c r="Q8" s="7">
        <v>4</v>
      </c>
      <c r="R8" s="7">
        <v>4.5</v>
      </c>
      <c r="S8" s="5">
        <f t="shared" si="2"/>
        <v>4.09</v>
      </c>
      <c r="T8" s="5" t="str">
        <f t="shared" si="3"/>
        <v>ALTO</v>
      </c>
      <c r="U8" s="5">
        <v>4</v>
      </c>
      <c r="V8" s="7">
        <v>4.5</v>
      </c>
      <c r="W8" s="7">
        <v>4.5</v>
      </c>
      <c r="X8" s="7">
        <v>4</v>
      </c>
      <c r="Y8" s="5">
        <f t="shared" si="4"/>
        <v>4.3499999999999996</v>
      </c>
      <c r="Z8" s="5" t="str">
        <f t="shared" si="5"/>
        <v>ALTO</v>
      </c>
      <c r="AA8" s="5">
        <v>1</v>
      </c>
      <c r="AB8" s="7">
        <v>4.5999999999999996</v>
      </c>
      <c r="AC8" s="7">
        <v>4.5999999999999996</v>
      </c>
      <c r="AD8" s="7">
        <v>4.5999999999999996</v>
      </c>
      <c r="AE8" s="5">
        <f t="shared" si="6"/>
        <v>4.5999999999999996</v>
      </c>
      <c r="AF8" s="5" t="str">
        <f t="shared" si="7"/>
        <v>SUPERIOR</v>
      </c>
      <c r="AG8" s="5">
        <v>2</v>
      </c>
      <c r="AH8" s="8">
        <v>4</v>
      </c>
      <c r="AI8" s="8">
        <v>4</v>
      </c>
      <c r="AJ8" s="8">
        <v>4</v>
      </c>
      <c r="AK8" s="5">
        <f t="shared" si="8"/>
        <v>4</v>
      </c>
      <c r="AL8" s="5" t="str">
        <f t="shared" si="9"/>
        <v>ALTO</v>
      </c>
      <c r="AM8" s="5">
        <v>1</v>
      </c>
      <c r="AN8" s="8">
        <v>4</v>
      </c>
      <c r="AO8" s="8">
        <v>4</v>
      </c>
      <c r="AP8" s="8">
        <v>4</v>
      </c>
      <c r="AQ8" s="5">
        <f t="shared" si="10"/>
        <v>4</v>
      </c>
      <c r="AR8" s="5" t="str">
        <f t="shared" si="11"/>
        <v>ALTO</v>
      </c>
      <c r="AS8" s="5">
        <v>4</v>
      </c>
      <c r="AT8" s="7">
        <v>3.3</v>
      </c>
      <c r="AU8" s="7">
        <v>3.3</v>
      </c>
      <c r="AV8" s="7">
        <v>3.3</v>
      </c>
      <c r="AW8" s="5">
        <f t="shared" si="12"/>
        <v>3.3</v>
      </c>
      <c r="AX8" s="5" t="str">
        <f t="shared" si="13"/>
        <v>BASICO</v>
      </c>
      <c r="AY8" s="5">
        <v>1</v>
      </c>
      <c r="AZ8" s="7">
        <v>5</v>
      </c>
      <c r="BA8" s="7">
        <v>5</v>
      </c>
      <c r="BB8" s="7">
        <v>5</v>
      </c>
      <c r="BC8" s="5">
        <f t="shared" si="14"/>
        <v>5</v>
      </c>
      <c r="BD8" s="5" t="str">
        <f t="shared" si="15"/>
        <v>SUPERIOR</v>
      </c>
      <c r="BE8" s="7">
        <v>2</v>
      </c>
      <c r="BF8" s="7">
        <v>3.4</v>
      </c>
      <c r="BG8" s="7">
        <v>3.3</v>
      </c>
      <c r="BH8" s="7">
        <v>3.8</v>
      </c>
      <c r="BI8" s="5">
        <f t="shared" si="16"/>
        <v>3.4799999999999995</v>
      </c>
      <c r="BJ8" s="5" t="str">
        <f t="shared" si="17"/>
        <v>BASICO</v>
      </c>
      <c r="BK8" s="5">
        <v>1</v>
      </c>
      <c r="BL8" s="7">
        <v>3.4</v>
      </c>
      <c r="BM8" s="7">
        <v>3.3</v>
      </c>
      <c r="BN8" s="7">
        <v>3.8</v>
      </c>
      <c r="BO8" s="5">
        <f t="shared" si="18"/>
        <v>3.4799999999999995</v>
      </c>
      <c r="BP8" s="5" t="str">
        <f t="shared" si="19"/>
        <v>BASICO</v>
      </c>
      <c r="BQ8" s="5">
        <v>1</v>
      </c>
      <c r="BR8" s="7">
        <v>3.3</v>
      </c>
      <c r="BS8" s="7">
        <v>3.6</v>
      </c>
      <c r="BT8" s="7">
        <v>3.8</v>
      </c>
      <c r="BU8" s="5">
        <f t="shared" si="20"/>
        <v>3.5700000000000003</v>
      </c>
      <c r="BV8" s="5" t="str">
        <f t="shared" si="21"/>
        <v>BASICO</v>
      </c>
      <c r="BW8" s="5">
        <v>1</v>
      </c>
      <c r="BX8" s="7">
        <v>3.3</v>
      </c>
      <c r="BY8" s="22">
        <v>46237</v>
      </c>
      <c r="BZ8" s="7">
        <v>3.6</v>
      </c>
      <c r="CA8" s="23">
        <f t="shared" si="22"/>
        <v>18496.870000000003</v>
      </c>
      <c r="CB8" s="5" t="b">
        <f t="shared" si="23"/>
        <v>0</v>
      </c>
      <c r="CC8" s="5">
        <v>1</v>
      </c>
      <c r="CD8" s="7">
        <v>4</v>
      </c>
      <c r="CE8" s="7">
        <v>3.8</v>
      </c>
      <c r="CF8" s="7">
        <v>3.8</v>
      </c>
      <c r="CG8" s="5">
        <f t="shared" si="24"/>
        <v>3.8599999999999994</v>
      </c>
      <c r="CH8" s="5" t="str">
        <f t="shared" si="25"/>
        <v>BASICO</v>
      </c>
      <c r="CI8" s="5">
        <v>1</v>
      </c>
      <c r="CJ8" s="7">
        <v>4.5</v>
      </c>
      <c r="CK8" s="7">
        <v>4.5</v>
      </c>
      <c r="CL8" s="7">
        <v>4.4000000000000004</v>
      </c>
      <c r="CM8" s="5">
        <f t="shared" si="26"/>
        <v>4.47</v>
      </c>
      <c r="CN8" s="5" t="str">
        <f t="shared" si="27"/>
        <v>ALTO</v>
      </c>
      <c r="CO8" s="5">
        <v>1</v>
      </c>
      <c r="CP8" s="7">
        <v>5</v>
      </c>
      <c r="CQ8" s="7">
        <v>5</v>
      </c>
      <c r="CR8" s="7">
        <v>5</v>
      </c>
      <c r="CS8" s="5">
        <f t="shared" si="28"/>
        <v>5</v>
      </c>
      <c r="CT8" s="5" t="str">
        <f t="shared" si="29"/>
        <v>SUPERIOR</v>
      </c>
      <c r="CU8" s="5">
        <v>2</v>
      </c>
      <c r="CV8" s="7">
        <v>3.8</v>
      </c>
      <c r="CW8" s="7">
        <v>3.8</v>
      </c>
      <c r="CX8" s="7">
        <v>3.8</v>
      </c>
      <c r="CY8" s="5">
        <f t="shared" si="30"/>
        <v>3.8</v>
      </c>
      <c r="CZ8" s="5" t="str">
        <f t="shared" si="31"/>
        <v>BASICO</v>
      </c>
      <c r="DA8" s="5">
        <v>2</v>
      </c>
      <c r="DB8" s="7">
        <v>3</v>
      </c>
      <c r="DC8" s="7">
        <v>3</v>
      </c>
      <c r="DD8" s="7">
        <v>3.5</v>
      </c>
      <c r="DE8" s="5">
        <f t="shared" si="32"/>
        <v>3.1500000000000004</v>
      </c>
      <c r="DF8" s="5" t="str">
        <f t="shared" si="33"/>
        <v>BASICO</v>
      </c>
      <c r="DG8" s="5">
        <v>0</v>
      </c>
      <c r="DH8" s="7">
        <v>4.5</v>
      </c>
      <c r="DI8" s="5" t="str">
        <f t="shared" si="34"/>
        <v>SUPERIOR</v>
      </c>
      <c r="DJ8" s="5">
        <f t="shared" si="35"/>
        <v>1091.8205882352943</v>
      </c>
      <c r="DK8" s="5" t="str">
        <f t="shared" si="36"/>
        <v>Comprende el concepto de números reales, su relación de orden y las propiedades de sus operaciones, así como las relaciones de semejanza y congruencia de distintas figuras geométricas.</v>
      </c>
      <c r="DL8" s="5" t="str">
        <f t="shared" ref="DL8:FJ8" si="43">DL7</f>
        <v>Aplica correctamente las propiedades de las operaciones de números reales y expresiones algebraicas en la resolución de problemas.</v>
      </c>
      <c r="DM8" s="5" t="str">
        <f t="shared" si="43"/>
        <v>Valora el uso del pensamiento lógico a la hora de plantear y resolver problemas de las matemáticas y de la vida cotidiana.</v>
      </c>
      <c r="DN8" s="5" t="str">
        <f t="shared" si="4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8" s="5" t="str">
        <f t="shared" si="43"/>
        <v>Organiza y analiza datos mediante la construcción de tablas de frecuencias y diagramas estadísticos, identificando variables aleatorias y utilizando estas representaciones para resolver situaciones problema.</v>
      </c>
      <c r="DP8" s="5" t="str">
        <f t="shared" si="43"/>
        <v>Muestra disposición y responsabilidad en el manejo y análisis de datos, participando activamente en actividades individuales y colaborativas, y comunicando información estadística con claridad y sentido crítico.</v>
      </c>
      <c r="DQ8" s="5" t="str">
        <f t="shared" si="43"/>
        <v>Analiza las características de la literatura prehispánica y la literatura del descubrimiento y la conquista en Colombia identificando sus elementos fundamentales y su impacto en la cultura y el lenguaje actual.</v>
      </c>
      <c r="DR8" s="5" t="str">
        <f t="shared" si="43"/>
        <v>Realiza comprensión lectora cuando analiza un texto desde el discurso de la Enunciación e identifica la función de cada uno de sus componentes.
Responde preguntas en los tres niveles de lectura a una leyenda del Caribe.</v>
      </c>
      <c r="DS8" s="5" t="str">
        <f t="shared" si="43"/>
        <v>Muestra disposición para participar activamente en las clases, promoviendo el respeto por las ideas ajenas y reconociendo la importancia de la precisión como una herramienta clave para una comunicación</v>
      </c>
      <c r="DT8" s="5" t="str">
        <f t="shared" si="43"/>
        <v>Comprende el contenido del cuento A la deriva, identificando su tema central, la secuencia de los hechos, los personajes y las ideas explícitas e implícitas del texto.</v>
      </c>
      <c r="DU8" s="5" t="str">
        <f t="shared" si="43"/>
        <v>Analiza críticamente el cuento A la deriva mediante la identificación de información literal, inferencial y crítica, sustentando sus respuestas de forma oral y escrita.</v>
      </c>
      <c r="DV8" s="5" t="str">
        <f t="shared" si="43"/>
        <v>Valora la lectura literaria como una oportunidad para reflexionar sobre la vida, la naturaleza y la condición humana, participando con interés, respeto y sentido crítico en las actividades propuestas.</v>
      </c>
      <c r="DW8" s="5" t="str">
        <f t="shared" si="43"/>
        <v>Comprende y reconoce vocabulario y estructuras basicas del ingles para interpretar textos cortos y conversaciones sobre temas cotidianos de la vida diaria.</v>
      </c>
      <c r="DX8" s="5" t="str">
        <f t="shared" si="43"/>
        <v>Produce de forma oral y escrita frases y parrafos cortos en Ingles, utilizando correctamente las estructuras conocidas para describir rutinas, narrar experiencias y participar en conversaciones.</v>
      </c>
      <c r="DY8" s="5" t="str">
        <f t="shared" si="43"/>
        <v>Muestra disposicion positiva hacia el aprendizaje del Ingles participando activamente en clase.</v>
      </c>
      <c r="DZ8" s="5" t="str">
        <f t="shared" si="43"/>
        <v>Identifica vocabulario en Ingles  de situaciones cotidianas.</v>
      </c>
      <c r="EA8" s="5" t="str">
        <f t="shared" si="43"/>
        <v>Participa en actividades utilizando vocabulario aprendido para expresar gustos,emociones y necesidades.</v>
      </c>
      <c r="EB8" s="5" t="str">
        <f t="shared" si="43"/>
        <v>Respeta la opinion de los demas, muestra disposicion para participar en actividades orales.</v>
      </c>
      <c r="EC8" s="5" t="str">
        <f t="shared" si="43"/>
        <v>Identifica la conformación y funcionamiento del sistema inmunolófico y diferencia las característics de los estados de la materia.</v>
      </c>
      <c r="ED8" s="5" t="str">
        <f t="shared" si="43"/>
        <v>Reconoce experimentalmente las características de materiales en los diferentes estados de la materia.</v>
      </c>
      <c r="EE8" s="5" t="str">
        <f t="shared" si="43"/>
        <v xml:space="preserve">Valora la importancia de tener habitos saludables, para lograr el mantenimiento saludable del sistema inmune. </v>
      </c>
      <c r="EF8" s="5" t="str">
        <f t="shared" si="43"/>
        <v>Describe correctamente la secuencia de eventos biologicos de la fecundacion,incluyendo las recciones acrosomicas,la funcion de gametos y la formacion de gametos.</v>
      </c>
      <c r="EG8" s="5" t="str">
        <f t="shared" si="43"/>
        <v>Mide la capacidad del labolatrio para lograr la fecundacion exitosa de los ovulos con el espermatozoide.</v>
      </c>
      <c r="EH8" s="5" t="str">
        <f t="shared" si="43"/>
        <v>Valora la importancia del cuidado del cuerpo y de la salud reproductiva como la base para una fecundacion saludable.</v>
      </c>
      <c r="EI8" s="5" t="str">
        <f t="shared" si="43"/>
        <v>Explico las principales caracteristicas de algunas revoluciones de los siglos XVIII y XIX (Revolucion francesa, Industrial...)</v>
      </c>
      <c r="EJ8" s="5" t="str">
        <f t="shared" si="43"/>
        <v>Analiza las causas y consecuencias de procesos historicos como la Revolucion Industrial y Francesa.</v>
      </c>
      <c r="EK8" s="5" t="str">
        <f t="shared" si="43"/>
        <v>Muestra interes y curiosidad por comprender los procesos historicos y su impacto en la sociedad.</v>
      </c>
      <c r="EL8" s="5" t="str">
        <f t="shared" si="43"/>
        <v xml:space="preserve">Identifica los procesos historicos de algunas revoluciones de los siglos XVIII y XIX </v>
      </c>
      <c r="EM8" s="5">
        <f t="shared" si="43"/>
        <v>0</v>
      </c>
      <c r="EN8" s="5">
        <f t="shared" si="43"/>
        <v>0</v>
      </c>
      <c r="EO8" s="5" t="str">
        <f t="shared" si="43"/>
        <v xml:space="preserve">Comprende la distribucion espacial de la poblacion antes y despues de las revoluciones </v>
      </c>
      <c r="EP8" s="5" t="str">
        <f t="shared" si="43"/>
        <v xml:space="preserve">Ubica en mapas las regiones donde se desarrollaron las principales revoluciones y explica sus caracteristicas geograficas </v>
      </c>
      <c r="EQ8" s="5" t="str">
        <f t="shared" si="43"/>
        <v>Muestra interes por comprender la relacion entre sociedad, economia y territorio</v>
      </c>
      <c r="ER8" s="5" t="str">
        <f t="shared" si="43"/>
        <v>Comprende el concepto de cultura de paz y su importancia en la sociedad</v>
      </c>
      <c r="ES8" s="5" t="str">
        <f t="shared" si="43"/>
        <v>Practica normas de convivencia en diferentes espacios( aula, hogar, comunidad)</v>
      </c>
      <c r="ET8" s="5" t="str">
        <f t="shared" si="43"/>
        <v>Muestra actitud de respeto hacia la diversidad cuktural, social y de pensamiento</v>
      </c>
      <c r="EU8" s="5">
        <f t="shared" si="43"/>
        <v>0</v>
      </c>
      <c r="EV8" s="5">
        <f t="shared" si="43"/>
        <v>0</v>
      </c>
      <c r="EW8" s="5">
        <f t="shared" si="43"/>
        <v>0</v>
      </c>
      <c r="EX8" s="5">
        <f t="shared" si="43"/>
        <v>0</v>
      </c>
      <c r="EY8" s="5">
        <f t="shared" si="43"/>
        <v>0</v>
      </c>
      <c r="EZ8" s="5">
        <f t="shared" si="43"/>
        <v>0</v>
      </c>
      <c r="FA8" s="5">
        <f t="shared" si="43"/>
        <v>0</v>
      </c>
      <c r="FB8" s="5">
        <f t="shared" si="43"/>
        <v>0</v>
      </c>
      <c r="FC8" s="5">
        <f t="shared" si="43"/>
        <v>0</v>
      </c>
      <c r="FD8" s="5" t="str">
        <f t="shared" si="43"/>
        <v xml:space="preserve"> Identifica las expresiones motrices relacionadas con el juego del voleibol,  como una oportunidad para mejorar la salud, la estética y las relaciones con los demás.</v>
      </c>
      <c r="FE8" s="5" t="str">
        <f t="shared" si="43"/>
        <v>Pone en práctica los fundamentos básicos del voleibol.</v>
      </c>
      <c r="FF8" s="5" t="str">
        <f t="shared" si="43"/>
        <v>Muestra  responsabilidad y buena actitud al realizar el juego de voleibol.</v>
      </c>
      <c r="FG8" s="5" t="str">
        <f t="shared" si="43"/>
        <v>Comprende el concepto de variable como espacio de almacenamiento de datos y reconoce el uso de estructuras condicionales (si, si-no) para la toma de decisiones en un programa.</v>
      </c>
      <c r="FH8" s="5" t="str">
        <f t="shared" si="43"/>
        <v>Diseña y desarrolla programas que utilizan variables y estructuras condicionales para resolver problemas, evaluando condiciones y generando respuestas según diferentes situaciones.</v>
      </c>
      <c r="FI8" s="5" t="str">
        <f t="shared" si="43"/>
        <v>Muestra pensamiento lógico, perseverancia y actitud crítica al analizar errores y proponer soluciones en la construcción de programas con variables y condicionales.</v>
      </c>
      <c r="FJ8" s="5" t="str">
        <f t="shared" si="43"/>
        <v>Identifica y reconoce sus pricipales deberes y derechos dentro y fuera  de la Institución educativa.</v>
      </c>
    </row>
    <row r="9" spans="1:166">
      <c r="A9" s="5">
        <v>8</v>
      </c>
      <c r="B9" s="5" t="s">
        <v>183</v>
      </c>
      <c r="C9" s="6">
        <v>1143138448</v>
      </c>
      <c r="D9" s="5" t="s">
        <v>176</v>
      </c>
      <c r="E9" s="5" t="s">
        <v>177</v>
      </c>
      <c r="F9" s="5" t="s">
        <v>70</v>
      </c>
      <c r="G9" s="5" t="s">
        <v>71</v>
      </c>
      <c r="H9" s="5">
        <v>2026</v>
      </c>
      <c r="I9" s="5">
        <v>4</v>
      </c>
      <c r="J9" s="7">
        <v>3.3</v>
      </c>
      <c r="K9" s="7">
        <v>3.4</v>
      </c>
      <c r="L9" s="7">
        <v>3.5</v>
      </c>
      <c r="M9" s="5">
        <f t="shared" si="41"/>
        <v>3.4000000000000004</v>
      </c>
      <c r="N9" s="5" t="str">
        <f t="shared" si="1"/>
        <v>BASICO</v>
      </c>
      <c r="O9" s="5">
        <v>1</v>
      </c>
      <c r="P9" s="7">
        <v>4</v>
      </c>
      <c r="Q9" s="7">
        <v>4</v>
      </c>
      <c r="R9" s="7">
        <v>4</v>
      </c>
      <c r="S9" s="5">
        <f t="shared" si="2"/>
        <v>4</v>
      </c>
      <c r="T9" s="5" t="str">
        <f t="shared" si="3"/>
        <v>ALTO</v>
      </c>
      <c r="U9" s="5">
        <v>4</v>
      </c>
      <c r="V9" s="7">
        <v>4</v>
      </c>
      <c r="W9" s="7">
        <v>4</v>
      </c>
      <c r="X9" s="7">
        <v>4</v>
      </c>
      <c r="Y9" s="5">
        <f t="shared" si="4"/>
        <v>4</v>
      </c>
      <c r="Z9" s="5" t="str">
        <f t="shared" si="5"/>
        <v>ALTO</v>
      </c>
      <c r="AA9" s="5">
        <v>1</v>
      </c>
      <c r="AB9" s="7">
        <v>2</v>
      </c>
      <c r="AC9" s="7">
        <v>2</v>
      </c>
      <c r="AD9" s="7">
        <v>2</v>
      </c>
      <c r="AE9" s="5">
        <f t="shared" si="6"/>
        <v>2</v>
      </c>
      <c r="AF9" s="5" t="str">
        <f t="shared" si="7"/>
        <v>BAJO</v>
      </c>
      <c r="AG9" s="5">
        <v>2</v>
      </c>
      <c r="AH9" s="8">
        <v>3.5</v>
      </c>
      <c r="AI9" s="8">
        <v>3.5</v>
      </c>
      <c r="AJ9" s="8">
        <v>3.5</v>
      </c>
      <c r="AK9" s="5">
        <f t="shared" si="8"/>
        <v>3.5</v>
      </c>
      <c r="AL9" s="5" t="str">
        <f t="shared" si="9"/>
        <v>BASICO</v>
      </c>
      <c r="AM9" s="5">
        <v>1</v>
      </c>
      <c r="AN9" s="8">
        <v>3.5</v>
      </c>
      <c r="AO9" s="8">
        <v>3.5</v>
      </c>
      <c r="AP9" s="8">
        <v>3.5</v>
      </c>
      <c r="AQ9" s="5">
        <f t="shared" si="10"/>
        <v>3.5</v>
      </c>
      <c r="AR9" s="5" t="str">
        <f t="shared" si="11"/>
        <v>BASICO</v>
      </c>
      <c r="AS9" s="5">
        <v>4</v>
      </c>
      <c r="AT9" s="7">
        <v>3.5</v>
      </c>
      <c r="AU9" s="7">
        <v>3.5</v>
      </c>
      <c r="AV9" s="7">
        <v>3.5</v>
      </c>
      <c r="AW9" s="5">
        <f t="shared" si="12"/>
        <v>3.5</v>
      </c>
      <c r="AX9" s="5" t="str">
        <f t="shared" si="13"/>
        <v>BASICO</v>
      </c>
      <c r="AY9" s="5">
        <v>1</v>
      </c>
      <c r="AZ9" s="7">
        <v>4</v>
      </c>
      <c r="BA9" s="7">
        <v>4</v>
      </c>
      <c r="BB9" s="7">
        <v>4</v>
      </c>
      <c r="BC9" s="5">
        <f t="shared" si="14"/>
        <v>4</v>
      </c>
      <c r="BD9" s="5" t="str">
        <f t="shared" si="15"/>
        <v>ALTO</v>
      </c>
      <c r="BE9" s="7">
        <v>2</v>
      </c>
      <c r="BF9" s="7">
        <v>2.5</v>
      </c>
      <c r="BG9" s="7">
        <v>2.6</v>
      </c>
      <c r="BH9" s="7">
        <v>2.8</v>
      </c>
      <c r="BI9" s="5">
        <f t="shared" si="16"/>
        <v>2.63</v>
      </c>
      <c r="BJ9" s="5" t="str">
        <f t="shared" si="17"/>
        <v>BAJO</v>
      </c>
      <c r="BK9" s="5">
        <v>1</v>
      </c>
      <c r="BL9" s="7">
        <v>2.6</v>
      </c>
      <c r="BM9" s="7">
        <v>2.8</v>
      </c>
      <c r="BN9" s="7">
        <v>2.5</v>
      </c>
      <c r="BO9" s="5">
        <f t="shared" si="18"/>
        <v>2.65</v>
      </c>
      <c r="BP9" s="5" t="str">
        <f t="shared" si="19"/>
        <v>BAJO</v>
      </c>
      <c r="BQ9" s="5">
        <v>1</v>
      </c>
      <c r="BR9" s="7">
        <v>2.2000000000000002</v>
      </c>
      <c r="BS9" s="7">
        <v>2.8</v>
      </c>
      <c r="BT9" s="7">
        <v>2.8</v>
      </c>
      <c r="BU9" s="5">
        <f t="shared" si="20"/>
        <v>2.6199999999999997</v>
      </c>
      <c r="BV9" s="5" t="str">
        <f t="shared" si="21"/>
        <v>BAJO</v>
      </c>
      <c r="BW9" s="5">
        <v>1</v>
      </c>
      <c r="BX9" s="7">
        <v>2.5</v>
      </c>
      <c r="BY9" s="7">
        <v>2.6</v>
      </c>
      <c r="BZ9" s="7">
        <v>2.8</v>
      </c>
      <c r="CA9" s="5">
        <f t="shared" si="22"/>
        <v>2.63</v>
      </c>
      <c r="CB9" s="5" t="str">
        <f t="shared" si="23"/>
        <v>BAJO</v>
      </c>
      <c r="CC9" s="5">
        <v>1</v>
      </c>
      <c r="CD9" s="7">
        <v>2</v>
      </c>
      <c r="CE9" s="7">
        <v>2</v>
      </c>
      <c r="CF9" s="7">
        <v>2</v>
      </c>
      <c r="CG9" s="5">
        <f t="shared" si="24"/>
        <v>2</v>
      </c>
      <c r="CH9" s="5" t="str">
        <f t="shared" si="25"/>
        <v>BAJO</v>
      </c>
      <c r="CI9" s="5">
        <v>1</v>
      </c>
      <c r="CJ9" s="7">
        <v>4.5999999999999996</v>
      </c>
      <c r="CK9" s="7">
        <v>4.5999999999999996</v>
      </c>
      <c r="CL9" s="7">
        <v>4.5999999999999996</v>
      </c>
      <c r="CM9" s="5">
        <f t="shared" si="26"/>
        <v>4.5999999999999996</v>
      </c>
      <c r="CN9" s="5" t="str">
        <f t="shared" si="27"/>
        <v>SUPERIOR</v>
      </c>
      <c r="CO9" s="5">
        <v>1</v>
      </c>
      <c r="CP9" s="7">
        <v>5</v>
      </c>
      <c r="CQ9" s="7">
        <v>5</v>
      </c>
      <c r="CR9" s="7">
        <v>5</v>
      </c>
      <c r="CS9" s="5">
        <f t="shared" si="28"/>
        <v>5</v>
      </c>
      <c r="CT9" s="5" t="str">
        <f t="shared" si="29"/>
        <v>SUPERIOR</v>
      </c>
      <c r="CU9" s="5">
        <v>2</v>
      </c>
      <c r="CV9" s="7">
        <v>3</v>
      </c>
      <c r="CW9" s="7">
        <v>3</v>
      </c>
      <c r="CX9" s="7">
        <v>3</v>
      </c>
      <c r="CY9" s="5">
        <f t="shared" si="30"/>
        <v>3</v>
      </c>
      <c r="CZ9" s="5" t="str">
        <f t="shared" si="31"/>
        <v>BASICO</v>
      </c>
      <c r="DA9" s="5">
        <v>2</v>
      </c>
      <c r="DB9" s="7">
        <v>3</v>
      </c>
      <c r="DC9" s="7">
        <v>3</v>
      </c>
      <c r="DD9" s="7">
        <v>3.5</v>
      </c>
      <c r="DE9" s="5">
        <f t="shared" si="32"/>
        <v>3.1500000000000004</v>
      </c>
      <c r="DF9" s="5" t="str">
        <f t="shared" si="33"/>
        <v>BASICO</v>
      </c>
      <c r="DG9" s="5">
        <v>0</v>
      </c>
      <c r="DH9" s="7">
        <v>3.5</v>
      </c>
      <c r="DI9" s="5" t="str">
        <f t="shared" si="34"/>
        <v>BASICO</v>
      </c>
      <c r="DJ9" s="5">
        <f t="shared" si="35"/>
        <v>3.3564705882352937</v>
      </c>
      <c r="DK9" s="5" t="str">
        <f t="shared" si="36"/>
        <v>Comprende el concepto de números reales, su relación de orden y las propiedades de sus operaciones, así como las relaciones de semejanza y congruencia de distintas figuras geométricas.</v>
      </c>
      <c r="DL9" s="5" t="str">
        <f t="shared" ref="DL9:FJ9" si="44">DL8</f>
        <v>Aplica correctamente las propiedades de las operaciones de números reales y expresiones algebraicas en la resolución de problemas.</v>
      </c>
      <c r="DM9" s="5" t="str">
        <f t="shared" si="44"/>
        <v>Valora el uso del pensamiento lógico a la hora de plantear y resolver problemas de las matemáticas y de la vida cotidiana.</v>
      </c>
      <c r="DN9" s="5" t="str">
        <f t="shared" si="4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9" s="5" t="str">
        <f t="shared" si="44"/>
        <v>Organiza y analiza datos mediante la construcción de tablas de frecuencias y diagramas estadísticos, identificando variables aleatorias y utilizando estas representaciones para resolver situaciones problema.</v>
      </c>
      <c r="DP9" s="5" t="str">
        <f t="shared" si="44"/>
        <v>Muestra disposición y responsabilidad en el manejo y análisis de datos, participando activamente en actividades individuales y colaborativas, y comunicando información estadística con claridad y sentido crítico.</v>
      </c>
      <c r="DQ9" s="5" t="str">
        <f t="shared" si="44"/>
        <v>Analiza las características de la literatura prehispánica y la literatura del descubrimiento y la conquista en Colombia identificando sus elementos fundamentales y su impacto en la cultura y el lenguaje actual.</v>
      </c>
      <c r="DR9" s="5" t="str">
        <f t="shared" si="44"/>
        <v>Realiza comprensión lectora cuando analiza un texto desde el discurso de la Enunciación e identifica la función de cada uno de sus componentes.
Responde preguntas en los tres niveles de lectura a una leyenda del Caribe.</v>
      </c>
      <c r="DS9" s="5" t="str">
        <f t="shared" si="44"/>
        <v>Muestra disposición para participar activamente en las clases, promoviendo el respeto por las ideas ajenas y reconociendo la importancia de la precisión como una herramienta clave para una comunicación</v>
      </c>
      <c r="DT9" s="5" t="str">
        <f t="shared" si="44"/>
        <v>Comprende el contenido del cuento A la deriva, identificando su tema central, la secuencia de los hechos, los personajes y las ideas explícitas e implícitas del texto.</v>
      </c>
      <c r="DU9" s="5" t="str">
        <f t="shared" si="44"/>
        <v>Analiza críticamente el cuento A la deriva mediante la identificación de información literal, inferencial y crítica, sustentando sus respuestas de forma oral y escrita.</v>
      </c>
      <c r="DV9" s="5" t="str">
        <f t="shared" si="44"/>
        <v>Valora la lectura literaria como una oportunidad para reflexionar sobre la vida, la naturaleza y la condición humana, participando con interés, respeto y sentido crítico en las actividades propuestas.</v>
      </c>
      <c r="DW9" s="5" t="str">
        <f t="shared" si="44"/>
        <v>Comprende y reconoce vocabulario y estructuras basicas del ingles para interpretar textos cortos y conversaciones sobre temas cotidianos de la vida diaria.</v>
      </c>
      <c r="DX9" s="5" t="str">
        <f t="shared" si="44"/>
        <v>Produce de forma oral y escrita frases y parrafos cortos en Ingles, utilizando correctamente las estructuras conocidas para describir rutinas, narrar experiencias y participar en conversaciones.</v>
      </c>
      <c r="DY9" s="5" t="str">
        <f t="shared" si="44"/>
        <v>Muestra disposicion positiva hacia el aprendizaje del Ingles participando activamente en clase.</v>
      </c>
      <c r="DZ9" s="5" t="str">
        <f t="shared" si="44"/>
        <v>Identifica vocabulario en Ingles  de situaciones cotidianas.</v>
      </c>
      <c r="EA9" s="5" t="str">
        <f t="shared" si="44"/>
        <v>Participa en actividades utilizando vocabulario aprendido para expresar gustos,emociones y necesidades.</v>
      </c>
      <c r="EB9" s="5" t="str">
        <f t="shared" si="44"/>
        <v>Respeta la opinion de los demas, muestra disposicion para participar en actividades orales.</v>
      </c>
      <c r="EC9" s="5" t="str">
        <f t="shared" si="44"/>
        <v>Identifica la conformación y funcionamiento del sistema inmunolófico y diferencia las característics de los estados de la materia.</v>
      </c>
      <c r="ED9" s="5" t="str">
        <f t="shared" si="44"/>
        <v>Reconoce experimentalmente las características de materiales en los diferentes estados de la materia.</v>
      </c>
      <c r="EE9" s="5" t="str">
        <f t="shared" si="44"/>
        <v xml:space="preserve">Valora la importancia de tener habitos saludables, para lograr el mantenimiento saludable del sistema inmune. </v>
      </c>
      <c r="EF9" s="5" t="str">
        <f t="shared" si="44"/>
        <v>Describe correctamente la secuencia de eventos biologicos de la fecundacion,incluyendo las recciones acrosomicas,la funcion de gametos y la formacion de gametos.</v>
      </c>
      <c r="EG9" s="5" t="str">
        <f t="shared" si="44"/>
        <v>Mide la capacidad del labolatrio para lograr la fecundacion exitosa de los ovulos con el espermatozoide.</v>
      </c>
      <c r="EH9" s="5" t="str">
        <f t="shared" si="44"/>
        <v>Valora la importancia del cuidado del cuerpo y de la salud reproductiva como la base para una fecundacion saludable.</v>
      </c>
      <c r="EI9" s="5" t="str">
        <f t="shared" si="44"/>
        <v>Explico las principales caracteristicas de algunas revoluciones de los siglos XVIII y XIX (Revolucion francesa, Industrial...)</v>
      </c>
      <c r="EJ9" s="5" t="str">
        <f t="shared" si="44"/>
        <v>Analiza las causas y consecuencias de procesos historicos como la Revolucion Industrial y Francesa.</v>
      </c>
      <c r="EK9" s="5" t="str">
        <f t="shared" si="44"/>
        <v>Muestra interes y curiosidad por comprender los procesos historicos y su impacto en la sociedad.</v>
      </c>
      <c r="EL9" s="5" t="str">
        <f t="shared" si="44"/>
        <v xml:space="preserve">Identifica los procesos historicos de algunas revoluciones de los siglos XVIII y XIX </v>
      </c>
      <c r="EM9" s="5">
        <f t="shared" si="44"/>
        <v>0</v>
      </c>
      <c r="EN9" s="5">
        <f t="shared" si="44"/>
        <v>0</v>
      </c>
      <c r="EO9" s="5" t="str">
        <f t="shared" si="44"/>
        <v xml:space="preserve">Comprende la distribucion espacial de la poblacion antes y despues de las revoluciones </v>
      </c>
      <c r="EP9" s="5" t="str">
        <f t="shared" si="44"/>
        <v xml:space="preserve">Ubica en mapas las regiones donde se desarrollaron las principales revoluciones y explica sus caracteristicas geograficas </v>
      </c>
      <c r="EQ9" s="5" t="str">
        <f t="shared" si="44"/>
        <v>Muestra interes por comprender la relacion entre sociedad, economia y territorio</v>
      </c>
      <c r="ER9" s="5" t="str">
        <f t="shared" si="44"/>
        <v>Comprende el concepto de cultura de paz y su importancia en la sociedad</v>
      </c>
      <c r="ES9" s="5" t="str">
        <f t="shared" si="44"/>
        <v>Practica normas de convivencia en diferentes espacios( aula, hogar, comunidad)</v>
      </c>
      <c r="ET9" s="5" t="str">
        <f t="shared" si="44"/>
        <v>Muestra actitud de respeto hacia la diversidad cuktural, social y de pensamiento</v>
      </c>
      <c r="EU9" s="5">
        <f t="shared" si="44"/>
        <v>0</v>
      </c>
      <c r="EV9" s="5">
        <f t="shared" si="44"/>
        <v>0</v>
      </c>
      <c r="EW9" s="5">
        <f t="shared" si="44"/>
        <v>0</v>
      </c>
      <c r="EX9" s="5">
        <f t="shared" si="44"/>
        <v>0</v>
      </c>
      <c r="EY9" s="5">
        <f t="shared" si="44"/>
        <v>0</v>
      </c>
      <c r="EZ9" s="5">
        <f t="shared" si="44"/>
        <v>0</v>
      </c>
      <c r="FA9" s="5">
        <f t="shared" si="44"/>
        <v>0</v>
      </c>
      <c r="FB9" s="5">
        <f t="shared" si="44"/>
        <v>0</v>
      </c>
      <c r="FC9" s="5">
        <f t="shared" si="44"/>
        <v>0</v>
      </c>
      <c r="FD9" s="5" t="str">
        <f t="shared" si="44"/>
        <v xml:space="preserve"> Identifica las expresiones motrices relacionadas con el juego del voleibol,  como una oportunidad para mejorar la salud, la estética y las relaciones con los demás.</v>
      </c>
      <c r="FE9" s="5" t="str">
        <f t="shared" si="44"/>
        <v>Pone en práctica los fundamentos básicos del voleibol.</v>
      </c>
      <c r="FF9" s="5" t="str">
        <f t="shared" si="44"/>
        <v>Muestra  responsabilidad y buena actitud al realizar el juego de voleibol.</v>
      </c>
      <c r="FG9" s="5" t="str">
        <f t="shared" si="44"/>
        <v>Comprende el concepto de variable como espacio de almacenamiento de datos y reconoce el uso de estructuras condicionales (si, si-no) para la toma de decisiones en un programa.</v>
      </c>
      <c r="FH9" s="5" t="str">
        <f t="shared" si="44"/>
        <v>Diseña y desarrolla programas que utilizan variables y estructuras condicionales para resolver problemas, evaluando condiciones y generando respuestas según diferentes situaciones.</v>
      </c>
      <c r="FI9" s="5" t="str">
        <f t="shared" si="44"/>
        <v>Muestra pensamiento lógico, perseverancia y actitud crítica al analizar errores y proponer soluciones en la construcción de programas con variables y condicionales.</v>
      </c>
      <c r="FJ9" s="5" t="str">
        <f t="shared" si="44"/>
        <v>Identifica y reconoce sus pricipales deberes y derechos dentro y fuera  de la Institución educativa.</v>
      </c>
    </row>
    <row r="10" spans="1:166">
      <c r="A10" s="5">
        <v>9</v>
      </c>
      <c r="B10" s="5" t="s">
        <v>184</v>
      </c>
      <c r="C10" s="6">
        <v>1043689976</v>
      </c>
      <c r="D10" s="5" t="s">
        <v>176</v>
      </c>
      <c r="E10" s="5" t="s">
        <v>177</v>
      </c>
      <c r="F10" s="5" t="s">
        <v>70</v>
      </c>
      <c r="G10" s="5" t="s">
        <v>71</v>
      </c>
      <c r="H10" s="5">
        <v>2026</v>
      </c>
      <c r="I10" s="5">
        <v>4</v>
      </c>
      <c r="J10" s="7">
        <v>2.9</v>
      </c>
      <c r="K10" s="7">
        <v>3</v>
      </c>
      <c r="L10" s="7">
        <v>3.1</v>
      </c>
      <c r="M10" s="5">
        <f t="shared" si="41"/>
        <v>3</v>
      </c>
      <c r="N10" s="5" t="str">
        <f t="shared" si="1"/>
        <v>BASICO</v>
      </c>
      <c r="O10" s="5">
        <v>1</v>
      </c>
      <c r="P10" s="7">
        <v>3.8</v>
      </c>
      <c r="Q10" s="7">
        <v>4</v>
      </c>
      <c r="R10" s="7">
        <v>4</v>
      </c>
      <c r="S10" s="5">
        <f t="shared" si="2"/>
        <v>3.9400000000000004</v>
      </c>
      <c r="T10" s="5" t="str">
        <f t="shared" si="3"/>
        <v>BASICO</v>
      </c>
      <c r="U10" s="5">
        <v>4</v>
      </c>
      <c r="V10" s="7">
        <v>3.5</v>
      </c>
      <c r="W10" s="7">
        <v>5</v>
      </c>
      <c r="X10" s="7">
        <v>4</v>
      </c>
      <c r="Y10" s="5">
        <f t="shared" si="4"/>
        <v>4.25</v>
      </c>
      <c r="Z10" s="5" t="str">
        <f t="shared" si="5"/>
        <v>ALTO</v>
      </c>
      <c r="AA10" s="5">
        <v>1</v>
      </c>
      <c r="AB10" s="7">
        <v>4.8</v>
      </c>
      <c r="AC10" s="7">
        <v>4.8</v>
      </c>
      <c r="AD10" s="7">
        <v>4.8</v>
      </c>
      <c r="AE10" s="5">
        <f t="shared" si="6"/>
        <v>4.8</v>
      </c>
      <c r="AF10" s="5" t="str">
        <f t="shared" si="7"/>
        <v>SUPERIOR</v>
      </c>
      <c r="AG10" s="5">
        <v>2</v>
      </c>
      <c r="AH10" s="8">
        <v>3</v>
      </c>
      <c r="AI10" s="8">
        <v>3</v>
      </c>
      <c r="AJ10" s="8">
        <v>3</v>
      </c>
      <c r="AK10" s="5">
        <f t="shared" si="8"/>
        <v>3</v>
      </c>
      <c r="AL10" s="5" t="str">
        <f t="shared" si="9"/>
        <v>BASICO</v>
      </c>
      <c r="AM10" s="5">
        <v>1</v>
      </c>
      <c r="AN10" s="8">
        <v>3</v>
      </c>
      <c r="AO10" s="8">
        <v>3</v>
      </c>
      <c r="AP10" s="8">
        <v>3</v>
      </c>
      <c r="AQ10" s="5">
        <f t="shared" si="10"/>
        <v>3</v>
      </c>
      <c r="AR10" s="5" t="str">
        <f t="shared" si="11"/>
        <v>BASICO</v>
      </c>
      <c r="AS10" s="5">
        <v>4</v>
      </c>
      <c r="AT10" s="7">
        <v>2.4</v>
      </c>
      <c r="AU10" s="7">
        <v>2.4</v>
      </c>
      <c r="AV10" s="7">
        <v>2.4</v>
      </c>
      <c r="AW10" s="5">
        <f t="shared" si="12"/>
        <v>2.4</v>
      </c>
      <c r="AX10" s="5" t="str">
        <f t="shared" si="13"/>
        <v>BAJO</v>
      </c>
      <c r="AY10" s="5">
        <v>1</v>
      </c>
      <c r="AZ10" s="7">
        <v>4</v>
      </c>
      <c r="BA10" s="7">
        <v>4</v>
      </c>
      <c r="BB10" s="7">
        <v>4</v>
      </c>
      <c r="BC10" s="5">
        <f t="shared" si="14"/>
        <v>4</v>
      </c>
      <c r="BD10" s="5" t="str">
        <f t="shared" si="15"/>
        <v>ALTO</v>
      </c>
      <c r="BE10" s="7">
        <v>2</v>
      </c>
      <c r="BF10" s="7">
        <v>3.4</v>
      </c>
      <c r="BG10" s="7">
        <v>3.3</v>
      </c>
      <c r="BH10" s="7">
        <v>3.5</v>
      </c>
      <c r="BI10" s="5">
        <f t="shared" si="16"/>
        <v>3.3899999999999997</v>
      </c>
      <c r="BJ10" s="5" t="str">
        <f t="shared" si="17"/>
        <v>BASICO</v>
      </c>
      <c r="BK10" s="5">
        <v>1</v>
      </c>
      <c r="BL10" s="7">
        <v>3.3</v>
      </c>
      <c r="BM10" s="7">
        <v>3.2</v>
      </c>
      <c r="BN10" s="7">
        <v>3.8</v>
      </c>
      <c r="BO10" s="5">
        <f t="shared" si="18"/>
        <v>3.41</v>
      </c>
      <c r="BP10" s="5" t="str">
        <f t="shared" si="19"/>
        <v>BASICO</v>
      </c>
      <c r="BQ10" s="5">
        <v>1</v>
      </c>
      <c r="BR10" s="7">
        <v>3.3</v>
      </c>
      <c r="BS10" s="7">
        <v>3.8</v>
      </c>
      <c r="BT10" s="7">
        <v>3.6</v>
      </c>
      <c r="BU10" s="5">
        <f t="shared" si="20"/>
        <v>3.59</v>
      </c>
      <c r="BV10" s="5" t="str">
        <f t="shared" si="21"/>
        <v>BASICO</v>
      </c>
      <c r="BW10" s="5">
        <v>1</v>
      </c>
      <c r="BX10" s="7">
        <v>3.2</v>
      </c>
      <c r="BY10" s="7">
        <v>3</v>
      </c>
      <c r="BZ10" s="7">
        <v>3.5</v>
      </c>
      <c r="CA10" s="5">
        <f t="shared" si="22"/>
        <v>3.21</v>
      </c>
      <c r="CB10" s="5" t="str">
        <f t="shared" si="23"/>
        <v>BASICO</v>
      </c>
      <c r="CC10" s="5">
        <v>1</v>
      </c>
      <c r="CD10" s="7">
        <v>4.5999999999999996</v>
      </c>
      <c r="CE10" s="7">
        <v>4.5</v>
      </c>
      <c r="CF10" s="7">
        <v>4.5</v>
      </c>
      <c r="CG10" s="5">
        <f t="shared" si="24"/>
        <v>4.5299999999999994</v>
      </c>
      <c r="CH10" s="5" t="str">
        <f t="shared" si="25"/>
        <v>SUPERIOR</v>
      </c>
      <c r="CI10" s="5">
        <v>1</v>
      </c>
      <c r="CJ10" s="7">
        <v>4.5</v>
      </c>
      <c r="CK10" s="7">
        <v>4.5</v>
      </c>
      <c r="CL10" s="7">
        <v>4.5</v>
      </c>
      <c r="CM10" s="5">
        <f t="shared" si="26"/>
        <v>4.5</v>
      </c>
      <c r="CN10" s="5" t="str">
        <f t="shared" si="27"/>
        <v>SUPERIOR</v>
      </c>
      <c r="CO10" s="5">
        <v>1</v>
      </c>
      <c r="CP10" s="7">
        <v>5</v>
      </c>
      <c r="CQ10" s="7">
        <v>5</v>
      </c>
      <c r="CR10" s="7">
        <v>5</v>
      </c>
      <c r="CS10" s="5">
        <f t="shared" si="28"/>
        <v>5</v>
      </c>
      <c r="CT10" s="5" t="str">
        <f t="shared" si="29"/>
        <v>SUPERIOR</v>
      </c>
      <c r="CU10" s="5">
        <v>2</v>
      </c>
      <c r="CV10" s="7">
        <v>2</v>
      </c>
      <c r="CW10" s="7">
        <v>2</v>
      </c>
      <c r="CX10" s="7">
        <v>2</v>
      </c>
      <c r="CY10" s="5">
        <f t="shared" si="30"/>
        <v>2</v>
      </c>
      <c r="CZ10" s="5" t="str">
        <f t="shared" si="31"/>
        <v>BAJO</v>
      </c>
      <c r="DA10" s="5">
        <v>2</v>
      </c>
      <c r="DB10" s="7">
        <v>2.5</v>
      </c>
      <c r="DC10" s="7">
        <v>2.8</v>
      </c>
      <c r="DD10" s="7">
        <v>3.8</v>
      </c>
      <c r="DE10" s="5">
        <f t="shared" si="32"/>
        <v>3.01</v>
      </c>
      <c r="DF10" s="5" t="str">
        <f t="shared" si="33"/>
        <v>BASICO</v>
      </c>
      <c r="DG10" s="5">
        <v>0</v>
      </c>
      <c r="DH10" s="7">
        <v>4.5</v>
      </c>
      <c r="DI10" s="5" t="str">
        <f t="shared" si="34"/>
        <v>SUPERIOR</v>
      </c>
      <c r="DJ10" s="5">
        <f t="shared" si="35"/>
        <v>3.6435294117647059</v>
      </c>
      <c r="DK10" s="5" t="str">
        <f t="shared" si="36"/>
        <v>Comprende el concepto de números reales, su relación de orden y las propiedades de sus operaciones, así como las relaciones de semejanza y congruencia de distintas figuras geométricas.</v>
      </c>
      <c r="DL10" s="5" t="str">
        <f t="shared" ref="DL10:FJ10" si="45">DL9</f>
        <v>Aplica correctamente las propiedades de las operaciones de números reales y expresiones algebraicas en la resolución de problemas.</v>
      </c>
      <c r="DM10" s="5" t="str">
        <f t="shared" si="45"/>
        <v>Valora el uso del pensamiento lógico a la hora de plantear y resolver problemas de las matemáticas y de la vida cotidiana.</v>
      </c>
      <c r="DN10" s="5" t="str">
        <f t="shared" si="4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0" s="5" t="str">
        <f t="shared" si="45"/>
        <v>Organiza y analiza datos mediante la construcción de tablas de frecuencias y diagramas estadísticos, identificando variables aleatorias y utilizando estas representaciones para resolver situaciones problema.</v>
      </c>
      <c r="DP10" s="5" t="str">
        <f t="shared" si="45"/>
        <v>Muestra disposición y responsabilidad en el manejo y análisis de datos, participando activamente en actividades individuales y colaborativas, y comunicando información estadística con claridad y sentido crítico.</v>
      </c>
      <c r="DQ10" s="5" t="str">
        <f t="shared" si="45"/>
        <v>Analiza las características de la literatura prehispánica y la literatura del descubrimiento y la conquista en Colombia identificando sus elementos fundamentales y su impacto en la cultura y el lenguaje actual.</v>
      </c>
      <c r="DR10" s="5" t="str">
        <f t="shared" si="45"/>
        <v>Realiza comprensión lectora cuando analiza un texto desde el discurso de la Enunciación e identifica la función de cada uno de sus componentes.
Responde preguntas en los tres niveles de lectura a una leyenda del Caribe.</v>
      </c>
      <c r="DS10" s="5" t="str">
        <f t="shared" si="45"/>
        <v>Muestra disposición para participar activamente en las clases, promoviendo el respeto por las ideas ajenas y reconociendo la importancia de la precisión como una herramienta clave para una comunicación</v>
      </c>
      <c r="DT10" s="5" t="str">
        <f t="shared" si="45"/>
        <v>Comprende el contenido del cuento A la deriva, identificando su tema central, la secuencia de los hechos, los personajes y las ideas explícitas e implícitas del texto.</v>
      </c>
      <c r="DU10" s="5" t="str">
        <f t="shared" si="45"/>
        <v>Analiza críticamente el cuento A la deriva mediante la identificación de información literal, inferencial y crítica, sustentando sus respuestas de forma oral y escrita.</v>
      </c>
      <c r="DV10" s="5" t="str">
        <f t="shared" si="45"/>
        <v>Valora la lectura literaria como una oportunidad para reflexionar sobre la vida, la naturaleza y la condición humana, participando con interés, respeto y sentido crítico en las actividades propuestas.</v>
      </c>
      <c r="DW10" s="5" t="str">
        <f t="shared" si="45"/>
        <v>Comprende y reconoce vocabulario y estructuras basicas del ingles para interpretar textos cortos y conversaciones sobre temas cotidianos de la vida diaria.</v>
      </c>
      <c r="DX10" s="5" t="str">
        <f t="shared" si="45"/>
        <v>Produce de forma oral y escrita frases y parrafos cortos en Ingles, utilizando correctamente las estructuras conocidas para describir rutinas, narrar experiencias y participar en conversaciones.</v>
      </c>
      <c r="DY10" s="5" t="str">
        <f t="shared" si="45"/>
        <v>Muestra disposicion positiva hacia el aprendizaje del Ingles participando activamente en clase.</v>
      </c>
      <c r="DZ10" s="5" t="str">
        <f t="shared" si="45"/>
        <v>Identifica vocabulario en Ingles  de situaciones cotidianas.</v>
      </c>
      <c r="EA10" s="5" t="str">
        <f t="shared" si="45"/>
        <v>Participa en actividades utilizando vocabulario aprendido para expresar gustos,emociones y necesidades.</v>
      </c>
      <c r="EB10" s="5" t="str">
        <f t="shared" si="45"/>
        <v>Respeta la opinion de los demas, muestra disposicion para participar en actividades orales.</v>
      </c>
      <c r="EC10" s="5" t="str">
        <f t="shared" si="45"/>
        <v>Identifica la conformación y funcionamiento del sistema inmunolófico y diferencia las característics de los estados de la materia.</v>
      </c>
      <c r="ED10" s="5" t="str">
        <f t="shared" si="45"/>
        <v>Reconoce experimentalmente las características de materiales en los diferentes estados de la materia.</v>
      </c>
      <c r="EE10" s="5" t="str">
        <f t="shared" si="45"/>
        <v xml:space="preserve">Valora la importancia de tener habitos saludables, para lograr el mantenimiento saludable del sistema inmune. </v>
      </c>
      <c r="EF10" s="5" t="str">
        <f t="shared" si="45"/>
        <v>Describe correctamente la secuencia de eventos biologicos de la fecundacion,incluyendo las recciones acrosomicas,la funcion de gametos y la formacion de gametos.</v>
      </c>
      <c r="EG10" s="5" t="str">
        <f t="shared" si="45"/>
        <v>Mide la capacidad del labolatrio para lograr la fecundacion exitosa de los ovulos con el espermatozoide.</v>
      </c>
      <c r="EH10" s="5" t="str">
        <f t="shared" si="45"/>
        <v>Valora la importancia del cuidado del cuerpo y de la salud reproductiva como la base para una fecundacion saludable.</v>
      </c>
      <c r="EI10" s="5" t="str">
        <f t="shared" si="45"/>
        <v>Explico las principales caracteristicas de algunas revoluciones de los siglos XVIII y XIX (Revolucion francesa, Industrial...)</v>
      </c>
      <c r="EJ10" s="5" t="str">
        <f t="shared" si="45"/>
        <v>Analiza las causas y consecuencias de procesos historicos como la Revolucion Industrial y Francesa.</v>
      </c>
      <c r="EK10" s="5" t="str">
        <f t="shared" si="45"/>
        <v>Muestra interes y curiosidad por comprender los procesos historicos y su impacto en la sociedad.</v>
      </c>
      <c r="EL10" s="5" t="str">
        <f t="shared" si="45"/>
        <v xml:space="preserve">Identifica los procesos historicos de algunas revoluciones de los siglos XVIII y XIX </v>
      </c>
      <c r="EM10" s="5">
        <f t="shared" si="45"/>
        <v>0</v>
      </c>
      <c r="EN10" s="5">
        <f t="shared" si="45"/>
        <v>0</v>
      </c>
      <c r="EO10" s="5" t="str">
        <f t="shared" si="45"/>
        <v xml:space="preserve">Comprende la distribucion espacial de la poblacion antes y despues de las revoluciones </v>
      </c>
      <c r="EP10" s="5" t="str">
        <f t="shared" si="45"/>
        <v xml:space="preserve">Ubica en mapas las regiones donde se desarrollaron las principales revoluciones y explica sus caracteristicas geograficas </v>
      </c>
      <c r="EQ10" s="5" t="str">
        <f t="shared" si="45"/>
        <v>Muestra interes por comprender la relacion entre sociedad, economia y territorio</v>
      </c>
      <c r="ER10" s="5" t="str">
        <f t="shared" si="45"/>
        <v>Comprende el concepto de cultura de paz y su importancia en la sociedad</v>
      </c>
      <c r="ES10" s="5" t="str">
        <f t="shared" si="45"/>
        <v>Practica normas de convivencia en diferentes espacios( aula, hogar, comunidad)</v>
      </c>
      <c r="ET10" s="5" t="str">
        <f t="shared" si="45"/>
        <v>Muestra actitud de respeto hacia la diversidad cuktural, social y de pensamiento</v>
      </c>
      <c r="EU10" s="5">
        <f t="shared" si="45"/>
        <v>0</v>
      </c>
      <c r="EV10" s="5">
        <f t="shared" si="45"/>
        <v>0</v>
      </c>
      <c r="EW10" s="5">
        <f t="shared" si="45"/>
        <v>0</v>
      </c>
      <c r="EX10" s="5">
        <f t="shared" si="45"/>
        <v>0</v>
      </c>
      <c r="EY10" s="5">
        <f t="shared" si="45"/>
        <v>0</v>
      </c>
      <c r="EZ10" s="5">
        <f t="shared" si="45"/>
        <v>0</v>
      </c>
      <c r="FA10" s="5">
        <f t="shared" si="45"/>
        <v>0</v>
      </c>
      <c r="FB10" s="5">
        <f t="shared" si="45"/>
        <v>0</v>
      </c>
      <c r="FC10" s="5">
        <f t="shared" si="45"/>
        <v>0</v>
      </c>
      <c r="FD10" s="5" t="str">
        <f t="shared" si="45"/>
        <v xml:space="preserve"> Identifica las expresiones motrices relacionadas con el juego del voleibol,  como una oportunidad para mejorar la salud, la estética y las relaciones con los demás.</v>
      </c>
      <c r="FE10" s="5" t="str">
        <f t="shared" si="45"/>
        <v>Pone en práctica los fundamentos básicos del voleibol.</v>
      </c>
      <c r="FF10" s="5" t="str">
        <f t="shared" si="45"/>
        <v>Muestra  responsabilidad y buena actitud al realizar el juego de voleibol.</v>
      </c>
      <c r="FG10" s="5" t="str">
        <f t="shared" si="45"/>
        <v>Comprende el concepto de variable como espacio de almacenamiento de datos y reconoce el uso de estructuras condicionales (si, si-no) para la toma de decisiones en un programa.</v>
      </c>
      <c r="FH10" s="5" t="str">
        <f t="shared" si="45"/>
        <v>Diseña y desarrolla programas que utilizan variables y estructuras condicionales para resolver problemas, evaluando condiciones y generando respuestas según diferentes situaciones.</v>
      </c>
      <c r="FI10" s="5" t="str">
        <f t="shared" si="45"/>
        <v>Muestra pensamiento lógico, perseverancia y actitud crítica al analizar errores y proponer soluciones en la construcción de programas con variables y condicionales.</v>
      </c>
      <c r="FJ10" s="5" t="str">
        <f t="shared" si="45"/>
        <v>Identifica y reconoce sus pricipales deberes y derechos dentro y fuera  de la Institución educativa.</v>
      </c>
    </row>
    <row r="11" spans="1:166">
      <c r="A11" s="5">
        <v>10</v>
      </c>
      <c r="B11" s="5" t="s">
        <v>185</v>
      </c>
      <c r="C11" s="6">
        <v>1046714692</v>
      </c>
      <c r="D11" s="5" t="s">
        <v>176</v>
      </c>
      <c r="E11" s="5" t="s">
        <v>177</v>
      </c>
      <c r="F11" s="5" t="s">
        <v>70</v>
      </c>
      <c r="G11" s="5" t="s">
        <v>71</v>
      </c>
      <c r="H11" s="5">
        <v>2026</v>
      </c>
      <c r="I11" s="5">
        <v>4</v>
      </c>
      <c r="J11" s="7">
        <v>3</v>
      </c>
      <c r="K11" s="7">
        <v>3</v>
      </c>
      <c r="L11" s="7">
        <v>3</v>
      </c>
      <c r="M11" s="5">
        <f t="shared" si="41"/>
        <v>3</v>
      </c>
      <c r="N11" s="5" t="str">
        <f t="shared" si="1"/>
        <v>BASICO</v>
      </c>
      <c r="O11" s="5">
        <v>1</v>
      </c>
      <c r="P11" s="7">
        <v>4</v>
      </c>
      <c r="Q11" s="7">
        <v>4</v>
      </c>
      <c r="R11" s="7">
        <v>4</v>
      </c>
      <c r="S11" s="5">
        <f t="shared" si="2"/>
        <v>4</v>
      </c>
      <c r="T11" s="5" t="str">
        <f t="shared" si="3"/>
        <v>ALTO</v>
      </c>
      <c r="U11" s="5">
        <v>4</v>
      </c>
      <c r="V11" s="7">
        <v>4.5</v>
      </c>
      <c r="W11" s="7">
        <v>4</v>
      </c>
      <c r="X11" s="7">
        <v>4.5</v>
      </c>
      <c r="Y11" s="5">
        <f t="shared" si="4"/>
        <v>4.3</v>
      </c>
      <c r="Z11" s="5" t="str">
        <f t="shared" si="5"/>
        <v>ALTO</v>
      </c>
      <c r="AA11" s="5">
        <v>1</v>
      </c>
      <c r="AB11" s="7">
        <v>3</v>
      </c>
      <c r="AC11" s="7">
        <v>3</v>
      </c>
      <c r="AD11" s="7">
        <v>3</v>
      </c>
      <c r="AE11" s="5">
        <f t="shared" si="6"/>
        <v>3</v>
      </c>
      <c r="AF11" s="5" t="str">
        <f t="shared" si="7"/>
        <v>BASICO</v>
      </c>
      <c r="AG11" s="5">
        <v>2</v>
      </c>
      <c r="AH11" s="8">
        <v>4</v>
      </c>
      <c r="AI11" s="8">
        <v>4</v>
      </c>
      <c r="AJ11" s="8">
        <v>4</v>
      </c>
      <c r="AK11" s="5">
        <f t="shared" si="8"/>
        <v>4</v>
      </c>
      <c r="AL11" s="5" t="str">
        <f t="shared" si="9"/>
        <v>ALTO</v>
      </c>
      <c r="AM11" s="5">
        <v>1</v>
      </c>
      <c r="AN11" s="8">
        <v>4</v>
      </c>
      <c r="AO11" s="8">
        <v>4</v>
      </c>
      <c r="AP11" s="8">
        <v>4</v>
      </c>
      <c r="AQ11" s="5">
        <f t="shared" si="10"/>
        <v>4</v>
      </c>
      <c r="AR11" s="5" t="str">
        <f t="shared" si="11"/>
        <v>ALTO</v>
      </c>
      <c r="AS11" s="5">
        <v>4</v>
      </c>
      <c r="AT11" s="7">
        <v>4</v>
      </c>
      <c r="AU11" s="7">
        <v>4</v>
      </c>
      <c r="AV11" s="7">
        <v>4</v>
      </c>
      <c r="AW11" s="5">
        <f t="shared" si="12"/>
        <v>4</v>
      </c>
      <c r="AX11" s="5" t="str">
        <f t="shared" si="13"/>
        <v>ALTO</v>
      </c>
      <c r="AY11" s="5">
        <v>1</v>
      </c>
      <c r="AZ11" s="7">
        <v>5</v>
      </c>
      <c r="BA11" s="7">
        <v>5</v>
      </c>
      <c r="BB11" s="7">
        <v>5</v>
      </c>
      <c r="BC11" s="5">
        <f t="shared" si="14"/>
        <v>5</v>
      </c>
      <c r="BD11" s="5" t="str">
        <f t="shared" si="15"/>
        <v>SUPERIOR</v>
      </c>
      <c r="BE11" s="7">
        <v>2</v>
      </c>
      <c r="BF11" s="7">
        <v>3.5</v>
      </c>
      <c r="BG11" s="7">
        <v>3.8</v>
      </c>
      <c r="BH11" s="7">
        <v>3.5</v>
      </c>
      <c r="BI11" s="5">
        <f t="shared" si="16"/>
        <v>3.62</v>
      </c>
      <c r="BJ11" s="5" t="str">
        <f t="shared" si="17"/>
        <v>BASICO</v>
      </c>
      <c r="BK11" s="5">
        <v>1</v>
      </c>
      <c r="BL11" s="7">
        <v>3.3</v>
      </c>
      <c r="BM11" s="7">
        <v>3.5</v>
      </c>
      <c r="BN11" s="7">
        <v>3.7</v>
      </c>
      <c r="BO11" s="5">
        <f t="shared" si="18"/>
        <v>3.5</v>
      </c>
      <c r="BP11" s="5" t="str">
        <f t="shared" si="19"/>
        <v>BASICO</v>
      </c>
      <c r="BQ11" s="5">
        <v>1</v>
      </c>
      <c r="BR11" s="7">
        <v>3.3</v>
      </c>
      <c r="BS11" s="7">
        <v>3.6</v>
      </c>
      <c r="BT11" s="7">
        <v>3.8</v>
      </c>
      <c r="BU11" s="5">
        <f t="shared" si="20"/>
        <v>3.5700000000000003</v>
      </c>
      <c r="BV11" s="5" t="str">
        <f t="shared" si="21"/>
        <v>BASICO</v>
      </c>
      <c r="BW11" s="5">
        <v>1</v>
      </c>
      <c r="BX11" s="7">
        <v>3.4</v>
      </c>
      <c r="BY11" s="7">
        <v>3.3</v>
      </c>
      <c r="BZ11" s="7">
        <v>3.2</v>
      </c>
      <c r="CA11" s="5">
        <f t="shared" si="22"/>
        <v>3.3</v>
      </c>
      <c r="CB11" s="5" t="str">
        <f t="shared" si="23"/>
        <v>BASICO</v>
      </c>
      <c r="CC11" s="5">
        <v>1</v>
      </c>
      <c r="CD11" s="7">
        <v>4</v>
      </c>
      <c r="CE11" s="7">
        <v>3.8</v>
      </c>
      <c r="CF11" s="7">
        <v>3.8</v>
      </c>
      <c r="CG11" s="5">
        <f t="shared" si="24"/>
        <v>3.8599999999999994</v>
      </c>
      <c r="CH11" s="5" t="str">
        <f t="shared" si="25"/>
        <v>BASICO</v>
      </c>
      <c r="CI11" s="5">
        <v>1</v>
      </c>
      <c r="CJ11" s="7">
        <v>4.5</v>
      </c>
      <c r="CK11" s="7">
        <v>4.5</v>
      </c>
      <c r="CL11" s="7">
        <v>4.5</v>
      </c>
      <c r="CM11" s="5">
        <f t="shared" si="26"/>
        <v>4.5</v>
      </c>
      <c r="CN11" s="5" t="str">
        <f t="shared" si="27"/>
        <v>SUPERIOR</v>
      </c>
      <c r="CO11" s="5">
        <v>1</v>
      </c>
      <c r="CP11" s="7">
        <v>5</v>
      </c>
      <c r="CQ11" s="7">
        <v>5</v>
      </c>
      <c r="CR11" s="7">
        <v>5</v>
      </c>
      <c r="CS11" s="5">
        <f t="shared" si="28"/>
        <v>5</v>
      </c>
      <c r="CT11" s="5" t="str">
        <f t="shared" si="29"/>
        <v>SUPERIOR</v>
      </c>
      <c r="CU11" s="5">
        <v>2</v>
      </c>
      <c r="CV11" s="7">
        <v>4.5</v>
      </c>
      <c r="CW11" s="7">
        <v>4.5</v>
      </c>
      <c r="CX11" s="7">
        <v>4.5</v>
      </c>
      <c r="CY11" s="5">
        <f t="shared" si="30"/>
        <v>4.5</v>
      </c>
      <c r="CZ11" s="5" t="str">
        <f t="shared" si="31"/>
        <v>SUPERIOR</v>
      </c>
      <c r="DA11" s="5">
        <v>2</v>
      </c>
      <c r="DB11" s="7">
        <v>4.2</v>
      </c>
      <c r="DC11" s="7">
        <v>4</v>
      </c>
      <c r="DD11" s="7">
        <v>3.8</v>
      </c>
      <c r="DE11" s="5">
        <f t="shared" si="32"/>
        <v>4</v>
      </c>
      <c r="DF11" s="5" t="str">
        <f t="shared" si="33"/>
        <v>ALTO</v>
      </c>
      <c r="DG11" s="5">
        <v>0</v>
      </c>
      <c r="DH11" s="7">
        <v>3.8</v>
      </c>
      <c r="DI11" s="5" t="str">
        <f t="shared" si="34"/>
        <v>BASICO</v>
      </c>
      <c r="DJ11" s="5">
        <f t="shared" si="35"/>
        <v>3.9635294117647057</v>
      </c>
      <c r="DK11" s="5" t="str">
        <f t="shared" si="36"/>
        <v>Comprende el concepto de números reales, su relación de orden y las propiedades de sus operaciones, así como las relaciones de semejanza y congruencia de distintas figuras geométricas.</v>
      </c>
      <c r="DL11" s="5" t="str">
        <f t="shared" ref="DL11:FJ11" si="46">DL10</f>
        <v>Aplica correctamente las propiedades de las operaciones de números reales y expresiones algebraicas en la resolución de problemas.</v>
      </c>
      <c r="DM11" s="5" t="str">
        <f t="shared" si="46"/>
        <v>Valora el uso del pensamiento lógico a la hora de plantear y resolver problemas de las matemáticas y de la vida cotidiana.</v>
      </c>
      <c r="DN11" s="5" t="str">
        <f t="shared" si="4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1" s="5" t="str">
        <f t="shared" si="46"/>
        <v>Organiza y analiza datos mediante la construcción de tablas de frecuencias y diagramas estadísticos, identificando variables aleatorias y utilizando estas representaciones para resolver situaciones problema.</v>
      </c>
      <c r="DP11" s="5" t="str">
        <f t="shared" si="46"/>
        <v>Muestra disposición y responsabilidad en el manejo y análisis de datos, participando activamente en actividades individuales y colaborativas, y comunicando información estadística con claridad y sentido crítico.</v>
      </c>
      <c r="DQ11" s="5" t="str">
        <f t="shared" si="46"/>
        <v>Analiza las características de la literatura prehispánica y la literatura del descubrimiento y la conquista en Colombia identificando sus elementos fundamentales y su impacto en la cultura y el lenguaje actual.</v>
      </c>
      <c r="DR11" s="5" t="str">
        <f t="shared" si="46"/>
        <v>Realiza comprensión lectora cuando analiza un texto desde el discurso de la Enunciación e identifica la función de cada uno de sus componentes.
Responde preguntas en los tres niveles de lectura a una leyenda del Caribe.</v>
      </c>
      <c r="DS11" s="5" t="str">
        <f t="shared" si="46"/>
        <v>Muestra disposición para participar activamente en las clases, promoviendo el respeto por las ideas ajenas y reconociendo la importancia de la precisión como una herramienta clave para una comunicación</v>
      </c>
      <c r="DT11" s="5" t="str">
        <f t="shared" si="46"/>
        <v>Comprende el contenido del cuento A la deriva, identificando su tema central, la secuencia de los hechos, los personajes y las ideas explícitas e implícitas del texto.</v>
      </c>
      <c r="DU11" s="5" t="str">
        <f t="shared" si="46"/>
        <v>Analiza críticamente el cuento A la deriva mediante la identificación de información literal, inferencial y crítica, sustentando sus respuestas de forma oral y escrita.</v>
      </c>
      <c r="DV11" s="5" t="str">
        <f t="shared" si="46"/>
        <v>Valora la lectura literaria como una oportunidad para reflexionar sobre la vida, la naturaleza y la condición humana, participando con interés, respeto y sentido crítico en las actividades propuestas.</v>
      </c>
      <c r="DW11" s="5" t="str">
        <f t="shared" si="46"/>
        <v>Comprende y reconoce vocabulario y estructuras basicas del ingles para interpretar textos cortos y conversaciones sobre temas cotidianos de la vida diaria.</v>
      </c>
      <c r="DX11" s="5" t="str">
        <f t="shared" si="46"/>
        <v>Produce de forma oral y escrita frases y parrafos cortos en Ingles, utilizando correctamente las estructuras conocidas para describir rutinas, narrar experiencias y participar en conversaciones.</v>
      </c>
      <c r="DY11" s="5" t="str">
        <f t="shared" si="46"/>
        <v>Muestra disposicion positiva hacia el aprendizaje del Ingles participando activamente en clase.</v>
      </c>
      <c r="DZ11" s="5" t="str">
        <f t="shared" si="46"/>
        <v>Identifica vocabulario en Ingles  de situaciones cotidianas.</v>
      </c>
      <c r="EA11" s="5" t="str">
        <f t="shared" si="46"/>
        <v>Participa en actividades utilizando vocabulario aprendido para expresar gustos,emociones y necesidades.</v>
      </c>
      <c r="EB11" s="5" t="str">
        <f t="shared" si="46"/>
        <v>Respeta la opinion de los demas, muestra disposicion para participar en actividades orales.</v>
      </c>
      <c r="EC11" s="5" t="str">
        <f t="shared" si="46"/>
        <v>Identifica la conformación y funcionamiento del sistema inmunolófico y diferencia las característics de los estados de la materia.</v>
      </c>
      <c r="ED11" s="5" t="str">
        <f t="shared" si="46"/>
        <v>Reconoce experimentalmente las características de materiales en los diferentes estados de la materia.</v>
      </c>
      <c r="EE11" s="5" t="str">
        <f t="shared" si="46"/>
        <v xml:space="preserve">Valora la importancia de tener habitos saludables, para lograr el mantenimiento saludable del sistema inmune. </v>
      </c>
      <c r="EF11" s="5" t="str">
        <f t="shared" si="46"/>
        <v>Describe correctamente la secuencia de eventos biologicos de la fecundacion,incluyendo las recciones acrosomicas,la funcion de gametos y la formacion de gametos.</v>
      </c>
      <c r="EG11" s="5" t="str">
        <f t="shared" si="46"/>
        <v>Mide la capacidad del labolatrio para lograr la fecundacion exitosa de los ovulos con el espermatozoide.</v>
      </c>
      <c r="EH11" s="5" t="str">
        <f t="shared" si="46"/>
        <v>Valora la importancia del cuidado del cuerpo y de la salud reproductiva como la base para una fecundacion saludable.</v>
      </c>
      <c r="EI11" s="5" t="str">
        <f t="shared" si="46"/>
        <v>Explico las principales caracteristicas de algunas revoluciones de los siglos XVIII y XIX (Revolucion francesa, Industrial...)</v>
      </c>
      <c r="EJ11" s="5" t="str">
        <f t="shared" si="46"/>
        <v>Analiza las causas y consecuencias de procesos historicos como la Revolucion Industrial y Francesa.</v>
      </c>
      <c r="EK11" s="5" t="str">
        <f t="shared" si="46"/>
        <v>Muestra interes y curiosidad por comprender los procesos historicos y su impacto en la sociedad.</v>
      </c>
      <c r="EL11" s="5" t="str">
        <f t="shared" si="46"/>
        <v xml:space="preserve">Identifica los procesos historicos de algunas revoluciones de los siglos XVIII y XIX </v>
      </c>
      <c r="EM11" s="5">
        <f t="shared" si="46"/>
        <v>0</v>
      </c>
      <c r="EN11" s="5">
        <f t="shared" si="46"/>
        <v>0</v>
      </c>
      <c r="EO11" s="5" t="str">
        <f t="shared" si="46"/>
        <v xml:space="preserve">Comprende la distribucion espacial de la poblacion antes y despues de las revoluciones </v>
      </c>
      <c r="EP11" s="5" t="str">
        <f t="shared" si="46"/>
        <v xml:space="preserve">Ubica en mapas las regiones donde se desarrollaron las principales revoluciones y explica sus caracteristicas geograficas </v>
      </c>
      <c r="EQ11" s="5" t="str">
        <f t="shared" si="46"/>
        <v>Muestra interes por comprender la relacion entre sociedad, economia y territorio</v>
      </c>
      <c r="ER11" s="5" t="str">
        <f t="shared" si="46"/>
        <v>Comprende el concepto de cultura de paz y su importancia en la sociedad</v>
      </c>
      <c r="ES11" s="5" t="str">
        <f t="shared" si="46"/>
        <v>Practica normas de convivencia en diferentes espacios( aula, hogar, comunidad)</v>
      </c>
      <c r="ET11" s="5" t="str">
        <f t="shared" si="46"/>
        <v>Muestra actitud de respeto hacia la diversidad cuktural, social y de pensamiento</v>
      </c>
      <c r="EU11" s="5">
        <f t="shared" si="46"/>
        <v>0</v>
      </c>
      <c r="EV11" s="5">
        <f t="shared" si="46"/>
        <v>0</v>
      </c>
      <c r="EW11" s="5">
        <f t="shared" si="46"/>
        <v>0</v>
      </c>
      <c r="EX11" s="5">
        <f t="shared" si="46"/>
        <v>0</v>
      </c>
      <c r="EY11" s="5">
        <f t="shared" si="46"/>
        <v>0</v>
      </c>
      <c r="EZ11" s="5">
        <f t="shared" si="46"/>
        <v>0</v>
      </c>
      <c r="FA11" s="5">
        <f t="shared" si="46"/>
        <v>0</v>
      </c>
      <c r="FB11" s="5">
        <f t="shared" si="46"/>
        <v>0</v>
      </c>
      <c r="FC11" s="5">
        <f t="shared" si="46"/>
        <v>0</v>
      </c>
      <c r="FD11" s="5" t="str">
        <f t="shared" si="46"/>
        <v xml:space="preserve"> Identifica las expresiones motrices relacionadas con el juego del voleibol,  como una oportunidad para mejorar la salud, la estética y las relaciones con los demás.</v>
      </c>
      <c r="FE11" s="5" t="str">
        <f t="shared" si="46"/>
        <v>Pone en práctica los fundamentos básicos del voleibol.</v>
      </c>
      <c r="FF11" s="5" t="str">
        <f t="shared" si="46"/>
        <v>Muestra  responsabilidad y buena actitud al realizar el juego de voleibol.</v>
      </c>
      <c r="FG11" s="5" t="str">
        <f t="shared" si="46"/>
        <v>Comprende el concepto de variable como espacio de almacenamiento de datos y reconoce el uso de estructuras condicionales (si, si-no) para la toma de decisiones en un programa.</v>
      </c>
      <c r="FH11" s="5" t="str">
        <f t="shared" si="46"/>
        <v>Diseña y desarrolla programas que utilizan variables y estructuras condicionales para resolver problemas, evaluando condiciones y generando respuestas según diferentes situaciones.</v>
      </c>
      <c r="FI11" s="5" t="str">
        <f t="shared" si="46"/>
        <v>Muestra pensamiento lógico, perseverancia y actitud crítica al analizar errores y proponer soluciones en la construcción de programas con variables y condicionales.</v>
      </c>
      <c r="FJ11" s="5" t="str">
        <f t="shared" si="46"/>
        <v>Identifica y reconoce sus pricipales deberes y derechos dentro y fuera  de la Institución educativa.</v>
      </c>
    </row>
    <row r="12" spans="1:166">
      <c r="A12" s="5">
        <v>11</v>
      </c>
      <c r="B12" s="5" t="s">
        <v>186</v>
      </c>
      <c r="C12" s="6">
        <v>1046708127</v>
      </c>
      <c r="D12" s="5" t="s">
        <v>176</v>
      </c>
      <c r="E12" s="5" t="s">
        <v>177</v>
      </c>
      <c r="F12" s="5" t="s">
        <v>70</v>
      </c>
      <c r="G12" s="5" t="s">
        <v>71</v>
      </c>
      <c r="H12" s="5">
        <v>2026</v>
      </c>
      <c r="I12" s="5">
        <v>4</v>
      </c>
      <c r="J12" s="7">
        <v>3.1</v>
      </c>
      <c r="K12" s="7">
        <v>3.1</v>
      </c>
      <c r="L12" s="7">
        <v>3.1</v>
      </c>
      <c r="M12" s="5">
        <f t="shared" si="41"/>
        <v>3.0999999999999996</v>
      </c>
      <c r="N12" s="5" t="str">
        <f t="shared" si="1"/>
        <v>BASICO</v>
      </c>
      <c r="O12" s="5">
        <v>1</v>
      </c>
      <c r="P12" s="7">
        <v>2</v>
      </c>
      <c r="Q12" s="7">
        <v>2</v>
      </c>
      <c r="R12" s="7">
        <v>2</v>
      </c>
      <c r="S12" s="7">
        <v>2</v>
      </c>
      <c r="T12" s="5" t="str">
        <f t="shared" si="3"/>
        <v>BAJO</v>
      </c>
      <c r="U12" s="5">
        <v>4</v>
      </c>
      <c r="V12" s="7">
        <v>3</v>
      </c>
      <c r="W12" s="7">
        <v>3</v>
      </c>
      <c r="X12" s="7">
        <v>4</v>
      </c>
      <c r="Y12" s="5">
        <f t="shared" si="4"/>
        <v>3.3</v>
      </c>
      <c r="Z12" s="5" t="str">
        <f t="shared" si="5"/>
        <v>BASICO</v>
      </c>
      <c r="AA12" s="5">
        <v>1</v>
      </c>
      <c r="AB12" s="7">
        <v>2</v>
      </c>
      <c r="AC12" s="7">
        <v>2</v>
      </c>
      <c r="AD12" s="7">
        <v>2</v>
      </c>
      <c r="AE12" s="5">
        <f t="shared" si="6"/>
        <v>2</v>
      </c>
      <c r="AF12" s="5" t="str">
        <f t="shared" si="7"/>
        <v>BAJO</v>
      </c>
      <c r="AG12" s="5">
        <v>2</v>
      </c>
      <c r="AH12" s="8">
        <v>3</v>
      </c>
      <c r="AI12" s="8">
        <v>3</v>
      </c>
      <c r="AJ12" s="8">
        <v>3</v>
      </c>
      <c r="AK12" s="5">
        <f t="shared" si="8"/>
        <v>3</v>
      </c>
      <c r="AL12" s="5" t="str">
        <f t="shared" si="9"/>
        <v>BASICO</v>
      </c>
      <c r="AM12" s="5">
        <v>1</v>
      </c>
      <c r="AN12" s="8">
        <v>3</v>
      </c>
      <c r="AO12" s="8">
        <v>3</v>
      </c>
      <c r="AP12" s="8">
        <v>3</v>
      </c>
      <c r="AQ12" s="5">
        <f t="shared" si="10"/>
        <v>3</v>
      </c>
      <c r="AR12" s="5" t="str">
        <f t="shared" si="11"/>
        <v>BASICO</v>
      </c>
      <c r="AS12" s="5">
        <v>4</v>
      </c>
      <c r="AT12" s="7">
        <v>2</v>
      </c>
      <c r="AU12" s="7">
        <v>2</v>
      </c>
      <c r="AV12" s="7">
        <v>2</v>
      </c>
      <c r="AW12" s="5">
        <f t="shared" si="12"/>
        <v>2</v>
      </c>
      <c r="AX12" s="5" t="str">
        <f t="shared" si="13"/>
        <v>BAJO</v>
      </c>
      <c r="AY12" s="5">
        <v>1</v>
      </c>
      <c r="AZ12" s="7">
        <v>3</v>
      </c>
      <c r="BA12" s="7">
        <v>3</v>
      </c>
      <c r="BB12" s="7">
        <v>3</v>
      </c>
      <c r="BC12" s="5">
        <f t="shared" si="14"/>
        <v>3</v>
      </c>
      <c r="BD12" s="5" t="str">
        <f t="shared" si="15"/>
        <v>BASICO</v>
      </c>
      <c r="BE12" s="7">
        <v>2</v>
      </c>
      <c r="BF12" s="7">
        <v>2</v>
      </c>
      <c r="BG12" s="7">
        <v>2.5</v>
      </c>
      <c r="BH12" s="7">
        <v>2.8</v>
      </c>
      <c r="BI12" s="5">
        <f t="shared" si="16"/>
        <v>2.44</v>
      </c>
      <c r="BJ12" s="5" t="str">
        <f t="shared" si="17"/>
        <v>BAJO</v>
      </c>
      <c r="BK12" s="5">
        <v>1</v>
      </c>
      <c r="BL12" s="7">
        <v>2.6</v>
      </c>
      <c r="BM12" s="7">
        <v>2.5</v>
      </c>
      <c r="BN12" s="7">
        <v>2.2000000000000002</v>
      </c>
      <c r="BO12" s="5">
        <f t="shared" si="18"/>
        <v>2.44</v>
      </c>
      <c r="BP12" s="5" t="str">
        <f t="shared" si="19"/>
        <v>BAJO</v>
      </c>
      <c r="BQ12" s="5">
        <v>1</v>
      </c>
      <c r="BR12" s="7">
        <v>2</v>
      </c>
      <c r="BS12" s="7">
        <v>2.8</v>
      </c>
      <c r="BT12" s="7">
        <v>2.5</v>
      </c>
      <c r="BU12" s="5">
        <f t="shared" si="20"/>
        <v>2.4699999999999998</v>
      </c>
      <c r="BV12" s="5" t="str">
        <f t="shared" si="21"/>
        <v>BAJO</v>
      </c>
      <c r="BW12" s="5">
        <v>1</v>
      </c>
      <c r="BX12" s="7">
        <v>2</v>
      </c>
      <c r="BY12" s="7">
        <v>2.2000000000000002</v>
      </c>
      <c r="BZ12" s="7">
        <v>2.5</v>
      </c>
      <c r="CA12" s="5">
        <f t="shared" si="22"/>
        <v>2.23</v>
      </c>
      <c r="CB12" s="5" t="str">
        <f t="shared" si="23"/>
        <v>BAJO</v>
      </c>
      <c r="CC12" s="5">
        <v>1</v>
      </c>
      <c r="CD12" s="7">
        <v>2</v>
      </c>
      <c r="CE12" s="7">
        <v>2</v>
      </c>
      <c r="CF12" s="7">
        <v>2</v>
      </c>
      <c r="CG12" s="5">
        <f t="shared" si="24"/>
        <v>2</v>
      </c>
      <c r="CH12" s="5" t="str">
        <f t="shared" si="25"/>
        <v>BAJO</v>
      </c>
      <c r="CI12" s="5">
        <v>1</v>
      </c>
      <c r="CJ12" s="7">
        <v>3.5</v>
      </c>
      <c r="CK12" s="7">
        <v>3.5</v>
      </c>
      <c r="CL12" s="7">
        <v>3.5</v>
      </c>
      <c r="CM12" s="5">
        <f t="shared" si="26"/>
        <v>3.5</v>
      </c>
      <c r="CN12" s="5" t="str">
        <f t="shared" si="27"/>
        <v>BASICO</v>
      </c>
      <c r="CO12" s="5">
        <v>1</v>
      </c>
      <c r="CP12" s="7">
        <v>4</v>
      </c>
      <c r="CQ12" s="7">
        <v>4</v>
      </c>
      <c r="CR12" s="7">
        <v>4</v>
      </c>
      <c r="CS12" s="5">
        <f t="shared" si="28"/>
        <v>4</v>
      </c>
      <c r="CT12" s="5" t="str">
        <f t="shared" si="29"/>
        <v>ALTO</v>
      </c>
      <c r="CU12" s="5">
        <v>2</v>
      </c>
      <c r="CV12" s="7">
        <v>3</v>
      </c>
      <c r="CW12" s="7">
        <v>3</v>
      </c>
      <c r="CX12" s="7">
        <v>3</v>
      </c>
      <c r="CY12" s="5">
        <f t="shared" si="30"/>
        <v>3</v>
      </c>
      <c r="CZ12" s="5" t="str">
        <f t="shared" si="31"/>
        <v>BASICO</v>
      </c>
      <c r="DA12" s="5">
        <v>2</v>
      </c>
      <c r="DB12" s="7">
        <v>2.8</v>
      </c>
      <c r="DC12" s="7">
        <v>2.8</v>
      </c>
      <c r="DD12" s="7">
        <v>3.8</v>
      </c>
      <c r="DE12" s="5">
        <f t="shared" si="32"/>
        <v>3.0999999999999996</v>
      </c>
      <c r="DF12" s="5" t="str">
        <f t="shared" si="33"/>
        <v>BASICO</v>
      </c>
      <c r="DG12" s="5">
        <v>0</v>
      </c>
      <c r="DH12" s="7">
        <v>3.5</v>
      </c>
      <c r="DI12" s="5" t="str">
        <f t="shared" si="34"/>
        <v>BASICO</v>
      </c>
      <c r="DJ12" s="5">
        <f t="shared" si="35"/>
        <v>2.8005882352941178</v>
      </c>
      <c r="DK12" s="5" t="str">
        <f t="shared" si="36"/>
        <v>Comprende el concepto de números reales, su relación de orden y las propiedades de sus operaciones, así como las relaciones de semejanza y congruencia de distintas figuras geométricas.</v>
      </c>
      <c r="DL12" s="5" t="str">
        <f t="shared" ref="DL12:FJ12" si="47">DL11</f>
        <v>Aplica correctamente las propiedades de las operaciones de números reales y expresiones algebraicas en la resolución de problemas.</v>
      </c>
      <c r="DM12" s="5" t="str">
        <f t="shared" si="47"/>
        <v>Valora el uso del pensamiento lógico a la hora de plantear y resolver problemas de las matemáticas y de la vida cotidiana.</v>
      </c>
      <c r="DN12" s="5" t="str">
        <f t="shared" si="4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2" s="5" t="str">
        <f t="shared" si="47"/>
        <v>Organiza y analiza datos mediante la construcción de tablas de frecuencias y diagramas estadísticos, identificando variables aleatorias y utilizando estas representaciones para resolver situaciones problema.</v>
      </c>
      <c r="DP12" s="5" t="str">
        <f t="shared" si="47"/>
        <v>Muestra disposición y responsabilidad en el manejo y análisis de datos, participando activamente en actividades individuales y colaborativas, y comunicando información estadística con claridad y sentido crítico.</v>
      </c>
      <c r="DQ12" s="5" t="str">
        <f t="shared" si="47"/>
        <v>Analiza las características de la literatura prehispánica y la literatura del descubrimiento y la conquista en Colombia identificando sus elementos fundamentales y su impacto en la cultura y el lenguaje actual.</v>
      </c>
      <c r="DR12" s="5" t="str">
        <f t="shared" si="47"/>
        <v>Realiza comprensión lectora cuando analiza un texto desde el discurso de la Enunciación e identifica la función de cada uno de sus componentes.
Responde preguntas en los tres niveles de lectura a una leyenda del Caribe.</v>
      </c>
      <c r="DS12" s="5" t="str">
        <f t="shared" si="47"/>
        <v>Muestra disposición para participar activamente en las clases, promoviendo el respeto por las ideas ajenas y reconociendo la importancia de la precisión como una herramienta clave para una comunicación</v>
      </c>
      <c r="DT12" s="5" t="str">
        <f t="shared" si="47"/>
        <v>Comprende el contenido del cuento A la deriva, identificando su tema central, la secuencia de los hechos, los personajes y las ideas explícitas e implícitas del texto.</v>
      </c>
      <c r="DU12" s="5" t="str">
        <f t="shared" si="47"/>
        <v>Analiza críticamente el cuento A la deriva mediante la identificación de información literal, inferencial y crítica, sustentando sus respuestas de forma oral y escrita.</v>
      </c>
      <c r="DV12" s="5" t="str">
        <f t="shared" si="47"/>
        <v>Valora la lectura literaria como una oportunidad para reflexionar sobre la vida, la naturaleza y la condición humana, participando con interés, respeto y sentido crítico en las actividades propuestas.</v>
      </c>
      <c r="DW12" s="5" t="str">
        <f t="shared" si="47"/>
        <v>Comprende y reconoce vocabulario y estructuras basicas del ingles para interpretar textos cortos y conversaciones sobre temas cotidianos de la vida diaria.</v>
      </c>
      <c r="DX12" s="5" t="str">
        <f t="shared" si="47"/>
        <v>Produce de forma oral y escrita frases y parrafos cortos en Ingles, utilizando correctamente las estructuras conocidas para describir rutinas, narrar experiencias y participar en conversaciones.</v>
      </c>
      <c r="DY12" s="5" t="str">
        <f t="shared" si="47"/>
        <v>Muestra disposicion positiva hacia el aprendizaje del Ingles participando activamente en clase.</v>
      </c>
      <c r="DZ12" s="5" t="str">
        <f t="shared" si="47"/>
        <v>Identifica vocabulario en Ingles  de situaciones cotidianas.</v>
      </c>
      <c r="EA12" s="5" t="str">
        <f t="shared" si="47"/>
        <v>Participa en actividades utilizando vocabulario aprendido para expresar gustos,emociones y necesidades.</v>
      </c>
      <c r="EB12" s="5" t="str">
        <f t="shared" si="47"/>
        <v>Respeta la opinion de los demas, muestra disposicion para participar en actividades orales.</v>
      </c>
      <c r="EC12" s="5" t="str">
        <f t="shared" si="47"/>
        <v>Identifica la conformación y funcionamiento del sistema inmunolófico y diferencia las característics de los estados de la materia.</v>
      </c>
      <c r="ED12" s="5" t="str">
        <f t="shared" si="47"/>
        <v>Reconoce experimentalmente las características de materiales en los diferentes estados de la materia.</v>
      </c>
      <c r="EE12" s="5" t="str">
        <f t="shared" si="47"/>
        <v xml:space="preserve">Valora la importancia de tener habitos saludables, para lograr el mantenimiento saludable del sistema inmune. </v>
      </c>
      <c r="EF12" s="5" t="str">
        <f t="shared" si="47"/>
        <v>Describe correctamente la secuencia de eventos biologicos de la fecundacion,incluyendo las recciones acrosomicas,la funcion de gametos y la formacion de gametos.</v>
      </c>
      <c r="EG12" s="5" t="str">
        <f t="shared" si="47"/>
        <v>Mide la capacidad del labolatrio para lograr la fecundacion exitosa de los ovulos con el espermatozoide.</v>
      </c>
      <c r="EH12" s="5" t="str">
        <f t="shared" si="47"/>
        <v>Valora la importancia del cuidado del cuerpo y de la salud reproductiva como la base para una fecundacion saludable.</v>
      </c>
      <c r="EI12" s="5" t="str">
        <f t="shared" si="47"/>
        <v>Explico las principales caracteristicas de algunas revoluciones de los siglos XVIII y XIX (Revolucion francesa, Industrial...)</v>
      </c>
      <c r="EJ12" s="5" t="str">
        <f t="shared" si="47"/>
        <v>Analiza las causas y consecuencias de procesos historicos como la Revolucion Industrial y Francesa.</v>
      </c>
      <c r="EK12" s="5" t="str">
        <f t="shared" si="47"/>
        <v>Muestra interes y curiosidad por comprender los procesos historicos y su impacto en la sociedad.</v>
      </c>
      <c r="EL12" s="5" t="str">
        <f t="shared" si="47"/>
        <v xml:space="preserve">Identifica los procesos historicos de algunas revoluciones de los siglos XVIII y XIX </v>
      </c>
      <c r="EM12" s="5">
        <f t="shared" si="47"/>
        <v>0</v>
      </c>
      <c r="EN12" s="5">
        <f t="shared" si="47"/>
        <v>0</v>
      </c>
      <c r="EO12" s="5" t="str">
        <f t="shared" si="47"/>
        <v xml:space="preserve">Comprende la distribucion espacial de la poblacion antes y despues de las revoluciones </v>
      </c>
      <c r="EP12" s="5" t="str">
        <f t="shared" si="47"/>
        <v xml:space="preserve">Ubica en mapas las regiones donde se desarrollaron las principales revoluciones y explica sus caracteristicas geograficas </v>
      </c>
      <c r="EQ12" s="5" t="str">
        <f t="shared" si="47"/>
        <v>Muestra interes por comprender la relacion entre sociedad, economia y territorio</v>
      </c>
      <c r="ER12" s="5" t="str">
        <f t="shared" si="47"/>
        <v>Comprende el concepto de cultura de paz y su importancia en la sociedad</v>
      </c>
      <c r="ES12" s="5" t="str">
        <f t="shared" si="47"/>
        <v>Practica normas de convivencia en diferentes espacios( aula, hogar, comunidad)</v>
      </c>
      <c r="ET12" s="5" t="str">
        <f t="shared" si="47"/>
        <v>Muestra actitud de respeto hacia la diversidad cuktural, social y de pensamiento</v>
      </c>
      <c r="EU12" s="5">
        <f t="shared" si="47"/>
        <v>0</v>
      </c>
      <c r="EV12" s="5">
        <f t="shared" si="47"/>
        <v>0</v>
      </c>
      <c r="EW12" s="5">
        <f t="shared" si="47"/>
        <v>0</v>
      </c>
      <c r="EX12" s="5">
        <f t="shared" si="47"/>
        <v>0</v>
      </c>
      <c r="EY12" s="5">
        <f t="shared" si="47"/>
        <v>0</v>
      </c>
      <c r="EZ12" s="5">
        <f t="shared" si="47"/>
        <v>0</v>
      </c>
      <c r="FA12" s="5">
        <f t="shared" si="47"/>
        <v>0</v>
      </c>
      <c r="FB12" s="5">
        <f t="shared" si="47"/>
        <v>0</v>
      </c>
      <c r="FC12" s="5">
        <f t="shared" si="47"/>
        <v>0</v>
      </c>
      <c r="FD12" s="5" t="str">
        <f t="shared" si="47"/>
        <v xml:space="preserve"> Identifica las expresiones motrices relacionadas con el juego del voleibol,  como una oportunidad para mejorar la salud, la estética y las relaciones con los demás.</v>
      </c>
      <c r="FE12" s="5" t="str">
        <f t="shared" si="47"/>
        <v>Pone en práctica los fundamentos básicos del voleibol.</v>
      </c>
      <c r="FF12" s="5" t="str">
        <f t="shared" si="47"/>
        <v>Muestra  responsabilidad y buena actitud al realizar el juego de voleibol.</v>
      </c>
      <c r="FG12" s="5" t="str">
        <f t="shared" si="47"/>
        <v>Comprende el concepto de variable como espacio de almacenamiento de datos y reconoce el uso de estructuras condicionales (si, si-no) para la toma de decisiones en un programa.</v>
      </c>
      <c r="FH12" s="5" t="str">
        <f t="shared" si="47"/>
        <v>Diseña y desarrolla programas que utilizan variables y estructuras condicionales para resolver problemas, evaluando condiciones y generando respuestas según diferentes situaciones.</v>
      </c>
      <c r="FI12" s="5" t="str">
        <f t="shared" si="47"/>
        <v>Muestra pensamiento lógico, perseverancia y actitud crítica al analizar errores y proponer soluciones en la construcción de programas con variables y condicionales.</v>
      </c>
      <c r="FJ12" s="5" t="str">
        <f t="shared" si="47"/>
        <v>Identifica y reconoce sus pricipales deberes y derechos dentro y fuera  de la Institución educativa.</v>
      </c>
    </row>
    <row r="13" spans="1:166">
      <c r="A13" s="5">
        <v>12</v>
      </c>
      <c r="B13" s="5" t="s">
        <v>187</v>
      </c>
      <c r="C13" s="6">
        <v>1044644796</v>
      </c>
      <c r="D13" s="5" t="s">
        <v>176</v>
      </c>
      <c r="E13" s="5" t="s">
        <v>177</v>
      </c>
      <c r="F13" s="5" t="s">
        <v>70</v>
      </c>
      <c r="G13" s="5" t="s">
        <v>71</v>
      </c>
      <c r="H13" s="5">
        <v>2026</v>
      </c>
      <c r="I13" s="5">
        <v>4</v>
      </c>
      <c r="J13" s="7">
        <v>3</v>
      </c>
      <c r="K13" s="7">
        <v>3.5</v>
      </c>
      <c r="L13" s="7">
        <v>4</v>
      </c>
      <c r="M13" s="5">
        <f t="shared" si="41"/>
        <v>3.5</v>
      </c>
      <c r="N13" s="5" t="str">
        <f t="shared" si="1"/>
        <v>BASICO</v>
      </c>
      <c r="O13" s="5">
        <v>1</v>
      </c>
      <c r="P13" s="7">
        <v>3</v>
      </c>
      <c r="Q13" s="7">
        <v>3</v>
      </c>
      <c r="R13" s="7">
        <v>3</v>
      </c>
      <c r="S13" s="5">
        <f t="shared" ref="S13:S42" si="48">((P13*0.3)+(Q13*0.4)+(R13*0.3))</f>
        <v>3</v>
      </c>
      <c r="T13" s="5" t="str">
        <f t="shared" si="3"/>
        <v>BASICO</v>
      </c>
      <c r="U13" s="5">
        <v>4</v>
      </c>
      <c r="V13" s="7">
        <v>4</v>
      </c>
      <c r="W13" s="7">
        <v>3</v>
      </c>
      <c r="X13" s="7">
        <v>4</v>
      </c>
      <c r="Y13" s="5">
        <f t="shared" si="4"/>
        <v>3.6000000000000005</v>
      </c>
      <c r="Z13" s="5" t="str">
        <f t="shared" si="5"/>
        <v>BASICO</v>
      </c>
      <c r="AA13" s="5">
        <v>1</v>
      </c>
      <c r="AB13" s="7">
        <v>2</v>
      </c>
      <c r="AC13" s="7">
        <v>2</v>
      </c>
      <c r="AD13" s="7">
        <v>2</v>
      </c>
      <c r="AE13" s="5">
        <f t="shared" si="6"/>
        <v>2</v>
      </c>
      <c r="AF13" s="5" t="str">
        <f t="shared" si="7"/>
        <v>BAJO</v>
      </c>
      <c r="AG13" s="5">
        <v>2</v>
      </c>
      <c r="AH13" s="8">
        <v>3.5</v>
      </c>
      <c r="AI13" s="8">
        <v>3.5</v>
      </c>
      <c r="AJ13" s="8">
        <v>3.5</v>
      </c>
      <c r="AK13" s="5">
        <f t="shared" si="8"/>
        <v>3.5</v>
      </c>
      <c r="AL13" s="5" t="str">
        <f t="shared" si="9"/>
        <v>BASICO</v>
      </c>
      <c r="AM13" s="5">
        <v>1</v>
      </c>
      <c r="AN13" s="8">
        <v>3.5</v>
      </c>
      <c r="AO13" s="8">
        <v>3.5</v>
      </c>
      <c r="AP13" s="8">
        <v>3.5</v>
      </c>
      <c r="AQ13" s="5">
        <f t="shared" si="10"/>
        <v>3.5</v>
      </c>
      <c r="AR13" s="5" t="str">
        <f t="shared" si="11"/>
        <v>BASICO</v>
      </c>
      <c r="AS13" s="5">
        <v>4</v>
      </c>
      <c r="AT13" s="7">
        <v>3.5</v>
      </c>
      <c r="AU13" s="7">
        <v>3.5</v>
      </c>
      <c r="AV13" s="7">
        <v>3.5</v>
      </c>
      <c r="AW13" s="5">
        <f t="shared" si="12"/>
        <v>3.5</v>
      </c>
      <c r="AX13" s="5" t="str">
        <f t="shared" ref="AX13:AX17" si="49">IF(AW13&lt;3,"BAJO",IF(AW13&lt;4,"BASICO",IF(AW13&lt;4.5,"ALTO",IF(AW57&lt;=5,"SUPERIOR"))))</f>
        <v>BASICO</v>
      </c>
      <c r="AY13" s="5">
        <v>1</v>
      </c>
      <c r="AZ13" s="7">
        <v>4.5</v>
      </c>
      <c r="BA13" s="7">
        <v>4.5</v>
      </c>
      <c r="BB13" s="7">
        <v>4.5</v>
      </c>
      <c r="BC13" s="5">
        <f t="shared" si="14"/>
        <v>4.5</v>
      </c>
      <c r="BD13" s="5" t="str">
        <f t="shared" si="15"/>
        <v>SUPERIOR</v>
      </c>
      <c r="BE13" s="7">
        <v>2</v>
      </c>
      <c r="BF13" s="7">
        <v>3.5</v>
      </c>
      <c r="BG13" s="7">
        <v>3.8</v>
      </c>
      <c r="BH13" s="7">
        <v>4</v>
      </c>
      <c r="BI13" s="5">
        <f t="shared" si="16"/>
        <v>3.7700000000000005</v>
      </c>
      <c r="BJ13" s="5" t="str">
        <f t="shared" si="17"/>
        <v>BASICO</v>
      </c>
      <c r="BK13" s="5">
        <v>1</v>
      </c>
      <c r="BL13" s="7">
        <v>3.6</v>
      </c>
      <c r="BM13" s="7">
        <v>3</v>
      </c>
      <c r="BN13" s="7">
        <v>3.6</v>
      </c>
      <c r="BO13" s="5">
        <f t="shared" si="18"/>
        <v>3.3600000000000003</v>
      </c>
      <c r="BP13" s="5" t="str">
        <f t="shared" si="19"/>
        <v>BASICO</v>
      </c>
      <c r="BQ13" s="5">
        <v>1</v>
      </c>
      <c r="BR13" s="7">
        <v>3.3</v>
      </c>
      <c r="BS13" s="7">
        <v>3.7</v>
      </c>
      <c r="BT13" s="7">
        <v>3.8</v>
      </c>
      <c r="BU13" s="5">
        <f t="shared" si="20"/>
        <v>3.6100000000000003</v>
      </c>
      <c r="BV13" s="5" t="str">
        <f t="shared" si="21"/>
        <v>BASICO</v>
      </c>
      <c r="BW13" s="5">
        <v>1</v>
      </c>
      <c r="BX13" s="7">
        <v>3.3</v>
      </c>
      <c r="BY13" s="7">
        <v>3.4</v>
      </c>
      <c r="BZ13" s="7">
        <v>3.3</v>
      </c>
      <c r="CA13" s="5">
        <f t="shared" si="22"/>
        <v>3.34</v>
      </c>
      <c r="CB13" s="5" t="str">
        <f t="shared" si="23"/>
        <v>BASICO</v>
      </c>
      <c r="CC13" s="5">
        <v>1</v>
      </c>
      <c r="CD13" s="7">
        <v>3.4</v>
      </c>
      <c r="CE13" s="7">
        <v>3.3</v>
      </c>
      <c r="CF13" s="7">
        <v>3.3</v>
      </c>
      <c r="CG13" s="5">
        <f t="shared" si="24"/>
        <v>3.3299999999999996</v>
      </c>
      <c r="CH13" s="5" t="str">
        <f t="shared" si="25"/>
        <v>BASICO</v>
      </c>
      <c r="CI13" s="5">
        <v>1</v>
      </c>
      <c r="CJ13" s="7">
        <v>4</v>
      </c>
      <c r="CK13" s="7">
        <v>4</v>
      </c>
      <c r="CL13" s="7">
        <v>4</v>
      </c>
      <c r="CM13" s="5">
        <f t="shared" si="26"/>
        <v>4</v>
      </c>
      <c r="CN13" s="5" t="str">
        <f t="shared" si="27"/>
        <v>ALTO</v>
      </c>
      <c r="CO13" s="5">
        <v>1</v>
      </c>
      <c r="CP13" s="7">
        <v>5</v>
      </c>
      <c r="CQ13" s="7">
        <v>5</v>
      </c>
      <c r="CR13" s="7">
        <v>5</v>
      </c>
      <c r="CS13" s="5">
        <f t="shared" si="28"/>
        <v>5</v>
      </c>
      <c r="CT13" s="5" t="str">
        <f t="shared" si="29"/>
        <v>SUPERIOR</v>
      </c>
      <c r="CU13" s="5">
        <v>2</v>
      </c>
      <c r="CV13" s="7">
        <v>3.5</v>
      </c>
      <c r="CW13" s="7">
        <v>3.5</v>
      </c>
      <c r="CX13" s="7">
        <v>3.5</v>
      </c>
      <c r="CY13" s="5">
        <f t="shared" si="30"/>
        <v>3.5</v>
      </c>
      <c r="CZ13" s="5" t="str">
        <f t="shared" si="31"/>
        <v>BASICO</v>
      </c>
      <c r="DA13" s="5">
        <v>2</v>
      </c>
      <c r="DB13" s="7">
        <v>3</v>
      </c>
      <c r="DC13" s="7">
        <v>3</v>
      </c>
      <c r="DD13" s="7">
        <v>3</v>
      </c>
      <c r="DE13" s="5">
        <f t="shared" si="32"/>
        <v>3</v>
      </c>
      <c r="DF13" s="5" t="str">
        <f t="shared" si="33"/>
        <v>BASICO</v>
      </c>
      <c r="DG13" s="5">
        <v>0</v>
      </c>
      <c r="DH13" s="7">
        <v>4</v>
      </c>
      <c r="DI13" s="5" t="str">
        <f t="shared" si="34"/>
        <v>ALTO</v>
      </c>
      <c r="DJ13" s="5">
        <f t="shared" si="35"/>
        <v>3.552941176470588</v>
      </c>
      <c r="DK13" s="5" t="str">
        <f t="shared" si="36"/>
        <v>Comprende el concepto de números reales, su relación de orden y las propiedades de sus operaciones, así como las relaciones de semejanza y congruencia de distintas figuras geométricas.</v>
      </c>
      <c r="DL13" s="5" t="str">
        <f t="shared" ref="DL13:FJ13" si="50">DL11</f>
        <v>Aplica correctamente las propiedades de las operaciones de números reales y expresiones algebraicas en la resolución de problemas.</v>
      </c>
      <c r="DM13" s="5" t="str">
        <f t="shared" si="50"/>
        <v>Valora el uso del pensamiento lógico a la hora de plantear y resolver problemas de las matemáticas y de la vida cotidiana.</v>
      </c>
      <c r="DN13" s="5" t="str">
        <f t="shared" si="5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3" s="5" t="str">
        <f t="shared" si="50"/>
        <v>Organiza y analiza datos mediante la construcción de tablas de frecuencias y diagramas estadísticos, identificando variables aleatorias y utilizando estas representaciones para resolver situaciones problema.</v>
      </c>
      <c r="DP13" s="5" t="str">
        <f t="shared" si="50"/>
        <v>Muestra disposición y responsabilidad en el manejo y análisis de datos, participando activamente en actividades individuales y colaborativas, y comunicando información estadística con claridad y sentido crítico.</v>
      </c>
      <c r="DQ13" s="5" t="str">
        <f t="shared" si="50"/>
        <v>Analiza las características de la literatura prehispánica y la literatura del descubrimiento y la conquista en Colombia identificando sus elementos fundamentales y su impacto en la cultura y el lenguaje actual.</v>
      </c>
      <c r="DR13" s="5" t="str">
        <f t="shared" si="50"/>
        <v>Realiza comprensión lectora cuando analiza un texto desde el discurso de la Enunciación e identifica la función de cada uno de sus componentes.
Responde preguntas en los tres niveles de lectura a una leyenda del Caribe.</v>
      </c>
      <c r="DS13" s="5" t="str">
        <f t="shared" si="50"/>
        <v>Muestra disposición para participar activamente en las clases, promoviendo el respeto por las ideas ajenas y reconociendo la importancia de la precisión como una herramienta clave para una comunicación</v>
      </c>
      <c r="DT13" s="5" t="str">
        <f t="shared" si="50"/>
        <v>Comprende el contenido del cuento A la deriva, identificando su tema central, la secuencia de los hechos, los personajes y las ideas explícitas e implícitas del texto.</v>
      </c>
      <c r="DU13" s="5" t="str">
        <f t="shared" si="50"/>
        <v>Analiza críticamente el cuento A la deriva mediante la identificación de información literal, inferencial y crítica, sustentando sus respuestas de forma oral y escrita.</v>
      </c>
      <c r="DV13" s="5" t="str">
        <f t="shared" si="50"/>
        <v>Valora la lectura literaria como una oportunidad para reflexionar sobre la vida, la naturaleza y la condición humana, participando con interés, respeto y sentido crítico en las actividades propuestas.</v>
      </c>
      <c r="DW13" s="5" t="str">
        <f t="shared" si="50"/>
        <v>Comprende y reconoce vocabulario y estructuras basicas del ingles para interpretar textos cortos y conversaciones sobre temas cotidianos de la vida diaria.</v>
      </c>
      <c r="DX13" s="5" t="str">
        <f t="shared" si="50"/>
        <v>Produce de forma oral y escrita frases y parrafos cortos en Ingles, utilizando correctamente las estructuras conocidas para describir rutinas, narrar experiencias y participar en conversaciones.</v>
      </c>
      <c r="DY13" s="5" t="str">
        <f t="shared" si="50"/>
        <v>Muestra disposicion positiva hacia el aprendizaje del Ingles participando activamente en clase.</v>
      </c>
      <c r="DZ13" s="5" t="str">
        <f t="shared" si="50"/>
        <v>Identifica vocabulario en Ingles  de situaciones cotidianas.</v>
      </c>
      <c r="EA13" s="5" t="str">
        <f t="shared" si="50"/>
        <v>Participa en actividades utilizando vocabulario aprendido para expresar gustos,emociones y necesidades.</v>
      </c>
      <c r="EB13" s="5" t="str">
        <f t="shared" si="50"/>
        <v>Respeta la opinion de los demas, muestra disposicion para participar en actividades orales.</v>
      </c>
      <c r="EC13" s="5" t="str">
        <f t="shared" si="50"/>
        <v>Identifica la conformación y funcionamiento del sistema inmunolófico y diferencia las característics de los estados de la materia.</v>
      </c>
      <c r="ED13" s="5" t="str">
        <f t="shared" si="50"/>
        <v>Reconoce experimentalmente las características de materiales en los diferentes estados de la materia.</v>
      </c>
      <c r="EE13" s="5" t="str">
        <f t="shared" si="50"/>
        <v xml:space="preserve">Valora la importancia de tener habitos saludables, para lograr el mantenimiento saludable del sistema inmune. </v>
      </c>
      <c r="EF13" s="5" t="str">
        <f t="shared" si="50"/>
        <v>Describe correctamente la secuencia de eventos biologicos de la fecundacion,incluyendo las recciones acrosomicas,la funcion de gametos y la formacion de gametos.</v>
      </c>
      <c r="EG13" s="5" t="str">
        <f t="shared" si="50"/>
        <v>Mide la capacidad del labolatrio para lograr la fecundacion exitosa de los ovulos con el espermatozoide.</v>
      </c>
      <c r="EH13" s="5" t="str">
        <f t="shared" si="50"/>
        <v>Valora la importancia del cuidado del cuerpo y de la salud reproductiva como la base para una fecundacion saludable.</v>
      </c>
      <c r="EI13" s="5" t="str">
        <f t="shared" si="50"/>
        <v>Explico las principales caracteristicas de algunas revoluciones de los siglos XVIII y XIX (Revolucion francesa, Industrial...)</v>
      </c>
      <c r="EJ13" s="5" t="str">
        <f t="shared" si="50"/>
        <v>Analiza las causas y consecuencias de procesos historicos como la Revolucion Industrial y Francesa.</v>
      </c>
      <c r="EK13" s="5" t="str">
        <f t="shared" si="50"/>
        <v>Muestra interes y curiosidad por comprender los procesos historicos y su impacto en la sociedad.</v>
      </c>
      <c r="EL13" s="5" t="str">
        <f t="shared" si="50"/>
        <v xml:space="preserve">Identifica los procesos historicos de algunas revoluciones de los siglos XVIII y XIX </v>
      </c>
      <c r="EM13" s="5">
        <f t="shared" si="50"/>
        <v>0</v>
      </c>
      <c r="EN13" s="5">
        <f t="shared" si="50"/>
        <v>0</v>
      </c>
      <c r="EO13" s="5" t="str">
        <f t="shared" si="50"/>
        <v xml:space="preserve">Comprende la distribucion espacial de la poblacion antes y despues de las revoluciones </v>
      </c>
      <c r="EP13" s="5" t="str">
        <f t="shared" si="50"/>
        <v xml:space="preserve">Ubica en mapas las regiones donde se desarrollaron las principales revoluciones y explica sus caracteristicas geograficas </v>
      </c>
      <c r="EQ13" s="5" t="str">
        <f t="shared" si="50"/>
        <v>Muestra interes por comprender la relacion entre sociedad, economia y territorio</v>
      </c>
      <c r="ER13" s="5" t="str">
        <f t="shared" si="50"/>
        <v>Comprende el concepto de cultura de paz y su importancia en la sociedad</v>
      </c>
      <c r="ES13" s="5" t="str">
        <f t="shared" si="50"/>
        <v>Practica normas de convivencia en diferentes espacios( aula, hogar, comunidad)</v>
      </c>
      <c r="ET13" s="5" t="str">
        <f t="shared" si="50"/>
        <v>Muestra actitud de respeto hacia la diversidad cuktural, social y de pensamiento</v>
      </c>
      <c r="EU13" s="5">
        <f t="shared" si="50"/>
        <v>0</v>
      </c>
      <c r="EV13" s="5">
        <f t="shared" si="50"/>
        <v>0</v>
      </c>
      <c r="EW13" s="5">
        <f t="shared" si="50"/>
        <v>0</v>
      </c>
      <c r="EX13" s="5">
        <f t="shared" si="50"/>
        <v>0</v>
      </c>
      <c r="EY13" s="5">
        <f t="shared" si="50"/>
        <v>0</v>
      </c>
      <c r="EZ13" s="5">
        <f t="shared" si="50"/>
        <v>0</v>
      </c>
      <c r="FA13" s="5">
        <f t="shared" si="50"/>
        <v>0</v>
      </c>
      <c r="FB13" s="5">
        <f t="shared" si="50"/>
        <v>0</v>
      </c>
      <c r="FC13" s="5">
        <f t="shared" si="50"/>
        <v>0</v>
      </c>
      <c r="FD13" s="5" t="str">
        <f t="shared" si="50"/>
        <v xml:space="preserve"> Identifica las expresiones motrices relacionadas con el juego del voleibol,  como una oportunidad para mejorar la salud, la estética y las relaciones con los demás.</v>
      </c>
      <c r="FE13" s="5" t="str">
        <f t="shared" si="50"/>
        <v>Pone en práctica los fundamentos básicos del voleibol.</v>
      </c>
      <c r="FF13" s="5" t="str">
        <f t="shared" si="50"/>
        <v>Muestra  responsabilidad y buena actitud al realizar el juego de voleibol.</v>
      </c>
      <c r="FG13" s="5" t="str">
        <f t="shared" si="50"/>
        <v>Comprende el concepto de variable como espacio de almacenamiento de datos y reconoce el uso de estructuras condicionales (si, si-no) para la toma de decisiones en un programa.</v>
      </c>
      <c r="FH13" s="5" t="str">
        <f t="shared" si="50"/>
        <v>Diseña y desarrolla programas que utilizan variables y estructuras condicionales para resolver problemas, evaluando condiciones y generando respuestas según diferentes situaciones.</v>
      </c>
      <c r="FI13" s="5" t="str">
        <f t="shared" si="50"/>
        <v>Muestra pensamiento lógico, perseverancia y actitud crítica al analizar errores y proponer soluciones en la construcción de programas con variables y condicionales.</v>
      </c>
      <c r="FJ13" s="5" t="str">
        <f t="shared" si="50"/>
        <v>Identifica y reconoce sus pricipales deberes y derechos dentro y fuera  de la Institución educativa.</v>
      </c>
    </row>
    <row r="14" spans="1:166">
      <c r="A14" s="5">
        <v>13</v>
      </c>
      <c r="B14" s="5" t="s">
        <v>188</v>
      </c>
      <c r="C14" s="6">
        <v>1143143725</v>
      </c>
      <c r="D14" s="5" t="s">
        <v>176</v>
      </c>
      <c r="E14" s="5" t="s">
        <v>177</v>
      </c>
      <c r="F14" s="5" t="s">
        <v>70</v>
      </c>
      <c r="G14" s="5" t="s">
        <v>71</v>
      </c>
      <c r="H14" s="5">
        <v>2026</v>
      </c>
      <c r="I14" s="5">
        <v>4</v>
      </c>
      <c r="J14" s="7">
        <v>2.9</v>
      </c>
      <c r="K14" s="7">
        <v>3</v>
      </c>
      <c r="L14" s="7">
        <v>3.1</v>
      </c>
      <c r="M14" s="5">
        <f t="shared" si="41"/>
        <v>3</v>
      </c>
      <c r="N14" s="5" t="str">
        <f t="shared" si="1"/>
        <v>BASICO</v>
      </c>
      <c r="O14" s="5">
        <v>1</v>
      </c>
      <c r="P14" s="7">
        <v>3.5</v>
      </c>
      <c r="Q14" s="7">
        <v>3</v>
      </c>
      <c r="R14" s="7">
        <v>3.5</v>
      </c>
      <c r="S14" s="5">
        <f t="shared" si="48"/>
        <v>3.3</v>
      </c>
      <c r="T14" s="5" t="str">
        <f t="shared" si="3"/>
        <v>BASICO</v>
      </c>
      <c r="U14" s="5">
        <v>4</v>
      </c>
      <c r="V14" s="7">
        <v>4.5</v>
      </c>
      <c r="W14" s="7">
        <v>4</v>
      </c>
      <c r="X14" s="7">
        <v>4</v>
      </c>
      <c r="Y14" s="5">
        <f t="shared" si="4"/>
        <v>4.1500000000000004</v>
      </c>
      <c r="Z14" s="5" t="str">
        <f t="shared" si="5"/>
        <v>ALTO</v>
      </c>
      <c r="AA14" s="5">
        <v>1</v>
      </c>
      <c r="AB14" s="7">
        <v>2</v>
      </c>
      <c r="AC14" s="7">
        <v>2</v>
      </c>
      <c r="AD14" s="7">
        <v>2</v>
      </c>
      <c r="AE14" s="5">
        <f t="shared" si="6"/>
        <v>2</v>
      </c>
      <c r="AF14" s="5" t="str">
        <f t="shared" si="7"/>
        <v>BAJO</v>
      </c>
      <c r="AG14" s="5">
        <v>2</v>
      </c>
      <c r="AH14" s="8">
        <v>3</v>
      </c>
      <c r="AI14" s="8">
        <v>3</v>
      </c>
      <c r="AJ14" s="8">
        <v>3</v>
      </c>
      <c r="AK14" s="5">
        <f t="shared" si="8"/>
        <v>3</v>
      </c>
      <c r="AL14" s="5" t="str">
        <f t="shared" si="9"/>
        <v>BASICO</v>
      </c>
      <c r="AM14" s="5">
        <v>1</v>
      </c>
      <c r="AN14" s="8">
        <v>3</v>
      </c>
      <c r="AO14" s="8">
        <v>3</v>
      </c>
      <c r="AP14" s="8">
        <v>3</v>
      </c>
      <c r="AQ14" s="5">
        <f t="shared" si="10"/>
        <v>3</v>
      </c>
      <c r="AR14" s="5" t="str">
        <f t="shared" si="11"/>
        <v>BASICO</v>
      </c>
      <c r="AS14" s="5">
        <v>4</v>
      </c>
      <c r="AT14" s="7">
        <v>3.4</v>
      </c>
      <c r="AU14" s="7">
        <v>3.4</v>
      </c>
      <c r="AV14" s="7">
        <v>3.4</v>
      </c>
      <c r="AW14" s="5">
        <f t="shared" si="12"/>
        <v>3.4</v>
      </c>
      <c r="AX14" s="5" t="str">
        <f t="shared" si="49"/>
        <v>BASICO</v>
      </c>
      <c r="AY14" s="5">
        <v>1</v>
      </c>
      <c r="AZ14" s="7">
        <v>3</v>
      </c>
      <c r="BA14" s="7">
        <v>3</v>
      </c>
      <c r="BB14" s="7">
        <v>3</v>
      </c>
      <c r="BC14" s="5">
        <f t="shared" si="14"/>
        <v>3</v>
      </c>
      <c r="BD14" s="5" t="str">
        <f t="shared" si="15"/>
        <v>BASICO</v>
      </c>
      <c r="BE14" s="7">
        <v>2</v>
      </c>
      <c r="BF14" s="7">
        <v>3.4</v>
      </c>
      <c r="BG14" s="7">
        <v>3.7</v>
      </c>
      <c r="BH14" s="7">
        <v>3.5</v>
      </c>
      <c r="BI14" s="5">
        <f t="shared" si="16"/>
        <v>3.55</v>
      </c>
      <c r="BJ14" s="5" t="str">
        <f t="shared" si="17"/>
        <v>BASICO</v>
      </c>
      <c r="BK14" s="5">
        <v>1</v>
      </c>
      <c r="BL14" s="7">
        <v>4</v>
      </c>
      <c r="BM14" s="7">
        <v>3.8</v>
      </c>
      <c r="BN14" s="7">
        <v>3.9</v>
      </c>
      <c r="BO14" s="5">
        <f t="shared" si="18"/>
        <v>3.8899999999999997</v>
      </c>
      <c r="BP14" s="5" t="str">
        <f t="shared" si="19"/>
        <v>BASICO</v>
      </c>
      <c r="BQ14" s="5">
        <v>1</v>
      </c>
      <c r="BR14" s="7">
        <v>3.8</v>
      </c>
      <c r="BS14" s="7">
        <v>4</v>
      </c>
      <c r="BT14" s="7">
        <v>4.3</v>
      </c>
      <c r="BU14" s="5">
        <f t="shared" si="20"/>
        <v>4.03</v>
      </c>
      <c r="BV14" s="5" t="str">
        <f t="shared" si="21"/>
        <v>ALTO</v>
      </c>
      <c r="BW14" s="5">
        <v>1</v>
      </c>
      <c r="BX14" s="7">
        <v>3.7</v>
      </c>
      <c r="BY14" s="7">
        <v>3.3</v>
      </c>
      <c r="BZ14" s="7">
        <v>3.7</v>
      </c>
      <c r="CA14" s="5">
        <f t="shared" si="22"/>
        <v>3.54</v>
      </c>
      <c r="CB14" s="5" t="str">
        <f t="shared" si="23"/>
        <v>BASICO</v>
      </c>
      <c r="CC14" s="5">
        <v>1</v>
      </c>
      <c r="CD14" s="7">
        <v>3.8</v>
      </c>
      <c r="CE14" s="7">
        <v>3.8</v>
      </c>
      <c r="CF14" s="7">
        <v>3.8</v>
      </c>
      <c r="CG14" s="5">
        <f t="shared" si="24"/>
        <v>3.8</v>
      </c>
      <c r="CH14" s="5" t="str">
        <f t="shared" si="25"/>
        <v>BASICO</v>
      </c>
      <c r="CI14" s="5">
        <v>1</v>
      </c>
      <c r="CJ14" s="7">
        <v>4.5</v>
      </c>
      <c r="CK14" s="7">
        <v>4.5</v>
      </c>
      <c r="CL14" s="7">
        <v>4.5</v>
      </c>
      <c r="CM14" s="5">
        <f t="shared" si="26"/>
        <v>4.5</v>
      </c>
      <c r="CN14" s="5" t="str">
        <f t="shared" si="27"/>
        <v>SUPERIOR</v>
      </c>
      <c r="CO14" s="5">
        <v>1</v>
      </c>
      <c r="CP14" s="7">
        <v>4</v>
      </c>
      <c r="CQ14" s="7">
        <v>4</v>
      </c>
      <c r="CR14" s="7">
        <v>4</v>
      </c>
      <c r="CS14" s="5">
        <f t="shared" si="28"/>
        <v>4</v>
      </c>
      <c r="CT14" s="5" t="str">
        <f t="shared" si="29"/>
        <v>ALTO</v>
      </c>
      <c r="CU14" s="5">
        <v>2</v>
      </c>
      <c r="CV14" s="7">
        <v>3.5</v>
      </c>
      <c r="CW14" s="7">
        <v>3.5</v>
      </c>
      <c r="CX14" s="7">
        <v>3.5</v>
      </c>
      <c r="CY14" s="5">
        <f t="shared" si="30"/>
        <v>3.5</v>
      </c>
      <c r="CZ14" s="5" t="str">
        <f t="shared" si="31"/>
        <v>BASICO</v>
      </c>
      <c r="DA14" s="5">
        <v>2</v>
      </c>
      <c r="DB14" s="7">
        <v>4</v>
      </c>
      <c r="DC14" s="7">
        <v>4</v>
      </c>
      <c r="DD14" s="7">
        <v>4</v>
      </c>
      <c r="DE14" s="5">
        <f t="shared" si="32"/>
        <v>4</v>
      </c>
      <c r="DF14" s="5" t="str">
        <f t="shared" si="33"/>
        <v>ALTO</v>
      </c>
      <c r="DG14" s="5">
        <v>0</v>
      </c>
      <c r="DH14" s="7">
        <v>4</v>
      </c>
      <c r="DI14" s="5" t="str">
        <f t="shared" si="34"/>
        <v>ALTO</v>
      </c>
      <c r="DJ14" s="5">
        <f t="shared" si="35"/>
        <v>3.5076470588235291</v>
      </c>
      <c r="DK14" s="5" t="str">
        <f t="shared" si="36"/>
        <v>Comprende el concepto de números reales, su relación de orden y las propiedades de sus operaciones, así como las relaciones de semejanza y congruencia de distintas figuras geométricas.</v>
      </c>
      <c r="DL14" s="5" t="str">
        <f t="shared" ref="DL14:FJ14" si="51">DL13</f>
        <v>Aplica correctamente las propiedades de las operaciones de números reales y expresiones algebraicas en la resolución de problemas.</v>
      </c>
      <c r="DM14" s="5" t="str">
        <f t="shared" si="51"/>
        <v>Valora el uso del pensamiento lógico a la hora de plantear y resolver problemas de las matemáticas y de la vida cotidiana.</v>
      </c>
      <c r="DN14" s="5" t="str">
        <f t="shared" si="5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4" s="5" t="str">
        <f t="shared" si="51"/>
        <v>Organiza y analiza datos mediante la construcción de tablas de frecuencias y diagramas estadísticos, identificando variables aleatorias y utilizando estas representaciones para resolver situaciones problema.</v>
      </c>
      <c r="DP14" s="5" t="str">
        <f t="shared" si="51"/>
        <v>Muestra disposición y responsabilidad en el manejo y análisis de datos, participando activamente en actividades individuales y colaborativas, y comunicando información estadística con claridad y sentido crítico.</v>
      </c>
      <c r="DQ14" s="5" t="str">
        <f t="shared" si="51"/>
        <v>Analiza las características de la literatura prehispánica y la literatura del descubrimiento y la conquista en Colombia identificando sus elementos fundamentales y su impacto en la cultura y el lenguaje actual.</v>
      </c>
      <c r="DR14" s="5" t="str">
        <f t="shared" si="51"/>
        <v>Realiza comprensión lectora cuando analiza un texto desde el discurso de la Enunciación e identifica la función de cada uno de sus componentes.
Responde preguntas en los tres niveles de lectura a una leyenda del Caribe.</v>
      </c>
      <c r="DS14" s="5" t="str">
        <f t="shared" si="51"/>
        <v>Muestra disposición para participar activamente en las clases, promoviendo el respeto por las ideas ajenas y reconociendo la importancia de la precisión como una herramienta clave para una comunicación</v>
      </c>
      <c r="DT14" s="5" t="str">
        <f t="shared" si="51"/>
        <v>Comprende el contenido del cuento A la deriva, identificando su tema central, la secuencia de los hechos, los personajes y las ideas explícitas e implícitas del texto.</v>
      </c>
      <c r="DU14" s="5" t="str">
        <f t="shared" si="51"/>
        <v>Analiza críticamente el cuento A la deriva mediante la identificación de información literal, inferencial y crítica, sustentando sus respuestas de forma oral y escrita.</v>
      </c>
      <c r="DV14" s="5" t="str">
        <f t="shared" si="51"/>
        <v>Valora la lectura literaria como una oportunidad para reflexionar sobre la vida, la naturaleza y la condición humana, participando con interés, respeto y sentido crítico en las actividades propuestas.</v>
      </c>
      <c r="DW14" s="5" t="str">
        <f t="shared" si="51"/>
        <v>Comprende y reconoce vocabulario y estructuras basicas del ingles para interpretar textos cortos y conversaciones sobre temas cotidianos de la vida diaria.</v>
      </c>
      <c r="DX14" s="5" t="str">
        <f t="shared" si="51"/>
        <v>Produce de forma oral y escrita frases y parrafos cortos en Ingles, utilizando correctamente las estructuras conocidas para describir rutinas, narrar experiencias y participar en conversaciones.</v>
      </c>
      <c r="DY14" s="5" t="str">
        <f t="shared" si="51"/>
        <v>Muestra disposicion positiva hacia el aprendizaje del Ingles participando activamente en clase.</v>
      </c>
      <c r="DZ14" s="5" t="str">
        <f t="shared" si="51"/>
        <v>Identifica vocabulario en Ingles  de situaciones cotidianas.</v>
      </c>
      <c r="EA14" s="5" t="str">
        <f t="shared" si="51"/>
        <v>Participa en actividades utilizando vocabulario aprendido para expresar gustos,emociones y necesidades.</v>
      </c>
      <c r="EB14" s="5" t="str">
        <f t="shared" si="51"/>
        <v>Respeta la opinion de los demas, muestra disposicion para participar en actividades orales.</v>
      </c>
      <c r="EC14" s="5" t="str">
        <f t="shared" si="51"/>
        <v>Identifica la conformación y funcionamiento del sistema inmunolófico y diferencia las característics de los estados de la materia.</v>
      </c>
      <c r="ED14" s="5" t="str">
        <f t="shared" si="51"/>
        <v>Reconoce experimentalmente las características de materiales en los diferentes estados de la materia.</v>
      </c>
      <c r="EE14" s="5" t="str">
        <f t="shared" si="51"/>
        <v xml:space="preserve">Valora la importancia de tener habitos saludables, para lograr el mantenimiento saludable del sistema inmune. </v>
      </c>
      <c r="EF14" s="5" t="str">
        <f t="shared" si="51"/>
        <v>Describe correctamente la secuencia de eventos biologicos de la fecundacion,incluyendo las recciones acrosomicas,la funcion de gametos y la formacion de gametos.</v>
      </c>
      <c r="EG14" s="5" t="str">
        <f t="shared" si="51"/>
        <v>Mide la capacidad del labolatrio para lograr la fecundacion exitosa de los ovulos con el espermatozoide.</v>
      </c>
      <c r="EH14" s="5" t="str">
        <f t="shared" si="51"/>
        <v>Valora la importancia del cuidado del cuerpo y de la salud reproductiva como la base para una fecundacion saludable.</v>
      </c>
      <c r="EI14" s="5" t="str">
        <f t="shared" si="51"/>
        <v>Explico las principales caracteristicas de algunas revoluciones de los siglos XVIII y XIX (Revolucion francesa, Industrial...)</v>
      </c>
      <c r="EJ14" s="5" t="str">
        <f t="shared" si="51"/>
        <v>Analiza las causas y consecuencias de procesos historicos como la Revolucion Industrial y Francesa.</v>
      </c>
      <c r="EK14" s="5" t="str">
        <f t="shared" si="51"/>
        <v>Muestra interes y curiosidad por comprender los procesos historicos y su impacto en la sociedad.</v>
      </c>
      <c r="EL14" s="5" t="str">
        <f t="shared" si="51"/>
        <v xml:space="preserve">Identifica los procesos historicos de algunas revoluciones de los siglos XVIII y XIX </v>
      </c>
      <c r="EM14" s="5">
        <f t="shared" si="51"/>
        <v>0</v>
      </c>
      <c r="EN14" s="5">
        <f t="shared" si="51"/>
        <v>0</v>
      </c>
      <c r="EO14" s="5" t="str">
        <f t="shared" si="51"/>
        <v xml:space="preserve">Comprende la distribucion espacial de la poblacion antes y despues de las revoluciones </v>
      </c>
      <c r="EP14" s="5" t="str">
        <f t="shared" si="51"/>
        <v xml:space="preserve">Ubica en mapas las regiones donde se desarrollaron las principales revoluciones y explica sus caracteristicas geograficas </v>
      </c>
      <c r="EQ14" s="5" t="str">
        <f t="shared" si="51"/>
        <v>Muestra interes por comprender la relacion entre sociedad, economia y territorio</v>
      </c>
      <c r="ER14" s="5" t="str">
        <f t="shared" si="51"/>
        <v>Comprende el concepto de cultura de paz y su importancia en la sociedad</v>
      </c>
      <c r="ES14" s="5" t="str">
        <f t="shared" si="51"/>
        <v>Practica normas de convivencia en diferentes espacios( aula, hogar, comunidad)</v>
      </c>
      <c r="ET14" s="5" t="str">
        <f t="shared" si="51"/>
        <v>Muestra actitud de respeto hacia la diversidad cuktural, social y de pensamiento</v>
      </c>
      <c r="EU14" s="5">
        <f t="shared" si="51"/>
        <v>0</v>
      </c>
      <c r="EV14" s="5">
        <f t="shared" si="51"/>
        <v>0</v>
      </c>
      <c r="EW14" s="5">
        <f t="shared" si="51"/>
        <v>0</v>
      </c>
      <c r="EX14" s="5">
        <f t="shared" si="51"/>
        <v>0</v>
      </c>
      <c r="EY14" s="5">
        <f t="shared" si="51"/>
        <v>0</v>
      </c>
      <c r="EZ14" s="5">
        <f t="shared" si="51"/>
        <v>0</v>
      </c>
      <c r="FA14" s="5">
        <f t="shared" si="51"/>
        <v>0</v>
      </c>
      <c r="FB14" s="5">
        <f t="shared" si="51"/>
        <v>0</v>
      </c>
      <c r="FC14" s="5">
        <f t="shared" si="51"/>
        <v>0</v>
      </c>
      <c r="FD14" s="5" t="str">
        <f t="shared" si="51"/>
        <v xml:space="preserve"> Identifica las expresiones motrices relacionadas con el juego del voleibol,  como una oportunidad para mejorar la salud, la estética y las relaciones con los demás.</v>
      </c>
      <c r="FE14" s="5" t="str">
        <f t="shared" si="51"/>
        <v>Pone en práctica los fundamentos básicos del voleibol.</v>
      </c>
      <c r="FF14" s="5" t="str">
        <f t="shared" si="51"/>
        <v>Muestra  responsabilidad y buena actitud al realizar el juego de voleibol.</v>
      </c>
      <c r="FG14" s="5" t="str">
        <f t="shared" si="51"/>
        <v>Comprende el concepto de variable como espacio de almacenamiento de datos y reconoce el uso de estructuras condicionales (si, si-no) para la toma de decisiones en un programa.</v>
      </c>
      <c r="FH14" s="5" t="str">
        <f t="shared" si="51"/>
        <v>Diseña y desarrolla programas que utilizan variables y estructuras condicionales para resolver problemas, evaluando condiciones y generando respuestas según diferentes situaciones.</v>
      </c>
      <c r="FI14" s="5" t="str">
        <f t="shared" si="51"/>
        <v>Muestra pensamiento lógico, perseverancia y actitud crítica al analizar errores y proponer soluciones en la construcción de programas con variables y condicionales.</v>
      </c>
      <c r="FJ14" s="5" t="str">
        <f t="shared" si="51"/>
        <v>Identifica y reconoce sus pricipales deberes y derechos dentro y fuera  de la Institución educativa.</v>
      </c>
    </row>
    <row r="15" spans="1:166">
      <c r="A15" s="5">
        <v>14</v>
      </c>
      <c r="B15" s="5" t="s">
        <v>189</v>
      </c>
      <c r="C15" s="6">
        <v>1044643276</v>
      </c>
      <c r="D15" s="5" t="s">
        <v>176</v>
      </c>
      <c r="E15" s="5" t="s">
        <v>177</v>
      </c>
      <c r="F15" s="5" t="s">
        <v>70</v>
      </c>
      <c r="G15" s="5" t="s">
        <v>71</v>
      </c>
      <c r="H15" s="5">
        <v>2026</v>
      </c>
      <c r="I15" s="5">
        <v>4</v>
      </c>
      <c r="J15" s="7">
        <v>3</v>
      </c>
      <c r="K15" s="7">
        <v>3</v>
      </c>
      <c r="L15" s="7">
        <v>3</v>
      </c>
      <c r="M15" s="5">
        <f t="shared" si="41"/>
        <v>3</v>
      </c>
      <c r="N15" s="5" t="str">
        <f t="shared" si="1"/>
        <v>BASICO</v>
      </c>
      <c r="O15" s="5">
        <v>1</v>
      </c>
      <c r="P15" s="7">
        <v>3.5</v>
      </c>
      <c r="Q15" s="7">
        <v>3.5</v>
      </c>
      <c r="R15" s="7">
        <v>3.5</v>
      </c>
      <c r="S15" s="5">
        <f t="shared" si="48"/>
        <v>3.5</v>
      </c>
      <c r="T15" s="5" t="str">
        <f t="shared" si="3"/>
        <v>BASICO</v>
      </c>
      <c r="U15" s="5">
        <v>4</v>
      </c>
      <c r="V15" s="7">
        <v>4.5</v>
      </c>
      <c r="W15" s="7">
        <v>4</v>
      </c>
      <c r="X15" s="7">
        <v>3</v>
      </c>
      <c r="Y15" s="5">
        <f t="shared" si="4"/>
        <v>3.85</v>
      </c>
      <c r="Z15" s="5" t="str">
        <f t="shared" si="5"/>
        <v>BASICO</v>
      </c>
      <c r="AA15" s="5">
        <v>1</v>
      </c>
      <c r="AB15" s="7">
        <v>2</v>
      </c>
      <c r="AC15" s="7">
        <v>2</v>
      </c>
      <c r="AD15" s="7">
        <v>2</v>
      </c>
      <c r="AE15" s="5">
        <f t="shared" si="6"/>
        <v>2</v>
      </c>
      <c r="AF15" s="5" t="str">
        <f t="shared" si="7"/>
        <v>BAJO</v>
      </c>
      <c r="AG15" s="5">
        <v>2</v>
      </c>
      <c r="AH15" s="8">
        <v>3.5</v>
      </c>
      <c r="AI15" s="8">
        <v>3.5</v>
      </c>
      <c r="AJ15" s="8">
        <v>3.5</v>
      </c>
      <c r="AK15" s="5">
        <f t="shared" si="8"/>
        <v>3.5</v>
      </c>
      <c r="AL15" s="5" t="str">
        <f t="shared" si="9"/>
        <v>BASICO</v>
      </c>
      <c r="AM15" s="5">
        <v>1</v>
      </c>
      <c r="AN15" s="8">
        <v>3.5</v>
      </c>
      <c r="AO15" s="8">
        <v>3.5</v>
      </c>
      <c r="AP15" s="8">
        <v>3.5</v>
      </c>
      <c r="AQ15" s="5">
        <f t="shared" si="10"/>
        <v>3.5</v>
      </c>
      <c r="AR15" s="5" t="str">
        <f t="shared" si="11"/>
        <v>BASICO</v>
      </c>
      <c r="AS15" s="5">
        <v>4</v>
      </c>
      <c r="AT15" s="7">
        <v>3.2</v>
      </c>
      <c r="AU15" s="7">
        <v>3.2</v>
      </c>
      <c r="AV15" s="7">
        <v>3.2</v>
      </c>
      <c r="AW15" s="5">
        <f t="shared" si="12"/>
        <v>3.2</v>
      </c>
      <c r="AX15" s="5" t="str">
        <f t="shared" si="49"/>
        <v>BASICO</v>
      </c>
      <c r="AY15" s="5">
        <v>1</v>
      </c>
      <c r="AZ15" s="7">
        <v>4.5</v>
      </c>
      <c r="BA15" s="7">
        <v>4.5</v>
      </c>
      <c r="BB15" s="7">
        <v>4.5</v>
      </c>
      <c r="BC15" s="5">
        <f t="shared" si="14"/>
        <v>4.5</v>
      </c>
      <c r="BD15" s="5" t="str">
        <f t="shared" si="15"/>
        <v>SUPERIOR</v>
      </c>
      <c r="BE15" s="7">
        <v>2</v>
      </c>
      <c r="BF15" s="7">
        <v>3.3</v>
      </c>
      <c r="BG15" s="7">
        <v>3.2</v>
      </c>
      <c r="BH15" s="7">
        <v>3.3</v>
      </c>
      <c r="BI15" s="7">
        <v>3.8</v>
      </c>
      <c r="BJ15" s="5" t="str">
        <f t="shared" si="17"/>
        <v>BASICO</v>
      </c>
      <c r="BK15" s="5">
        <v>1</v>
      </c>
      <c r="BL15" s="7">
        <v>3.2</v>
      </c>
      <c r="BM15" s="7">
        <v>3.3</v>
      </c>
      <c r="BN15" s="7">
        <v>3.4</v>
      </c>
      <c r="BO15" s="5">
        <f t="shared" si="18"/>
        <v>3.3000000000000003</v>
      </c>
      <c r="BP15" s="5" t="str">
        <f t="shared" si="19"/>
        <v>BASICO</v>
      </c>
      <c r="BQ15" s="5">
        <v>1</v>
      </c>
      <c r="BR15" s="7">
        <v>3.3</v>
      </c>
      <c r="BS15" s="7">
        <v>3.5</v>
      </c>
      <c r="BT15" s="7">
        <v>3.6</v>
      </c>
      <c r="BU15" s="5">
        <f t="shared" si="20"/>
        <v>3.47</v>
      </c>
      <c r="BV15" s="5" t="str">
        <f t="shared" si="21"/>
        <v>BASICO</v>
      </c>
      <c r="BW15" s="5">
        <v>1</v>
      </c>
      <c r="BX15" s="7">
        <v>3.3</v>
      </c>
      <c r="BY15" s="7">
        <v>3.6</v>
      </c>
      <c r="BZ15" s="7">
        <v>3.5</v>
      </c>
      <c r="CA15" s="5">
        <f t="shared" si="22"/>
        <v>3.4800000000000004</v>
      </c>
      <c r="CB15" s="5" t="str">
        <f t="shared" si="23"/>
        <v>BASICO</v>
      </c>
      <c r="CC15" s="5">
        <v>1</v>
      </c>
      <c r="CD15" s="7">
        <v>3.6</v>
      </c>
      <c r="CE15" s="7">
        <v>3.5</v>
      </c>
      <c r="CF15" s="7">
        <v>3.5</v>
      </c>
      <c r="CG15" s="5">
        <f t="shared" si="24"/>
        <v>3.5300000000000002</v>
      </c>
      <c r="CH15" s="5" t="str">
        <f t="shared" si="25"/>
        <v>BASICO</v>
      </c>
      <c r="CI15" s="5">
        <v>1</v>
      </c>
      <c r="CJ15" s="7">
        <v>4.5</v>
      </c>
      <c r="CK15" s="7">
        <v>4.4000000000000004</v>
      </c>
      <c r="CL15" s="7">
        <v>4.4000000000000004</v>
      </c>
      <c r="CM15" s="5">
        <f t="shared" si="26"/>
        <v>4.4300000000000006</v>
      </c>
      <c r="CN15" s="5" t="str">
        <f t="shared" si="27"/>
        <v>ALTO</v>
      </c>
      <c r="CO15" s="5">
        <v>1</v>
      </c>
      <c r="CP15" s="7">
        <v>5</v>
      </c>
      <c r="CQ15" s="7">
        <v>5</v>
      </c>
      <c r="CR15" s="7">
        <v>5</v>
      </c>
      <c r="CS15" s="5">
        <f t="shared" si="28"/>
        <v>5</v>
      </c>
      <c r="CT15" s="5" t="str">
        <f t="shared" si="29"/>
        <v>SUPERIOR</v>
      </c>
      <c r="CU15" s="5">
        <v>2</v>
      </c>
      <c r="CV15" s="7">
        <v>3</v>
      </c>
      <c r="CW15" s="7">
        <v>3</v>
      </c>
      <c r="CX15" s="7">
        <v>3</v>
      </c>
      <c r="CY15" s="5">
        <f t="shared" si="30"/>
        <v>3</v>
      </c>
      <c r="CZ15" s="5" t="str">
        <f t="shared" si="31"/>
        <v>BASICO</v>
      </c>
      <c r="DA15" s="5">
        <v>2</v>
      </c>
      <c r="DB15" s="7">
        <v>3</v>
      </c>
      <c r="DC15" s="7">
        <v>3.2</v>
      </c>
      <c r="DD15" s="7">
        <v>3.8</v>
      </c>
      <c r="DE15" s="5">
        <f t="shared" si="32"/>
        <v>3.3200000000000003</v>
      </c>
      <c r="DF15" s="5" t="str">
        <f t="shared" si="33"/>
        <v>BASICO</v>
      </c>
      <c r="DG15" s="5">
        <v>0</v>
      </c>
      <c r="DH15" s="7">
        <v>4.5</v>
      </c>
      <c r="DI15" s="5" t="str">
        <f t="shared" si="34"/>
        <v>SUPERIOR</v>
      </c>
      <c r="DJ15" s="5">
        <f t="shared" si="35"/>
        <v>3.612352941176471</v>
      </c>
      <c r="DK15" s="5" t="str">
        <f t="shared" si="36"/>
        <v>Comprende el concepto de números reales, su relación de orden y las propiedades de sus operaciones, así como las relaciones de semejanza y congruencia de distintas figuras geométricas.</v>
      </c>
      <c r="DL15" s="5" t="str">
        <f t="shared" ref="DL15:FJ15" si="52">DL14</f>
        <v>Aplica correctamente las propiedades de las operaciones de números reales y expresiones algebraicas en la resolución de problemas.</v>
      </c>
      <c r="DM15" s="5" t="str">
        <f t="shared" si="52"/>
        <v>Valora el uso del pensamiento lógico a la hora de plantear y resolver problemas de las matemáticas y de la vida cotidiana.</v>
      </c>
      <c r="DN15" s="5" t="str">
        <f t="shared" si="5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5" s="5" t="str">
        <f t="shared" si="52"/>
        <v>Organiza y analiza datos mediante la construcción de tablas de frecuencias y diagramas estadísticos, identificando variables aleatorias y utilizando estas representaciones para resolver situaciones problema.</v>
      </c>
      <c r="DP15" s="5" t="str">
        <f t="shared" si="52"/>
        <v>Muestra disposición y responsabilidad en el manejo y análisis de datos, participando activamente en actividades individuales y colaborativas, y comunicando información estadística con claridad y sentido crítico.</v>
      </c>
      <c r="DQ15" s="5" t="str">
        <f t="shared" si="52"/>
        <v>Analiza las características de la literatura prehispánica y la literatura del descubrimiento y la conquista en Colombia identificando sus elementos fundamentales y su impacto en la cultura y el lenguaje actual.</v>
      </c>
      <c r="DR15" s="5" t="str">
        <f t="shared" si="52"/>
        <v>Realiza comprensión lectora cuando analiza un texto desde el discurso de la Enunciación e identifica la función de cada uno de sus componentes.
Responde preguntas en los tres niveles de lectura a una leyenda del Caribe.</v>
      </c>
      <c r="DS15" s="5" t="str">
        <f t="shared" si="52"/>
        <v>Muestra disposición para participar activamente en las clases, promoviendo el respeto por las ideas ajenas y reconociendo la importancia de la precisión como una herramienta clave para una comunicación</v>
      </c>
      <c r="DT15" s="5" t="str">
        <f t="shared" si="52"/>
        <v>Comprende el contenido del cuento A la deriva, identificando su tema central, la secuencia de los hechos, los personajes y las ideas explícitas e implícitas del texto.</v>
      </c>
      <c r="DU15" s="5" t="str">
        <f t="shared" si="52"/>
        <v>Analiza críticamente el cuento A la deriva mediante la identificación de información literal, inferencial y crítica, sustentando sus respuestas de forma oral y escrita.</v>
      </c>
      <c r="DV15" s="5" t="str">
        <f t="shared" si="52"/>
        <v>Valora la lectura literaria como una oportunidad para reflexionar sobre la vida, la naturaleza y la condición humana, participando con interés, respeto y sentido crítico en las actividades propuestas.</v>
      </c>
      <c r="DW15" s="5" t="str">
        <f t="shared" si="52"/>
        <v>Comprende y reconoce vocabulario y estructuras basicas del ingles para interpretar textos cortos y conversaciones sobre temas cotidianos de la vida diaria.</v>
      </c>
      <c r="DX15" s="5" t="str">
        <f t="shared" si="52"/>
        <v>Produce de forma oral y escrita frases y parrafos cortos en Ingles, utilizando correctamente las estructuras conocidas para describir rutinas, narrar experiencias y participar en conversaciones.</v>
      </c>
      <c r="DY15" s="5" t="str">
        <f t="shared" si="52"/>
        <v>Muestra disposicion positiva hacia el aprendizaje del Ingles participando activamente en clase.</v>
      </c>
      <c r="DZ15" s="5" t="str">
        <f t="shared" si="52"/>
        <v>Identifica vocabulario en Ingles  de situaciones cotidianas.</v>
      </c>
      <c r="EA15" s="5" t="str">
        <f t="shared" si="52"/>
        <v>Participa en actividades utilizando vocabulario aprendido para expresar gustos,emociones y necesidades.</v>
      </c>
      <c r="EB15" s="5" t="str">
        <f t="shared" si="52"/>
        <v>Respeta la opinion de los demas, muestra disposicion para participar en actividades orales.</v>
      </c>
      <c r="EC15" s="5" t="str">
        <f t="shared" si="52"/>
        <v>Identifica la conformación y funcionamiento del sistema inmunolófico y diferencia las característics de los estados de la materia.</v>
      </c>
      <c r="ED15" s="5" t="str">
        <f t="shared" si="52"/>
        <v>Reconoce experimentalmente las características de materiales en los diferentes estados de la materia.</v>
      </c>
      <c r="EE15" s="5" t="str">
        <f t="shared" si="52"/>
        <v xml:space="preserve">Valora la importancia de tener habitos saludables, para lograr el mantenimiento saludable del sistema inmune. </v>
      </c>
      <c r="EF15" s="5" t="str">
        <f t="shared" si="52"/>
        <v>Describe correctamente la secuencia de eventos biologicos de la fecundacion,incluyendo las recciones acrosomicas,la funcion de gametos y la formacion de gametos.</v>
      </c>
      <c r="EG15" s="5" t="str">
        <f t="shared" si="52"/>
        <v>Mide la capacidad del labolatrio para lograr la fecundacion exitosa de los ovulos con el espermatozoide.</v>
      </c>
      <c r="EH15" s="5" t="str">
        <f t="shared" si="52"/>
        <v>Valora la importancia del cuidado del cuerpo y de la salud reproductiva como la base para una fecundacion saludable.</v>
      </c>
      <c r="EI15" s="5" t="str">
        <f t="shared" si="52"/>
        <v>Explico las principales caracteristicas de algunas revoluciones de los siglos XVIII y XIX (Revolucion francesa, Industrial...)</v>
      </c>
      <c r="EJ15" s="5" t="str">
        <f t="shared" si="52"/>
        <v>Analiza las causas y consecuencias de procesos historicos como la Revolucion Industrial y Francesa.</v>
      </c>
      <c r="EK15" s="5" t="str">
        <f t="shared" si="52"/>
        <v>Muestra interes y curiosidad por comprender los procesos historicos y su impacto en la sociedad.</v>
      </c>
      <c r="EL15" s="5" t="str">
        <f t="shared" si="52"/>
        <v xml:space="preserve">Identifica los procesos historicos de algunas revoluciones de los siglos XVIII y XIX </v>
      </c>
      <c r="EM15" s="5">
        <f t="shared" si="52"/>
        <v>0</v>
      </c>
      <c r="EN15" s="5">
        <f t="shared" si="52"/>
        <v>0</v>
      </c>
      <c r="EO15" s="5" t="str">
        <f t="shared" si="52"/>
        <v xml:space="preserve">Comprende la distribucion espacial de la poblacion antes y despues de las revoluciones </v>
      </c>
      <c r="EP15" s="5" t="str">
        <f t="shared" si="52"/>
        <v xml:space="preserve">Ubica en mapas las regiones donde se desarrollaron las principales revoluciones y explica sus caracteristicas geograficas </v>
      </c>
      <c r="EQ15" s="5" t="str">
        <f t="shared" si="52"/>
        <v>Muestra interes por comprender la relacion entre sociedad, economia y territorio</v>
      </c>
      <c r="ER15" s="5" t="str">
        <f t="shared" si="52"/>
        <v>Comprende el concepto de cultura de paz y su importancia en la sociedad</v>
      </c>
      <c r="ES15" s="5" t="str">
        <f t="shared" si="52"/>
        <v>Practica normas de convivencia en diferentes espacios( aula, hogar, comunidad)</v>
      </c>
      <c r="ET15" s="5" t="str">
        <f t="shared" si="52"/>
        <v>Muestra actitud de respeto hacia la diversidad cuktural, social y de pensamiento</v>
      </c>
      <c r="EU15" s="5">
        <f t="shared" si="52"/>
        <v>0</v>
      </c>
      <c r="EV15" s="5">
        <f t="shared" si="52"/>
        <v>0</v>
      </c>
      <c r="EW15" s="5">
        <f t="shared" si="52"/>
        <v>0</v>
      </c>
      <c r="EX15" s="5">
        <f t="shared" si="52"/>
        <v>0</v>
      </c>
      <c r="EY15" s="5">
        <f t="shared" si="52"/>
        <v>0</v>
      </c>
      <c r="EZ15" s="5">
        <f t="shared" si="52"/>
        <v>0</v>
      </c>
      <c r="FA15" s="5">
        <f t="shared" si="52"/>
        <v>0</v>
      </c>
      <c r="FB15" s="5">
        <f t="shared" si="52"/>
        <v>0</v>
      </c>
      <c r="FC15" s="5">
        <f t="shared" si="52"/>
        <v>0</v>
      </c>
      <c r="FD15" s="5" t="str">
        <f t="shared" si="52"/>
        <v xml:space="preserve"> Identifica las expresiones motrices relacionadas con el juego del voleibol,  como una oportunidad para mejorar la salud, la estética y las relaciones con los demás.</v>
      </c>
      <c r="FE15" s="5" t="str">
        <f t="shared" si="52"/>
        <v>Pone en práctica los fundamentos básicos del voleibol.</v>
      </c>
      <c r="FF15" s="5" t="str">
        <f t="shared" si="52"/>
        <v>Muestra  responsabilidad y buena actitud al realizar el juego de voleibol.</v>
      </c>
      <c r="FG15" s="5" t="str">
        <f t="shared" si="52"/>
        <v>Comprende el concepto de variable como espacio de almacenamiento de datos y reconoce el uso de estructuras condicionales (si, si-no) para la toma de decisiones en un programa.</v>
      </c>
      <c r="FH15" s="5" t="str">
        <f t="shared" si="52"/>
        <v>Diseña y desarrolla programas que utilizan variables y estructuras condicionales para resolver problemas, evaluando condiciones y generando respuestas según diferentes situaciones.</v>
      </c>
      <c r="FI15" s="5" t="str">
        <f t="shared" si="52"/>
        <v>Muestra pensamiento lógico, perseverancia y actitud crítica al analizar errores y proponer soluciones en la construcción de programas con variables y condicionales.</v>
      </c>
      <c r="FJ15" s="5" t="str">
        <f t="shared" si="52"/>
        <v>Identifica y reconoce sus pricipales deberes y derechos dentro y fuera  de la Institución educativa.</v>
      </c>
    </row>
    <row r="16" spans="1:166">
      <c r="A16" s="5">
        <v>15</v>
      </c>
      <c r="B16" s="5" t="s">
        <v>190</v>
      </c>
      <c r="C16" s="6">
        <v>1043460926</v>
      </c>
      <c r="D16" s="5" t="s">
        <v>176</v>
      </c>
      <c r="E16" s="5" t="s">
        <v>177</v>
      </c>
      <c r="F16" s="5" t="s">
        <v>70</v>
      </c>
      <c r="G16" s="5" t="s">
        <v>71</v>
      </c>
      <c r="H16" s="5">
        <v>2026</v>
      </c>
      <c r="I16" s="5">
        <v>4</v>
      </c>
      <c r="J16" s="7">
        <v>2.8</v>
      </c>
      <c r="K16" s="7">
        <v>3</v>
      </c>
      <c r="L16" s="7">
        <v>3.2</v>
      </c>
      <c r="M16" s="5">
        <f t="shared" si="41"/>
        <v>3</v>
      </c>
      <c r="N16" s="5" t="str">
        <f t="shared" si="1"/>
        <v>BASICO</v>
      </c>
      <c r="O16" s="5">
        <v>1</v>
      </c>
      <c r="P16" s="7">
        <v>3.5</v>
      </c>
      <c r="Q16" s="7">
        <v>3.5</v>
      </c>
      <c r="R16" s="7">
        <v>3.5</v>
      </c>
      <c r="S16" s="5">
        <f t="shared" si="48"/>
        <v>3.5</v>
      </c>
      <c r="T16" s="5" t="str">
        <f t="shared" si="3"/>
        <v>BASICO</v>
      </c>
      <c r="U16" s="5">
        <v>4</v>
      </c>
      <c r="V16" s="7">
        <v>4</v>
      </c>
      <c r="W16" s="7">
        <v>4.3</v>
      </c>
      <c r="X16" s="7">
        <v>4</v>
      </c>
      <c r="Y16" s="5">
        <f t="shared" si="4"/>
        <v>4.12</v>
      </c>
      <c r="Z16" s="5" t="str">
        <f t="shared" si="5"/>
        <v>ALTO</v>
      </c>
      <c r="AA16" s="5">
        <v>1</v>
      </c>
      <c r="AB16" s="7">
        <v>4.7</v>
      </c>
      <c r="AC16" s="7">
        <v>4.7</v>
      </c>
      <c r="AD16" s="7">
        <v>4.7</v>
      </c>
      <c r="AE16" s="5">
        <f t="shared" si="6"/>
        <v>4.7</v>
      </c>
      <c r="AF16" s="5" t="str">
        <f t="shared" si="7"/>
        <v>SUPERIOR</v>
      </c>
      <c r="AG16" s="5">
        <v>2</v>
      </c>
      <c r="AH16" s="8">
        <v>3</v>
      </c>
      <c r="AI16" s="8">
        <v>3</v>
      </c>
      <c r="AJ16" s="8">
        <v>3</v>
      </c>
      <c r="AK16" s="5">
        <f t="shared" si="8"/>
        <v>3</v>
      </c>
      <c r="AL16" s="5" t="str">
        <f t="shared" si="9"/>
        <v>BASICO</v>
      </c>
      <c r="AM16" s="5">
        <v>1</v>
      </c>
      <c r="AN16" s="8">
        <v>3</v>
      </c>
      <c r="AO16" s="8">
        <v>3</v>
      </c>
      <c r="AP16" s="8">
        <v>3</v>
      </c>
      <c r="AQ16" s="5">
        <f t="shared" si="10"/>
        <v>3</v>
      </c>
      <c r="AR16" s="5" t="str">
        <f t="shared" si="11"/>
        <v>BASICO</v>
      </c>
      <c r="AS16" s="5">
        <v>4</v>
      </c>
      <c r="AT16" s="7">
        <v>3.3</v>
      </c>
      <c r="AU16" s="7">
        <v>3.3</v>
      </c>
      <c r="AV16" s="7">
        <v>3.3</v>
      </c>
      <c r="AW16" s="5">
        <f t="shared" si="12"/>
        <v>3.3</v>
      </c>
      <c r="AX16" s="5" t="str">
        <f t="shared" si="49"/>
        <v>BASICO</v>
      </c>
      <c r="AY16" s="5">
        <v>1</v>
      </c>
      <c r="AZ16" s="7">
        <v>5</v>
      </c>
      <c r="BA16" s="7">
        <v>5</v>
      </c>
      <c r="BB16" s="7">
        <v>5</v>
      </c>
      <c r="BC16" s="5">
        <f t="shared" si="14"/>
        <v>5</v>
      </c>
      <c r="BD16" s="5" t="str">
        <f t="shared" si="15"/>
        <v>SUPERIOR</v>
      </c>
      <c r="BE16" s="7">
        <v>2</v>
      </c>
      <c r="BF16" s="7">
        <v>3.4</v>
      </c>
      <c r="BG16" s="7">
        <v>3.6</v>
      </c>
      <c r="BH16" s="7">
        <v>3.8</v>
      </c>
      <c r="BI16" s="5">
        <f t="shared" ref="BI16:BI22" si="53">((BF16*0.3)+(BG16*0.4)+(BH16*0.3))</f>
        <v>3.5999999999999996</v>
      </c>
      <c r="BJ16" s="5" t="str">
        <f t="shared" si="17"/>
        <v>BASICO</v>
      </c>
      <c r="BK16" s="5">
        <v>1</v>
      </c>
      <c r="BL16" s="7">
        <v>3.6</v>
      </c>
      <c r="BM16" s="7">
        <v>3.3</v>
      </c>
      <c r="BN16" s="7">
        <v>3.5</v>
      </c>
      <c r="BO16" s="5">
        <f t="shared" si="18"/>
        <v>3.45</v>
      </c>
      <c r="BP16" s="5" t="str">
        <f t="shared" si="19"/>
        <v>BASICO</v>
      </c>
      <c r="BQ16" s="5">
        <v>1</v>
      </c>
      <c r="BR16" s="7">
        <v>3.6</v>
      </c>
      <c r="BS16" s="7">
        <v>3.3</v>
      </c>
      <c r="BT16" s="7">
        <v>3.4</v>
      </c>
      <c r="BU16" s="5">
        <f t="shared" si="20"/>
        <v>3.4200000000000004</v>
      </c>
      <c r="BV16" s="5" t="str">
        <f t="shared" si="21"/>
        <v>BASICO</v>
      </c>
      <c r="BW16" s="5">
        <v>1</v>
      </c>
      <c r="BX16" s="7">
        <v>3.7</v>
      </c>
      <c r="BY16" s="7">
        <v>3.6</v>
      </c>
      <c r="BZ16" s="7">
        <v>3.8</v>
      </c>
      <c r="CA16" s="5">
        <f t="shared" si="22"/>
        <v>3.6900000000000004</v>
      </c>
      <c r="CB16" s="5" t="str">
        <f t="shared" si="23"/>
        <v>BASICO</v>
      </c>
      <c r="CC16" s="5">
        <v>1</v>
      </c>
      <c r="CD16" s="7">
        <v>4</v>
      </c>
      <c r="CE16" s="7">
        <v>3.8</v>
      </c>
      <c r="CF16" s="7">
        <v>3.8</v>
      </c>
      <c r="CG16" s="5">
        <f t="shared" si="24"/>
        <v>3.8599999999999994</v>
      </c>
      <c r="CH16" s="5" t="str">
        <f t="shared" si="25"/>
        <v>BASICO</v>
      </c>
      <c r="CI16" s="5">
        <v>1</v>
      </c>
      <c r="CJ16" s="7">
        <v>4.5</v>
      </c>
      <c r="CK16" s="7">
        <v>4.5</v>
      </c>
      <c r="CL16" s="7">
        <v>4.5</v>
      </c>
      <c r="CM16" s="5">
        <f t="shared" si="26"/>
        <v>4.5</v>
      </c>
      <c r="CN16" s="5" t="str">
        <f t="shared" si="27"/>
        <v>SUPERIOR</v>
      </c>
      <c r="CO16" s="5">
        <v>1</v>
      </c>
      <c r="CP16" s="7">
        <v>5</v>
      </c>
      <c r="CQ16" s="7">
        <v>5</v>
      </c>
      <c r="CR16" s="7">
        <v>4</v>
      </c>
      <c r="CS16" s="5">
        <f t="shared" si="28"/>
        <v>4.7</v>
      </c>
      <c r="CT16" s="5" t="str">
        <f t="shared" si="29"/>
        <v>SUPERIOR</v>
      </c>
      <c r="CU16" s="5">
        <v>2</v>
      </c>
      <c r="CV16" s="7">
        <v>4.5</v>
      </c>
      <c r="CW16" s="7">
        <v>4.5</v>
      </c>
      <c r="CX16" s="7">
        <v>4.5</v>
      </c>
      <c r="CY16" s="5">
        <f t="shared" si="30"/>
        <v>4.5</v>
      </c>
      <c r="CZ16" s="5" t="str">
        <f t="shared" si="31"/>
        <v>SUPERIOR</v>
      </c>
      <c r="DA16" s="5">
        <v>2</v>
      </c>
      <c r="DB16" s="7">
        <v>3</v>
      </c>
      <c r="DC16" s="7">
        <v>3</v>
      </c>
      <c r="DD16" s="7">
        <v>3.5</v>
      </c>
      <c r="DE16" s="5">
        <f t="shared" si="32"/>
        <v>3.1500000000000004</v>
      </c>
      <c r="DF16" s="5" t="str">
        <f t="shared" si="33"/>
        <v>BASICO</v>
      </c>
      <c r="DG16" s="5">
        <v>0</v>
      </c>
      <c r="DH16" s="7">
        <v>3.8</v>
      </c>
      <c r="DI16" s="5" t="str">
        <f t="shared" si="34"/>
        <v>BASICO</v>
      </c>
      <c r="DJ16" s="5">
        <f t="shared" si="35"/>
        <v>3.8158823529411769</v>
      </c>
      <c r="DK16" s="5" t="str">
        <f t="shared" si="36"/>
        <v>Comprende el concepto de números reales, su relación de orden y las propiedades de sus operaciones, así como las relaciones de semejanza y congruencia de distintas figuras geométricas.</v>
      </c>
      <c r="DL16" s="5" t="str">
        <f t="shared" ref="DL16:FJ16" si="54">DL15</f>
        <v>Aplica correctamente las propiedades de las operaciones de números reales y expresiones algebraicas en la resolución de problemas.</v>
      </c>
      <c r="DM16" s="5" t="str">
        <f t="shared" si="54"/>
        <v>Valora el uso del pensamiento lógico a la hora de plantear y resolver problemas de las matemáticas y de la vida cotidiana.</v>
      </c>
      <c r="DN16" s="5" t="str">
        <f t="shared" si="5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6" s="5" t="str">
        <f t="shared" si="54"/>
        <v>Organiza y analiza datos mediante la construcción de tablas de frecuencias y diagramas estadísticos, identificando variables aleatorias y utilizando estas representaciones para resolver situaciones problema.</v>
      </c>
      <c r="DP16" s="5" t="str">
        <f t="shared" si="54"/>
        <v>Muestra disposición y responsabilidad en el manejo y análisis de datos, participando activamente en actividades individuales y colaborativas, y comunicando información estadística con claridad y sentido crítico.</v>
      </c>
      <c r="DQ16" s="5" t="str">
        <f t="shared" si="54"/>
        <v>Analiza las características de la literatura prehispánica y la literatura del descubrimiento y la conquista en Colombia identificando sus elementos fundamentales y su impacto en la cultura y el lenguaje actual.</v>
      </c>
      <c r="DR16" s="5" t="str">
        <f t="shared" si="54"/>
        <v>Realiza comprensión lectora cuando analiza un texto desde el discurso de la Enunciación e identifica la función de cada uno de sus componentes.
Responde preguntas en los tres niveles de lectura a una leyenda del Caribe.</v>
      </c>
      <c r="DS16" s="5" t="str">
        <f t="shared" si="54"/>
        <v>Muestra disposición para participar activamente en las clases, promoviendo el respeto por las ideas ajenas y reconociendo la importancia de la precisión como una herramienta clave para una comunicación</v>
      </c>
      <c r="DT16" s="5" t="str">
        <f t="shared" si="54"/>
        <v>Comprende el contenido del cuento A la deriva, identificando su tema central, la secuencia de los hechos, los personajes y las ideas explícitas e implícitas del texto.</v>
      </c>
      <c r="DU16" s="5" t="str">
        <f t="shared" si="54"/>
        <v>Analiza críticamente el cuento A la deriva mediante la identificación de información literal, inferencial y crítica, sustentando sus respuestas de forma oral y escrita.</v>
      </c>
      <c r="DV16" s="5" t="str">
        <f t="shared" si="54"/>
        <v>Valora la lectura literaria como una oportunidad para reflexionar sobre la vida, la naturaleza y la condición humana, participando con interés, respeto y sentido crítico en las actividades propuestas.</v>
      </c>
      <c r="DW16" s="5" t="str">
        <f t="shared" si="54"/>
        <v>Comprende y reconoce vocabulario y estructuras basicas del ingles para interpretar textos cortos y conversaciones sobre temas cotidianos de la vida diaria.</v>
      </c>
      <c r="DX16" s="5" t="str">
        <f t="shared" si="54"/>
        <v>Produce de forma oral y escrita frases y parrafos cortos en Ingles, utilizando correctamente las estructuras conocidas para describir rutinas, narrar experiencias y participar en conversaciones.</v>
      </c>
      <c r="DY16" s="5" t="str">
        <f t="shared" si="54"/>
        <v>Muestra disposicion positiva hacia el aprendizaje del Ingles participando activamente en clase.</v>
      </c>
      <c r="DZ16" s="5" t="str">
        <f t="shared" si="54"/>
        <v>Identifica vocabulario en Ingles  de situaciones cotidianas.</v>
      </c>
      <c r="EA16" s="5" t="str">
        <f t="shared" si="54"/>
        <v>Participa en actividades utilizando vocabulario aprendido para expresar gustos,emociones y necesidades.</v>
      </c>
      <c r="EB16" s="5" t="str">
        <f t="shared" si="54"/>
        <v>Respeta la opinion de los demas, muestra disposicion para participar en actividades orales.</v>
      </c>
      <c r="EC16" s="5" t="str">
        <f t="shared" si="54"/>
        <v>Identifica la conformación y funcionamiento del sistema inmunolófico y diferencia las característics de los estados de la materia.</v>
      </c>
      <c r="ED16" s="5" t="str">
        <f t="shared" si="54"/>
        <v>Reconoce experimentalmente las características de materiales en los diferentes estados de la materia.</v>
      </c>
      <c r="EE16" s="5" t="str">
        <f t="shared" si="54"/>
        <v xml:space="preserve">Valora la importancia de tener habitos saludables, para lograr el mantenimiento saludable del sistema inmune. </v>
      </c>
      <c r="EF16" s="5" t="str">
        <f t="shared" si="54"/>
        <v>Describe correctamente la secuencia de eventos biologicos de la fecundacion,incluyendo las recciones acrosomicas,la funcion de gametos y la formacion de gametos.</v>
      </c>
      <c r="EG16" s="5" t="str">
        <f t="shared" si="54"/>
        <v>Mide la capacidad del labolatrio para lograr la fecundacion exitosa de los ovulos con el espermatozoide.</v>
      </c>
      <c r="EH16" s="5" t="str">
        <f t="shared" si="54"/>
        <v>Valora la importancia del cuidado del cuerpo y de la salud reproductiva como la base para una fecundacion saludable.</v>
      </c>
      <c r="EI16" s="5" t="str">
        <f t="shared" si="54"/>
        <v>Explico las principales caracteristicas de algunas revoluciones de los siglos XVIII y XIX (Revolucion francesa, Industrial...)</v>
      </c>
      <c r="EJ16" s="5" t="str">
        <f t="shared" si="54"/>
        <v>Analiza las causas y consecuencias de procesos historicos como la Revolucion Industrial y Francesa.</v>
      </c>
      <c r="EK16" s="5" t="str">
        <f t="shared" si="54"/>
        <v>Muestra interes y curiosidad por comprender los procesos historicos y su impacto en la sociedad.</v>
      </c>
      <c r="EL16" s="5" t="str">
        <f t="shared" si="54"/>
        <v xml:space="preserve">Identifica los procesos historicos de algunas revoluciones de los siglos XVIII y XIX </v>
      </c>
      <c r="EM16" s="5">
        <f t="shared" si="54"/>
        <v>0</v>
      </c>
      <c r="EN16" s="5">
        <f t="shared" si="54"/>
        <v>0</v>
      </c>
      <c r="EO16" s="5" t="str">
        <f t="shared" si="54"/>
        <v xml:space="preserve">Comprende la distribucion espacial de la poblacion antes y despues de las revoluciones </v>
      </c>
      <c r="EP16" s="5" t="str">
        <f t="shared" si="54"/>
        <v xml:space="preserve">Ubica en mapas las regiones donde se desarrollaron las principales revoluciones y explica sus caracteristicas geograficas </v>
      </c>
      <c r="EQ16" s="5" t="str">
        <f t="shared" si="54"/>
        <v>Muestra interes por comprender la relacion entre sociedad, economia y territorio</v>
      </c>
      <c r="ER16" s="5" t="str">
        <f t="shared" si="54"/>
        <v>Comprende el concepto de cultura de paz y su importancia en la sociedad</v>
      </c>
      <c r="ES16" s="5" t="str">
        <f t="shared" si="54"/>
        <v>Practica normas de convivencia en diferentes espacios( aula, hogar, comunidad)</v>
      </c>
      <c r="ET16" s="5" t="str">
        <f t="shared" si="54"/>
        <v>Muestra actitud de respeto hacia la diversidad cuktural, social y de pensamiento</v>
      </c>
      <c r="EU16" s="5">
        <f t="shared" si="54"/>
        <v>0</v>
      </c>
      <c r="EV16" s="5">
        <f t="shared" si="54"/>
        <v>0</v>
      </c>
      <c r="EW16" s="5">
        <f t="shared" si="54"/>
        <v>0</v>
      </c>
      <c r="EX16" s="5">
        <f t="shared" si="54"/>
        <v>0</v>
      </c>
      <c r="EY16" s="5">
        <f t="shared" si="54"/>
        <v>0</v>
      </c>
      <c r="EZ16" s="5">
        <f t="shared" si="54"/>
        <v>0</v>
      </c>
      <c r="FA16" s="5">
        <f t="shared" si="54"/>
        <v>0</v>
      </c>
      <c r="FB16" s="5">
        <f t="shared" si="54"/>
        <v>0</v>
      </c>
      <c r="FC16" s="5">
        <f t="shared" si="54"/>
        <v>0</v>
      </c>
      <c r="FD16" s="5" t="str">
        <f t="shared" si="54"/>
        <v xml:space="preserve"> Identifica las expresiones motrices relacionadas con el juego del voleibol,  como una oportunidad para mejorar la salud, la estética y las relaciones con los demás.</v>
      </c>
      <c r="FE16" s="5" t="str">
        <f t="shared" si="54"/>
        <v>Pone en práctica los fundamentos básicos del voleibol.</v>
      </c>
      <c r="FF16" s="5" t="str">
        <f t="shared" si="54"/>
        <v>Muestra  responsabilidad y buena actitud al realizar el juego de voleibol.</v>
      </c>
      <c r="FG16" s="5" t="str">
        <f t="shared" si="54"/>
        <v>Comprende el concepto de variable como espacio de almacenamiento de datos y reconoce el uso de estructuras condicionales (si, si-no) para la toma de decisiones en un programa.</v>
      </c>
      <c r="FH16" s="5" t="str">
        <f t="shared" si="54"/>
        <v>Diseña y desarrolla programas que utilizan variables y estructuras condicionales para resolver problemas, evaluando condiciones y generando respuestas según diferentes situaciones.</v>
      </c>
      <c r="FI16" s="5" t="str">
        <f t="shared" si="54"/>
        <v>Muestra pensamiento lógico, perseverancia y actitud crítica al analizar errores y proponer soluciones en la construcción de programas con variables y condicionales.</v>
      </c>
      <c r="FJ16" s="5" t="str">
        <f t="shared" si="54"/>
        <v>Identifica y reconoce sus pricipales deberes y derechos dentro y fuera  de la Institución educativa.</v>
      </c>
    </row>
    <row r="17" spans="1:166">
      <c r="A17" s="5">
        <v>16</v>
      </c>
      <c r="B17" s="5" t="s">
        <v>191</v>
      </c>
      <c r="C17" s="6">
        <v>7744280</v>
      </c>
      <c r="D17" s="5" t="s">
        <v>176</v>
      </c>
      <c r="E17" s="5" t="s">
        <v>177</v>
      </c>
      <c r="F17" s="5" t="s">
        <v>70</v>
      </c>
      <c r="G17" s="5" t="s">
        <v>71</v>
      </c>
      <c r="H17" s="5">
        <v>2026</v>
      </c>
      <c r="I17" s="5">
        <v>4</v>
      </c>
      <c r="J17" s="7">
        <v>3.3</v>
      </c>
      <c r="K17" s="7">
        <v>3.5</v>
      </c>
      <c r="L17" s="7">
        <v>3.7</v>
      </c>
      <c r="M17" s="5">
        <f t="shared" si="41"/>
        <v>3.5</v>
      </c>
      <c r="N17" s="5" t="str">
        <f t="shared" si="1"/>
        <v>BASICO</v>
      </c>
      <c r="O17" s="5">
        <v>1</v>
      </c>
      <c r="P17" s="7">
        <v>3</v>
      </c>
      <c r="Q17" s="7">
        <v>3</v>
      </c>
      <c r="R17" s="7">
        <v>3</v>
      </c>
      <c r="S17" s="5">
        <f t="shared" si="48"/>
        <v>3</v>
      </c>
      <c r="T17" s="5" t="str">
        <f t="shared" si="3"/>
        <v>BASICO</v>
      </c>
      <c r="U17" s="5">
        <v>4</v>
      </c>
      <c r="V17" s="7">
        <v>4</v>
      </c>
      <c r="W17" s="7">
        <v>3</v>
      </c>
      <c r="X17" s="7">
        <v>5</v>
      </c>
      <c r="Y17" s="5">
        <f t="shared" si="4"/>
        <v>3.9000000000000004</v>
      </c>
      <c r="Z17" s="5" t="str">
        <f t="shared" si="5"/>
        <v>BASICO</v>
      </c>
      <c r="AA17" s="5">
        <v>1</v>
      </c>
      <c r="AB17" s="7">
        <v>2</v>
      </c>
      <c r="AC17" s="7">
        <v>2</v>
      </c>
      <c r="AD17" s="7">
        <v>2</v>
      </c>
      <c r="AE17" s="5">
        <f t="shared" si="6"/>
        <v>2</v>
      </c>
      <c r="AF17" s="5" t="str">
        <f t="shared" si="7"/>
        <v>BAJO</v>
      </c>
      <c r="AG17" s="5">
        <v>2</v>
      </c>
      <c r="AH17" s="8">
        <v>4</v>
      </c>
      <c r="AI17" s="8">
        <v>4</v>
      </c>
      <c r="AJ17" s="8">
        <v>4</v>
      </c>
      <c r="AK17" s="5">
        <f t="shared" si="8"/>
        <v>4</v>
      </c>
      <c r="AL17" s="5" t="str">
        <f t="shared" si="9"/>
        <v>ALTO</v>
      </c>
      <c r="AM17" s="5">
        <v>1</v>
      </c>
      <c r="AN17" s="8">
        <v>4</v>
      </c>
      <c r="AO17" s="8">
        <v>4</v>
      </c>
      <c r="AP17" s="8">
        <v>4</v>
      </c>
      <c r="AQ17" s="5">
        <f t="shared" si="10"/>
        <v>4</v>
      </c>
      <c r="AR17" s="5" t="str">
        <f t="shared" si="11"/>
        <v>ALTO</v>
      </c>
      <c r="AS17" s="5">
        <v>4</v>
      </c>
      <c r="AT17" s="7">
        <v>4</v>
      </c>
      <c r="AU17" s="7">
        <v>4</v>
      </c>
      <c r="AV17" s="7">
        <v>4</v>
      </c>
      <c r="AW17" s="5">
        <f t="shared" si="12"/>
        <v>4</v>
      </c>
      <c r="AX17" s="5" t="str">
        <f t="shared" si="49"/>
        <v>ALTO</v>
      </c>
      <c r="AY17" s="5">
        <v>1</v>
      </c>
      <c r="AZ17" s="7">
        <v>5</v>
      </c>
      <c r="BA17" s="7">
        <v>5</v>
      </c>
      <c r="BB17" s="7">
        <v>5</v>
      </c>
      <c r="BC17" s="5">
        <f t="shared" si="14"/>
        <v>5</v>
      </c>
      <c r="BD17" s="5" t="str">
        <f t="shared" si="15"/>
        <v>SUPERIOR</v>
      </c>
      <c r="BE17" s="7">
        <v>2</v>
      </c>
      <c r="BF17" s="7">
        <v>3.3</v>
      </c>
      <c r="BG17" s="7">
        <v>3.2</v>
      </c>
      <c r="BH17" s="7">
        <v>3</v>
      </c>
      <c r="BI17" s="5">
        <f t="shared" si="53"/>
        <v>3.17</v>
      </c>
      <c r="BJ17" s="5" t="str">
        <f t="shared" si="17"/>
        <v>BASICO</v>
      </c>
      <c r="BK17" s="5">
        <v>1</v>
      </c>
      <c r="BL17" s="7">
        <v>3.3</v>
      </c>
      <c r="BM17" s="7">
        <v>3.5</v>
      </c>
      <c r="BN17" s="7">
        <v>3.4</v>
      </c>
      <c r="BO17" s="5">
        <f t="shared" si="18"/>
        <v>3.41</v>
      </c>
      <c r="BP17" s="5" t="str">
        <f t="shared" si="19"/>
        <v>BASICO</v>
      </c>
      <c r="BQ17" s="5">
        <v>1</v>
      </c>
      <c r="BR17" s="7">
        <v>3.2</v>
      </c>
      <c r="BS17" s="7">
        <v>3.4</v>
      </c>
      <c r="BT17" s="7">
        <v>3.3</v>
      </c>
      <c r="BU17" s="5">
        <f t="shared" si="20"/>
        <v>3.31</v>
      </c>
      <c r="BV17" s="5" t="str">
        <f t="shared" si="21"/>
        <v>BASICO</v>
      </c>
      <c r="BW17" s="5">
        <v>1</v>
      </c>
      <c r="BX17" s="7">
        <v>3.2</v>
      </c>
      <c r="BY17" s="7">
        <v>3.4</v>
      </c>
      <c r="BZ17" s="7">
        <v>3.6</v>
      </c>
      <c r="CA17" s="5">
        <f t="shared" si="22"/>
        <v>3.4000000000000004</v>
      </c>
      <c r="CB17" s="5" t="str">
        <f t="shared" si="23"/>
        <v>BASICO</v>
      </c>
      <c r="CC17" s="5">
        <v>1</v>
      </c>
      <c r="CD17" s="7">
        <v>3.2</v>
      </c>
      <c r="CE17" s="7">
        <v>3.2</v>
      </c>
      <c r="CF17" s="7">
        <v>3.5</v>
      </c>
      <c r="CG17" s="5">
        <f t="shared" si="24"/>
        <v>3.29</v>
      </c>
      <c r="CH17" s="5" t="str">
        <f t="shared" si="25"/>
        <v>BASICO</v>
      </c>
      <c r="CI17" s="5">
        <v>1</v>
      </c>
      <c r="CJ17" s="7">
        <v>4.5</v>
      </c>
      <c r="CK17" s="7">
        <v>4.5</v>
      </c>
      <c r="CL17" s="7">
        <v>4.5</v>
      </c>
      <c r="CM17" s="5">
        <f t="shared" si="26"/>
        <v>4.5</v>
      </c>
      <c r="CN17" s="5" t="str">
        <f t="shared" si="27"/>
        <v>SUPERIOR</v>
      </c>
      <c r="CO17" s="5">
        <v>1</v>
      </c>
      <c r="CP17" s="7">
        <v>4</v>
      </c>
      <c r="CQ17" s="7">
        <v>4</v>
      </c>
      <c r="CR17" s="7">
        <v>4</v>
      </c>
      <c r="CS17" s="5">
        <f t="shared" si="28"/>
        <v>4</v>
      </c>
      <c r="CT17" s="5" t="str">
        <f t="shared" si="29"/>
        <v>ALTO</v>
      </c>
      <c r="CU17" s="5">
        <v>2</v>
      </c>
      <c r="CV17" s="7">
        <v>3</v>
      </c>
      <c r="CW17" s="7">
        <v>3</v>
      </c>
      <c r="CX17" s="7">
        <v>3</v>
      </c>
      <c r="CY17" s="5">
        <f t="shared" si="30"/>
        <v>3</v>
      </c>
      <c r="CZ17" s="5" t="str">
        <f t="shared" si="31"/>
        <v>BASICO</v>
      </c>
      <c r="DA17" s="5">
        <v>2</v>
      </c>
      <c r="DB17" s="7">
        <v>3</v>
      </c>
      <c r="DC17" s="7">
        <v>3</v>
      </c>
      <c r="DD17" s="7">
        <v>3.5</v>
      </c>
      <c r="DE17" s="5">
        <f t="shared" si="32"/>
        <v>3.1500000000000004</v>
      </c>
      <c r="DF17" s="5" t="str">
        <f t="shared" si="33"/>
        <v>BASICO</v>
      </c>
      <c r="DG17" s="5">
        <v>0</v>
      </c>
      <c r="DH17" s="7">
        <v>4</v>
      </c>
      <c r="DI17" s="5" t="str">
        <f t="shared" si="34"/>
        <v>ALTO</v>
      </c>
      <c r="DJ17" s="5">
        <f t="shared" si="35"/>
        <v>3.6070588235294117</v>
      </c>
      <c r="DK17" s="5" t="str">
        <f t="shared" si="36"/>
        <v>Comprende el concepto de números reales, su relación de orden y las propiedades de sus operaciones, así como las relaciones de semejanza y congruencia de distintas figuras geométricas.</v>
      </c>
      <c r="DL17" s="5" t="str">
        <f t="shared" ref="DL17:FJ17" si="55">DL16</f>
        <v>Aplica correctamente las propiedades de las operaciones de números reales y expresiones algebraicas en la resolución de problemas.</v>
      </c>
      <c r="DM17" s="5" t="str">
        <f t="shared" si="55"/>
        <v>Valora el uso del pensamiento lógico a la hora de plantear y resolver problemas de las matemáticas y de la vida cotidiana.</v>
      </c>
      <c r="DN17" s="5" t="str">
        <f t="shared" si="5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7" s="5" t="str">
        <f t="shared" si="55"/>
        <v>Organiza y analiza datos mediante la construcción de tablas de frecuencias y diagramas estadísticos, identificando variables aleatorias y utilizando estas representaciones para resolver situaciones problema.</v>
      </c>
      <c r="DP17" s="5" t="str">
        <f t="shared" si="55"/>
        <v>Muestra disposición y responsabilidad en el manejo y análisis de datos, participando activamente en actividades individuales y colaborativas, y comunicando información estadística con claridad y sentido crítico.</v>
      </c>
      <c r="DQ17" s="5" t="str">
        <f t="shared" si="55"/>
        <v>Analiza las características de la literatura prehispánica y la literatura del descubrimiento y la conquista en Colombia identificando sus elementos fundamentales y su impacto en la cultura y el lenguaje actual.</v>
      </c>
      <c r="DR17" s="5" t="str">
        <f t="shared" si="55"/>
        <v>Realiza comprensión lectora cuando analiza un texto desde el discurso de la Enunciación e identifica la función de cada uno de sus componentes.
Responde preguntas en los tres niveles de lectura a una leyenda del Caribe.</v>
      </c>
      <c r="DS17" s="5" t="str">
        <f t="shared" si="55"/>
        <v>Muestra disposición para participar activamente en las clases, promoviendo el respeto por las ideas ajenas y reconociendo la importancia de la precisión como una herramienta clave para una comunicación</v>
      </c>
      <c r="DT17" s="5" t="str">
        <f t="shared" si="55"/>
        <v>Comprende el contenido del cuento A la deriva, identificando su tema central, la secuencia de los hechos, los personajes y las ideas explícitas e implícitas del texto.</v>
      </c>
      <c r="DU17" s="5" t="str">
        <f t="shared" si="55"/>
        <v>Analiza críticamente el cuento A la deriva mediante la identificación de información literal, inferencial y crítica, sustentando sus respuestas de forma oral y escrita.</v>
      </c>
      <c r="DV17" s="5" t="str">
        <f t="shared" si="55"/>
        <v>Valora la lectura literaria como una oportunidad para reflexionar sobre la vida, la naturaleza y la condición humana, participando con interés, respeto y sentido crítico en las actividades propuestas.</v>
      </c>
      <c r="DW17" s="5" t="str">
        <f t="shared" si="55"/>
        <v>Comprende y reconoce vocabulario y estructuras basicas del ingles para interpretar textos cortos y conversaciones sobre temas cotidianos de la vida diaria.</v>
      </c>
      <c r="DX17" s="5" t="str">
        <f t="shared" si="55"/>
        <v>Produce de forma oral y escrita frases y parrafos cortos en Ingles, utilizando correctamente las estructuras conocidas para describir rutinas, narrar experiencias y participar en conversaciones.</v>
      </c>
      <c r="DY17" s="5" t="str">
        <f t="shared" si="55"/>
        <v>Muestra disposicion positiva hacia el aprendizaje del Ingles participando activamente en clase.</v>
      </c>
      <c r="DZ17" s="5" t="str">
        <f t="shared" si="55"/>
        <v>Identifica vocabulario en Ingles  de situaciones cotidianas.</v>
      </c>
      <c r="EA17" s="5" t="str">
        <f t="shared" si="55"/>
        <v>Participa en actividades utilizando vocabulario aprendido para expresar gustos,emociones y necesidades.</v>
      </c>
      <c r="EB17" s="5" t="str">
        <f t="shared" si="55"/>
        <v>Respeta la opinion de los demas, muestra disposicion para participar en actividades orales.</v>
      </c>
      <c r="EC17" s="5" t="str">
        <f t="shared" si="55"/>
        <v>Identifica la conformación y funcionamiento del sistema inmunolófico y diferencia las característics de los estados de la materia.</v>
      </c>
      <c r="ED17" s="5" t="str">
        <f t="shared" si="55"/>
        <v>Reconoce experimentalmente las características de materiales en los diferentes estados de la materia.</v>
      </c>
      <c r="EE17" s="5" t="str">
        <f t="shared" si="55"/>
        <v xml:space="preserve">Valora la importancia de tener habitos saludables, para lograr el mantenimiento saludable del sistema inmune. </v>
      </c>
      <c r="EF17" s="5" t="str">
        <f t="shared" si="55"/>
        <v>Describe correctamente la secuencia de eventos biologicos de la fecundacion,incluyendo las recciones acrosomicas,la funcion de gametos y la formacion de gametos.</v>
      </c>
      <c r="EG17" s="5" t="str">
        <f t="shared" si="55"/>
        <v>Mide la capacidad del labolatrio para lograr la fecundacion exitosa de los ovulos con el espermatozoide.</v>
      </c>
      <c r="EH17" s="5" t="str">
        <f t="shared" si="55"/>
        <v>Valora la importancia del cuidado del cuerpo y de la salud reproductiva como la base para una fecundacion saludable.</v>
      </c>
      <c r="EI17" s="5" t="str">
        <f t="shared" si="55"/>
        <v>Explico las principales caracteristicas de algunas revoluciones de los siglos XVIII y XIX (Revolucion francesa, Industrial...)</v>
      </c>
      <c r="EJ17" s="5" t="str">
        <f t="shared" si="55"/>
        <v>Analiza las causas y consecuencias de procesos historicos como la Revolucion Industrial y Francesa.</v>
      </c>
      <c r="EK17" s="5" t="str">
        <f t="shared" si="55"/>
        <v>Muestra interes y curiosidad por comprender los procesos historicos y su impacto en la sociedad.</v>
      </c>
      <c r="EL17" s="5" t="str">
        <f t="shared" si="55"/>
        <v xml:space="preserve">Identifica los procesos historicos de algunas revoluciones de los siglos XVIII y XIX </v>
      </c>
      <c r="EM17" s="5">
        <f t="shared" si="55"/>
        <v>0</v>
      </c>
      <c r="EN17" s="5">
        <f t="shared" si="55"/>
        <v>0</v>
      </c>
      <c r="EO17" s="5" t="str">
        <f t="shared" si="55"/>
        <v xml:space="preserve">Comprende la distribucion espacial de la poblacion antes y despues de las revoluciones </v>
      </c>
      <c r="EP17" s="5" t="str">
        <f t="shared" si="55"/>
        <v xml:space="preserve">Ubica en mapas las regiones donde se desarrollaron las principales revoluciones y explica sus caracteristicas geograficas </v>
      </c>
      <c r="EQ17" s="5" t="str">
        <f t="shared" si="55"/>
        <v>Muestra interes por comprender la relacion entre sociedad, economia y territorio</v>
      </c>
      <c r="ER17" s="5" t="str">
        <f t="shared" si="55"/>
        <v>Comprende el concepto de cultura de paz y su importancia en la sociedad</v>
      </c>
      <c r="ES17" s="5" t="str">
        <f t="shared" si="55"/>
        <v>Practica normas de convivencia en diferentes espacios( aula, hogar, comunidad)</v>
      </c>
      <c r="ET17" s="5" t="str">
        <f t="shared" si="55"/>
        <v>Muestra actitud de respeto hacia la diversidad cuktural, social y de pensamiento</v>
      </c>
      <c r="EU17" s="5">
        <f t="shared" si="55"/>
        <v>0</v>
      </c>
      <c r="EV17" s="5">
        <f t="shared" si="55"/>
        <v>0</v>
      </c>
      <c r="EW17" s="5">
        <f t="shared" si="55"/>
        <v>0</v>
      </c>
      <c r="EX17" s="5">
        <f t="shared" si="55"/>
        <v>0</v>
      </c>
      <c r="EY17" s="5">
        <f t="shared" si="55"/>
        <v>0</v>
      </c>
      <c r="EZ17" s="5">
        <f t="shared" si="55"/>
        <v>0</v>
      </c>
      <c r="FA17" s="5">
        <f t="shared" si="55"/>
        <v>0</v>
      </c>
      <c r="FB17" s="5">
        <f t="shared" si="55"/>
        <v>0</v>
      </c>
      <c r="FC17" s="5">
        <f t="shared" si="55"/>
        <v>0</v>
      </c>
      <c r="FD17" s="5" t="str">
        <f t="shared" si="55"/>
        <v xml:space="preserve"> Identifica las expresiones motrices relacionadas con el juego del voleibol,  como una oportunidad para mejorar la salud, la estética y las relaciones con los demás.</v>
      </c>
      <c r="FE17" s="5" t="str">
        <f t="shared" si="55"/>
        <v>Pone en práctica los fundamentos básicos del voleibol.</v>
      </c>
      <c r="FF17" s="5" t="str">
        <f t="shared" si="55"/>
        <v>Muestra  responsabilidad y buena actitud al realizar el juego de voleibol.</v>
      </c>
      <c r="FG17" s="5" t="str">
        <f t="shared" si="55"/>
        <v>Comprende el concepto de variable como espacio de almacenamiento de datos y reconoce el uso de estructuras condicionales (si, si-no) para la toma de decisiones en un programa.</v>
      </c>
      <c r="FH17" s="5" t="str">
        <f t="shared" si="55"/>
        <v>Diseña y desarrolla programas que utilizan variables y estructuras condicionales para resolver problemas, evaluando condiciones y generando respuestas según diferentes situaciones.</v>
      </c>
      <c r="FI17" s="5" t="str">
        <f t="shared" si="55"/>
        <v>Muestra pensamiento lógico, perseverancia y actitud crítica al analizar errores y proponer soluciones en la construcción de programas con variables y condicionales.</v>
      </c>
      <c r="FJ17" s="5" t="str">
        <f t="shared" si="55"/>
        <v>Identifica y reconoce sus pricipales deberes y derechos dentro y fuera  de la Institución educativa.</v>
      </c>
    </row>
    <row r="18" spans="1:166">
      <c r="A18" s="5">
        <v>17</v>
      </c>
      <c r="B18" s="5" t="s">
        <v>192</v>
      </c>
      <c r="C18" s="6">
        <v>1143141682</v>
      </c>
      <c r="D18" s="5" t="s">
        <v>176</v>
      </c>
      <c r="E18" s="5" t="s">
        <v>177</v>
      </c>
      <c r="F18" s="5" t="s">
        <v>70</v>
      </c>
      <c r="G18" s="5" t="s">
        <v>71</v>
      </c>
      <c r="H18" s="5">
        <v>2026</v>
      </c>
      <c r="I18" s="5">
        <v>4</v>
      </c>
      <c r="J18" s="7">
        <v>2.2999999999999998</v>
      </c>
      <c r="K18" s="7">
        <v>2.5</v>
      </c>
      <c r="L18" s="7">
        <v>2.7</v>
      </c>
      <c r="M18" s="5">
        <f t="shared" si="41"/>
        <v>2.5</v>
      </c>
      <c r="N18" s="5" t="str">
        <f t="shared" si="1"/>
        <v>BAJO</v>
      </c>
      <c r="O18" s="5">
        <v>1</v>
      </c>
      <c r="P18" s="7">
        <v>2.5</v>
      </c>
      <c r="Q18" s="7">
        <v>2.5</v>
      </c>
      <c r="R18" s="7">
        <v>2.5</v>
      </c>
      <c r="S18" s="5">
        <f t="shared" si="48"/>
        <v>2.5</v>
      </c>
      <c r="T18" s="5" t="str">
        <f t="shared" si="3"/>
        <v>BAJO</v>
      </c>
      <c r="U18" s="5">
        <v>4</v>
      </c>
      <c r="V18" s="7">
        <v>4.5</v>
      </c>
      <c r="W18" s="7">
        <v>4</v>
      </c>
      <c r="X18" s="7">
        <v>4</v>
      </c>
      <c r="Y18" s="5">
        <f t="shared" si="4"/>
        <v>4.1500000000000004</v>
      </c>
      <c r="Z18" s="5" t="str">
        <f t="shared" si="5"/>
        <v>ALTO</v>
      </c>
      <c r="AA18" s="5">
        <v>1</v>
      </c>
      <c r="AB18" s="7">
        <v>2</v>
      </c>
      <c r="AC18" s="7">
        <v>2</v>
      </c>
      <c r="AD18" s="7">
        <v>2</v>
      </c>
      <c r="AE18" s="5">
        <f t="shared" si="6"/>
        <v>2</v>
      </c>
      <c r="AF18" s="5" t="str">
        <f t="shared" si="7"/>
        <v>BAJO</v>
      </c>
      <c r="AG18" s="5">
        <v>2</v>
      </c>
      <c r="AH18" s="8">
        <v>2</v>
      </c>
      <c r="AI18" s="8">
        <v>2</v>
      </c>
      <c r="AJ18" s="8">
        <v>2</v>
      </c>
      <c r="AK18" s="5">
        <f t="shared" si="8"/>
        <v>2</v>
      </c>
      <c r="AL18" s="5" t="str">
        <f t="shared" si="9"/>
        <v>BAJO</v>
      </c>
      <c r="AM18" s="5">
        <v>1</v>
      </c>
      <c r="AN18" s="8">
        <v>2</v>
      </c>
      <c r="AO18" s="8">
        <v>2</v>
      </c>
      <c r="AP18" s="8">
        <v>2</v>
      </c>
      <c r="AQ18" s="5">
        <f t="shared" si="10"/>
        <v>2</v>
      </c>
      <c r="AR18" s="5" t="str">
        <f t="shared" si="11"/>
        <v>BAJO</v>
      </c>
      <c r="AS18" s="5">
        <v>4</v>
      </c>
      <c r="AT18" s="7">
        <v>2</v>
      </c>
      <c r="AU18" s="7">
        <v>2</v>
      </c>
      <c r="AV18" s="7">
        <v>2</v>
      </c>
      <c r="AW18" s="5">
        <f t="shared" si="12"/>
        <v>2</v>
      </c>
      <c r="AX18" s="5" t="str">
        <f t="shared" ref="AX18:AX42" si="56">IF(AW18&lt;3,"BAJO",IF(AW18&lt;4,"BASICO",IF(AW18&lt;4.5,"ALTO",IF(AW61&lt;=5,"SUPERIOR"))))</f>
        <v>BAJO</v>
      </c>
      <c r="AY18" s="5">
        <v>1</v>
      </c>
      <c r="AZ18" s="7">
        <v>3</v>
      </c>
      <c r="BA18" s="7">
        <v>3</v>
      </c>
      <c r="BB18" s="7">
        <v>3</v>
      </c>
      <c r="BC18" s="5">
        <f t="shared" si="14"/>
        <v>3</v>
      </c>
      <c r="BD18" s="5" t="str">
        <f t="shared" si="15"/>
        <v>BASICO</v>
      </c>
      <c r="BE18" s="7">
        <v>2</v>
      </c>
      <c r="BF18" s="7">
        <v>2</v>
      </c>
      <c r="BG18" s="7">
        <v>2.5</v>
      </c>
      <c r="BH18" s="7">
        <v>2.8</v>
      </c>
      <c r="BI18" s="5">
        <f t="shared" si="53"/>
        <v>2.44</v>
      </c>
      <c r="BJ18" s="5" t="str">
        <f t="shared" si="17"/>
        <v>BAJO</v>
      </c>
      <c r="BK18" s="5">
        <v>1</v>
      </c>
      <c r="BL18" s="7">
        <v>2.2000000000000002</v>
      </c>
      <c r="BM18" s="7">
        <v>2.6</v>
      </c>
      <c r="BN18" s="7">
        <v>2.8</v>
      </c>
      <c r="BO18" s="7">
        <v>2.2000000000000002</v>
      </c>
      <c r="BP18" s="5" t="str">
        <f t="shared" si="19"/>
        <v>BAJO</v>
      </c>
      <c r="BQ18" s="5">
        <v>1</v>
      </c>
      <c r="BR18" s="7">
        <v>2.2000000000000002</v>
      </c>
      <c r="BS18" s="7">
        <v>2.7</v>
      </c>
      <c r="BT18" s="7">
        <v>2.8</v>
      </c>
      <c r="BU18" s="5">
        <f t="shared" si="20"/>
        <v>2.58</v>
      </c>
      <c r="BV18" s="5" t="str">
        <f t="shared" si="21"/>
        <v>BAJO</v>
      </c>
      <c r="BW18" s="5">
        <v>1</v>
      </c>
      <c r="BX18" s="7">
        <v>2</v>
      </c>
      <c r="BY18" s="7">
        <v>2.6</v>
      </c>
      <c r="BZ18" s="7">
        <v>2.8</v>
      </c>
      <c r="CA18" s="5">
        <f t="shared" si="22"/>
        <v>2.48</v>
      </c>
      <c r="CB18" s="5" t="str">
        <f t="shared" si="23"/>
        <v>BAJO</v>
      </c>
      <c r="CC18" s="5">
        <v>1</v>
      </c>
      <c r="CD18" s="7">
        <v>2</v>
      </c>
      <c r="CE18" s="7">
        <v>2</v>
      </c>
      <c r="CF18" s="7">
        <v>2</v>
      </c>
      <c r="CG18" s="5">
        <f t="shared" si="24"/>
        <v>2</v>
      </c>
      <c r="CH18" s="5" t="str">
        <f t="shared" si="25"/>
        <v>BAJO</v>
      </c>
      <c r="CI18" s="5">
        <v>1</v>
      </c>
      <c r="CJ18" s="7">
        <v>4.5999999999999996</v>
      </c>
      <c r="CK18" s="7">
        <v>4.5999999999999996</v>
      </c>
      <c r="CL18" s="7">
        <v>4.5999999999999996</v>
      </c>
      <c r="CM18" s="5">
        <f t="shared" si="26"/>
        <v>4.5999999999999996</v>
      </c>
      <c r="CN18" s="5" t="str">
        <f t="shared" si="27"/>
        <v>SUPERIOR</v>
      </c>
      <c r="CO18" s="5">
        <v>1</v>
      </c>
      <c r="CP18" s="7">
        <v>3.5</v>
      </c>
      <c r="CQ18" s="7">
        <v>3.5</v>
      </c>
      <c r="CR18" s="7">
        <v>3.5</v>
      </c>
      <c r="CS18" s="5">
        <f t="shared" si="28"/>
        <v>3.5</v>
      </c>
      <c r="CT18" s="5" t="str">
        <f t="shared" si="29"/>
        <v>BASICO</v>
      </c>
      <c r="CU18" s="5">
        <v>2</v>
      </c>
      <c r="CV18" s="7">
        <v>2</v>
      </c>
      <c r="CW18" s="7">
        <v>2</v>
      </c>
      <c r="CX18" s="7">
        <v>2</v>
      </c>
      <c r="CY18" s="5">
        <f t="shared" si="30"/>
        <v>2</v>
      </c>
      <c r="CZ18" s="5" t="str">
        <f t="shared" si="31"/>
        <v>BAJO</v>
      </c>
      <c r="DA18" s="5">
        <v>2</v>
      </c>
      <c r="DB18" s="7">
        <v>2</v>
      </c>
      <c r="DC18" s="7">
        <v>2</v>
      </c>
      <c r="DD18" s="7">
        <v>3.5</v>
      </c>
      <c r="DE18" s="5">
        <f t="shared" si="32"/>
        <v>2.4500000000000002</v>
      </c>
      <c r="DF18" s="5" t="str">
        <f t="shared" si="33"/>
        <v>BAJO</v>
      </c>
      <c r="DG18" s="5">
        <v>0</v>
      </c>
      <c r="DH18" s="7">
        <v>3.5</v>
      </c>
      <c r="DI18" s="5" t="str">
        <f t="shared" si="34"/>
        <v>BASICO</v>
      </c>
      <c r="DJ18" s="5">
        <f t="shared" si="35"/>
        <v>2.6658823529411766</v>
      </c>
      <c r="DK18" s="5" t="str">
        <f t="shared" si="36"/>
        <v>Comprende el concepto de números reales, su relación de orden y las propiedades de sus operaciones, así como las relaciones de semejanza y congruencia de distintas figuras geométricas.</v>
      </c>
      <c r="DL18" s="5" t="str">
        <f t="shared" ref="DL18:FJ18" si="57">DL16</f>
        <v>Aplica correctamente las propiedades de las operaciones de números reales y expresiones algebraicas en la resolución de problemas.</v>
      </c>
      <c r="DM18" s="5" t="str">
        <f t="shared" si="57"/>
        <v>Valora el uso del pensamiento lógico a la hora de plantear y resolver problemas de las matemáticas y de la vida cotidiana.</v>
      </c>
      <c r="DN18" s="5" t="str">
        <f t="shared" si="5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8" s="5" t="str">
        <f t="shared" si="57"/>
        <v>Organiza y analiza datos mediante la construcción de tablas de frecuencias y diagramas estadísticos, identificando variables aleatorias y utilizando estas representaciones para resolver situaciones problema.</v>
      </c>
      <c r="DP18" s="5" t="str">
        <f t="shared" si="57"/>
        <v>Muestra disposición y responsabilidad en el manejo y análisis de datos, participando activamente en actividades individuales y colaborativas, y comunicando información estadística con claridad y sentido crítico.</v>
      </c>
      <c r="DQ18" s="5" t="str">
        <f t="shared" si="57"/>
        <v>Analiza las características de la literatura prehispánica y la literatura del descubrimiento y la conquista en Colombia identificando sus elementos fundamentales y su impacto en la cultura y el lenguaje actual.</v>
      </c>
      <c r="DR18" s="5" t="str">
        <f t="shared" si="57"/>
        <v>Realiza comprensión lectora cuando analiza un texto desde el discurso de la Enunciación e identifica la función de cada uno de sus componentes.
Responde preguntas en los tres niveles de lectura a una leyenda del Caribe.</v>
      </c>
      <c r="DS18" s="5" t="str">
        <f t="shared" si="57"/>
        <v>Muestra disposición para participar activamente en las clases, promoviendo el respeto por las ideas ajenas y reconociendo la importancia de la precisión como una herramienta clave para una comunicación</v>
      </c>
      <c r="DT18" s="5" t="str">
        <f t="shared" si="57"/>
        <v>Comprende el contenido del cuento A la deriva, identificando su tema central, la secuencia de los hechos, los personajes y las ideas explícitas e implícitas del texto.</v>
      </c>
      <c r="DU18" s="5" t="str">
        <f t="shared" si="57"/>
        <v>Analiza críticamente el cuento A la deriva mediante la identificación de información literal, inferencial y crítica, sustentando sus respuestas de forma oral y escrita.</v>
      </c>
      <c r="DV18" s="5" t="str">
        <f t="shared" si="57"/>
        <v>Valora la lectura literaria como una oportunidad para reflexionar sobre la vida, la naturaleza y la condición humana, participando con interés, respeto y sentido crítico en las actividades propuestas.</v>
      </c>
      <c r="DW18" s="5" t="str">
        <f t="shared" si="57"/>
        <v>Comprende y reconoce vocabulario y estructuras basicas del ingles para interpretar textos cortos y conversaciones sobre temas cotidianos de la vida diaria.</v>
      </c>
      <c r="DX18" s="5" t="str">
        <f t="shared" si="57"/>
        <v>Produce de forma oral y escrita frases y parrafos cortos en Ingles, utilizando correctamente las estructuras conocidas para describir rutinas, narrar experiencias y participar en conversaciones.</v>
      </c>
      <c r="DY18" s="5" t="str">
        <f t="shared" si="57"/>
        <v>Muestra disposicion positiva hacia el aprendizaje del Ingles participando activamente en clase.</v>
      </c>
      <c r="DZ18" s="5" t="str">
        <f t="shared" si="57"/>
        <v>Identifica vocabulario en Ingles  de situaciones cotidianas.</v>
      </c>
      <c r="EA18" s="5" t="str">
        <f t="shared" si="57"/>
        <v>Participa en actividades utilizando vocabulario aprendido para expresar gustos,emociones y necesidades.</v>
      </c>
      <c r="EB18" s="5" t="str">
        <f t="shared" si="57"/>
        <v>Respeta la opinion de los demas, muestra disposicion para participar en actividades orales.</v>
      </c>
      <c r="EC18" s="5" t="str">
        <f t="shared" si="57"/>
        <v>Identifica la conformación y funcionamiento del sistema inmunolófico y diferencia las característics de los estados de la materia.</v>
      </c>
      <c r="ED18" s="5" t="str">
        <f t="shared" si="57"/>
        <v>Reconoce experimentalmente las características de materiales en los diferentes estados de la materia.</v>
      </c>
      <c r="EE18" s="5" t="str">
        <f t="shared" si="57"/>
        <v xml:space="preserve">Valora la importancia de tener habitos saludables, para lograr el mantenimiento saludable del sistema inmune. </v>
      </c>
      <c r="EF18" s="5" t="str">
        <f t="shared" si="57"/>
        <v>Describe correctamente la secuencia de eventos biologicos de la fecundacion,incluyendo las recciones acrosomicas,la funcion de gametos y la formacion de gametos.</v>
      </c>
      <c r="EG18" s="5" t="str">
        <f t="shared" si="57"/>
        <v>Mide la capacidad del labolatrio para lograr la fecundacion exitosa de los ovulos con el espermatozoide.</v>
      </c>
      <c r="EH18" s="5" t="str">
        <f t="shared" si="57"/>
        <v>Valora la importancia del cuidado del cuerpo y de la salud reproductiva como la base para una fecundacion saludable.</v>
      </c>
      <c r="EI18" s="5" t="str">
        <f t="shared" si="57"/>
        <v>Explico las principales caracteristicas de algunas revoluciones de los siglos XVIII y XIX (Revolucion francesa, Industrial...)</v>
      </c>
      <c r="EJ18" s="5" t="str">
        <f t="shared" si="57"/>
        <v>Analiza las causas y consecuencias de procesos historicos como la Revolucion Industrial y Francesa.</v>
      </c>
      <c r="EK18" s="5" t="str">
        <f t="shared" si="57"/>
        <v>Muestra interes y curiosidad por comprender los procesos historicos y su impacto en la sociedad.</v>
      </c>
      <c r="EL18" s="5" t="str">
        <f t="shared" si="57"/>
        <v xml:space="preserve">Identifica los procesos historicos de algunas revoluciones de los siglos XVIII y XIX </v>
      </c>
      <c r="EM18" s="5">
        <f t="shared" si="57"/>
        <v>0</v>
      </c>
      <c r="EN18" s="5">
        <f t="shared" si="57"/>
        <v>0</v>
      </c>
      <c r="EO18" s="5" t="str">
        <f t="shared" si="57"/>
        <v xml:space="preserve">Comprende la distribucion espacial de la poblacion antes y despues de las revoluciones </v>
      </c>
      <c r="EP18" s="5" t="str">
        <f t="shared" si="57"/>
        <v xml:space="preserve">Ubica en mapas las regiones donde se desarrollaron las principales revoluciones y explica sus caracteristicas geograficas </v>
      </c>
      <c r="EQ18" s="5" t="str">
        <f t="shared" si="57"/>
        <v>Muestra interes por comprender la relacion entre sociedad, economia y territorio</v>
      </c>
      <c r="ER18" s="5" t="str">
        <f t="shared" si="57"/>
        <v>Comprende el concepto de cultura de paz y su importancia en la sociedad</v>
      </c>
      <c r="ES18" s="5" t="str">
        <f t="shared" si="57"/>
        <v>Practica normas de convivencia en diferentes espacios( aula, hogar, comunidad)</v>
      </c>
      <c r="ET18" s="5" t="str">
        <f t="shared" si="57"/>
        <v>Muestra actitud de respeto hacia la diversidad cuktural, social y de pensamiento</v>
      </c>
      <c r="EU18" s="5">
        <f t="shared" si="57"/>
        <v>0</v>
      </c>
      <c r="EV18" s="5">
        <f t="shared" si="57"/>
        <v>0</v>
      </c>
      <c r="EW18" s="5">
        <f t="shared" si="57"/>
        <v>0</v>
      </c>
      <c r="EX18" s="5">
        <f t="shared" si="57"/>
        <v>0</v>
      </c>
      <c r="EY18" s="5">
        <f t="shared" si="57"/>
        <v>0</v>
      </c>
      <c r="EZ18" s="5">
        <f t="shared" si="57"/>
        <v>0</v>
      </c>
      <c r="FA18" s="5">
        <f t="shared" si="57"/>
        <v>0</v>
      </c>
      <c r="FB18" s="5">
        <f t="shared" si="57"/>
        <v>0</v>
      </c>
      <c r="FC18" s="5">
        <f t="shared" si="57"/>
        <v>0</v>
      </c>
      <c r="FD18" s="5" t="str">
        <f t="shared" si="57"/>
        <v xml:space="preserve"> Identifica las expresiones motrices relacionadas con el juego del voleibol,  como una oportunidad para mejorar la salud, la estética y las relaciones con los demás.</v>
      </c>
      <c r="FE18" s="5" t="str">
        <f t="shared" si="57"/>
        <v>Pone en práctica los fundamentos básicos del voleibol.</v>
      </c>
      <c r="FF18" s="5" t="str">
        <f t="shared" si="57"/>
        <v>Muestra  responsabilidad y buena actitud al realizar el juego de voleibol.</v>
      </c>
      <c r="FG18" s="5" t="str">
        <f t="shared" si="57"/>
        <v>Comprende el concepto de variable como espacio de almacenamiento de datos y reconoce el uso de estructuras condicionales (si, si-no) para la toma de decisiones en un programa.</v>
      </c>
      <c r="FH18" s="5" t="str">
        <f t="shared" si="57"/>
        <v>Diseña y desarrolla programas que utilizan variables y estructuras condicionales para resolver problemas, evaluando condiciones y generando respuestas según diferentes situaciones.</v>
      </c>
      <c r="FI18" s="5" t="str">
        <f t="shared" si="57"/>
        <v>Muestra pensamiento lógico, perseverancia y actitud crítica al analizar errores y proponer soluciones en la construcción de programas con variables y condicionales.</v>
      </c>
      <c r="FJ18" s="5" t="str">
        <f t="shared" si="57"/>
        <v>Identifica y reconoce sus pricipales deberes y derechos dentro y fuera  de la Institución educativa.</v>
      </c>
    </row>
    <row r="19" spans="1:166">
      <c r="A19" s="5">
        <v>18</v>
      </c>
      <c r="B19" s="5" t="s">
        <v>193</v>
      </c>
      <c r="C19" s="6">
        <v>1044645933</v>
      </c>
      <c r="D19" s="5" t="s">
        <v>176</v>
      </c>
      <c r="E19" s="5" t="s">
        <v>177</v>
      </c>
      <c r="F19" s="5" t="s">
        <v>70</v>
      </c>
      <c r="G19" s="5" t="s">
        <v>71</v>
      </c>
      <c r="H19" s="5">
        <v>2026</v>
      </c>
      <c r="I19" s="5">
        <v>4</v>
      </c>
      <c r="J19" s="7">
        <v>3</v>
      </c>
      <c r="K19" s="7">
        <v>3.1</v>
      </c>
      <c r="L19" s="7">
        <v>3.2</v>
      </c>
      <c r="M19" s="5">
        <f t="shared" si="41"/>
        <v>3.1</v>
      </c>
      <c r="N19" s="5" t="str">
        <f t="shared" si="1"/>
        <v>BASICO</v>
      </c>
      <c r="O19" s="5">
        <v>1</v>
      </c>
      <c r="P19" s="7">
        <v>3.5</v>
      </c>
      <c r="Q19" s="7">
        <v>3.5</v>
      </c>
      <c r="R19" s="7">
        <v>3.5</v>
      </c>
      <c r="S19" s="5">
        <f t="shared" si="48"/>
        <v>3.5</v>
      </c>
      <c r="T19" s="5" t="str">
        <f t="shared" si="3"/>
        <v>BASICO</v>
      </c>
      <c r="U19" s="5">
        <v>4</v>
      </c>
      <c r="V19" s="7">
        <v>4</v>
      </c>
      <c r="W19" s="7">
        <v>3</v>
      </c>
      <c r="X19" s="7">
        <v>3.7</v>
      </c>
      <c r="Y19" s="5">
        <f t="shared" si="4"/>
        <v>3.5100000000000007</v>
      </c>
      <c r="Z19" s="5" t="str">
        <f t="shared" si="5"/>
        <v>BASICO</v>
      </c>
      <c r="AA19" s="5">
        <v>1</v>
      </c>
      <c r="AB19" s="7">
        <v>4</v>
      </c>
      <c r="AC19" s="7">
        <v>4</v>
      </c>
      <c r="AD19" s="7">
        <v>4</v>
      </c>
      <c r="AE19" s="5">
        <f t="shared" si="6"/>
        <v>4</v>
      </c>
      <c r="AF19" s="5" t="str">
        <f t="shared" si="7"/>
        <v>ALTO</v>
      </c>
      <c r="AG19" s="5">
        <v>2</v>
      </c>
      <c r="AH19" s="8">
        <v>3.5</v>
      </c>
      <c r="AI19" s="8">
        <v>3.5</v>
      </c>
      <c r="AJ19" s="8">
        <v>3.5</v>
      </c>
      <c r="AK19" s="5">
        <f t="shared" si="8"/>
        <v>3.5</v>
      </c>
      <c r="AL19" s="5" t="str">
        <f t="shared" si="9"/>
        <v>BASICO</v>
      </c>
      <c r="AM19" s="5">
        <v>1</v>
      </c>
      <c r="AN19" s="8">
        <v>3.5</v>
      </c>
      <c r="AO19" s="8">
        <v>3.5</v>
      </c>
      <c r="AP19" s="8">
        <v>3.5</v>
      </c>
      <c r="AQ19" s="5">
        <f t="shared" si="10"/>
        <v>3.5</v>
      </c>
      <c r="AR19" s="5" t="str">
        <f t="shared" si="11"/>
        <v>BASICO</v>
      </c>
      <c r="AS19" s="5">
        <v>4</v>
      </c>
      <c r="AT19" s="7">
        <v>3.6</v>
      </c>
      <c r="AU19" s="7">
        <v>3.6</v>
      </c>
      <c r="AV19" s="7">
        <v>3.6</v>
      </c>
      <c r="AW19" s="5">
        <f t="shared" si="12"/>
        <v>3.6000000000000005</v>
      </c>
      <c r="AX19" s="5" t="str">
        <f t="shared" si="56"/>
        <v>BASICO</v>
      </c>
      <c r="AY19" s="5">
        <v>1</v>
      </c>
      <c r="AZ19" s="7">
        <v>4</v>
      </c>
      <c r="BA19" s="7">
        <v>4</v>
      </c>
      <c r="BB19" s="7">
        <v>4</v>
      </c>
      <c r="BC19" s="5">
        <f t="shared" si="14"/>
        <v>4</v>
      </c>
      <c r="BD19" s="5" t="str">
        <f t="shared" si="15"/>
        <v>ALTO</v>
      </c>
      <c r="BE19" s="7">
        <v>2</v>
      </c>
      <c r="BF19" s="7">
        <v>3.8</v>
      </c>
      <c r="BG19" s="7">
        <v>4.2</v>
      </c>
      <c r="BH19" s="7">
        <v>4</v>
      </c>
      <c r="BI19" s="5">
        <f t="shared" si="53"/>
        <v>4.0200000000000005</v>
      </c>
      <c r="BJ19" s="5" t="str">
        <f t="shared" si="17"/>
        <v>ALTO</v>
      </c>
      <c r="BK19" s="5">
        <v>1</v>
      </c>
      <c r="BL19" s="7">
        <v>3.5</v>
      </c>
      <c r="BM19" s="7">
        <v>3.8</v>
      </c>
      <c r="BN19" s="7">
        <v>3.6</v>
      </c>
      <c r="BO19" s="5">
        <f t="shared" ref="BO19:BO42" si="58">((BL19*0.3)+(BM19*0.4)+(BN19*0.3))</f>
        <v>3.6500000000000004</v>
      </c>
      <c r="BP19" s="5" t="str">
        <f t="shared" si="19"/>
        <v>BASICO</v>
      </c>
      <c r="BQ19" s="5">
        <v>1</v>
      </c>
      <c r="BR19" s="7">
        <v>3.3</v>
      </c>
      <c r="BS19" s="7">
        <v>3.6</v>
      </c>
      <c r="BT19" s="7">
        <v>3.8</v>
      </c>
      <c r="BU19" s="5">
        <f t="shared" si="20"/>
        <v>3.5700000000000003</v>
      </c>
      <c r="BV19" s="5" t="str">
        <f t="shared" si="21"/>
        <v>BASICO</v>
      </c>
      <c r="BW19" s="5">
        <v>1</v>
      </c>
      <c r="BX19" s="7">
        <v>3.3</v>
      </c>
      <c r="BY19" s="7">
        <v>3.5</v>
      </c>
      <c r="BZ19" s="7">
        <v>3.4</v>
      </c>
      <c r="CA19" s="5">
        <f t="shared" si="22"/>
        <v>3.41</v>
      </c>
      <c r="CB19" s="5" t="str">
        <f t="shared" si="23"/>
        <v>BASICO</v>
      </c>
      <c r="CC19" s="5">
        <v>1</v>
      </c>
      <c r="CD19" s="7">
        <v>3.7</v>
      </c>
      <c r="CE19" s="7">
        <v>3.6</v>
      </c>
      <c r="CF19" s="7">
        <v>3.6</v>
      </c>
      <c r="CG19" s="5">
        <f t="shared" si="24"/>
        <v>3.6300000000000003</v>
      </c>
      <c r="CH19" s="5" t="str">
        <f t="shared" si="25"/>
        <v>BASICO</v>
      </c>
      <c r="CI19" s="5">
        <v>1</v>
      </c>
      <c r="CJ19" s="7">
        <v>3.5</v>
      </c>
      <c r="CK19" s="7">
        <v>3.5</v>
      </c>
      <c r="CL19" s="7">
        <v>3.5</v>
      </c>
      <c r="CM19" s="5">
        <f t="shared" si="26"/>
        <v>3.5</v>
      </c>
      <c r="CN19" s="5" t="str">
        <f t="shared" si="27"/>
        <v>BASICO</v>
      </c>
      <c r="CO19" s="5">
        <v>1</v>
      </c>
      <c r="CP19" s="7">
        <v>5</v>
      </c>
      <c r="CQ19" s="7">
        <v>5</v>
      </c>
      <c r="CR19" s="7">
        <v>5</v>
      </c>
      <c r="CS19" s="5">
        <f t="shared" si="28"/>
        <v>5</v>
      </c>
      <c r="CT19" s="5" t="str">
        <f t="shared" si="29"/>
        <v>SUPERIOR</v>
      </c>
      <c r="CU19" s="5">
        <v>2</v>
      </c>
      <c r="CV19" s="7">
        <v>3</v>
      </c>
      <c r="CW19" s="7">
        <v>3</v>
      </c>
      <c r="CX19" s="7">
        <v>3</v>
      </c>
      <c r="CY19" s="5">
        <f t="shared" si="30"/>
        <v>3</v>
      </c>
      <c r="CZ19" s="5" t="str">
        <f t="shared" si="31"/>
        <v>BASICO</v>
      </c>
      <c r="DA19" s="5">
        <v>2</v>
      </c>
      <c r="DB19" s="7">
        <v>4</v>
      </c>
      <c r="DC19" s="7">
        <v>4</v>
      </c>
      <c r="DD19" s="7">
        <v>4.2</v>
      </c>
      <c r="DE19" s="5">
        <f t="shared" si="32"/>
        <v>4.0599999999999996</v>
      </c>
      <c r="DF19" s="5" t="str">
        <f t="shared" si="33"/>
        <v>ALTO</v>
      </c>
      <c r="DG19" s="5">
        <v>0</v>
      </c>
      <c r="DH19" s="7">
        <v>4</v>
      </c>
      <c r="DI19" s="5" t="str">
        <f t="shared" si="34"/>
        <v>ALTO</v>
      </c>
      <c r="DJ19" s="5">
        <f t="shared" si="35"/>
        <v>3.704705882352942</v>
      </c>
      <c r="DK19" s="5" t="str">
        <f t="shared" si="36"/>
        <v>Comprende el concepto de números reales, su relación de orden y las propiedades de sus operaciones, así como las relaciones de semejanza y congruencia de distintas figuras geométricas.</v>
      </c>
      <c r="DL19" s="5" t="str">
        <f t="shared" ref="DL19:FJ19" si="59">DL17</f>
        <v>Aplica correctamente las propiedades de las operaciones de números reales y expresiones algebraicas en la resolución de problemas.</v>
      </c>
      <c r="DM19" s="5" t="str">
        <f t="shared" si="59"/>
        <v>Valora el uso del pensamiento lógico a la hora de plantear y resolver problemas de las matemáticas y de la vida cotidiana.</v>
      </c>
      <c r="DN19" s="5" t="str">
        <f t="shared" si="5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19" s="5" t="str">
        <f t="shared" si="59"/>
        <v>Organiza y analiza datos mediante la construcción de tablas de frecuencias y diagramas estadísticos, identificando variables aleatorias y utilizando estas representaciones para resolver situaciones problema.</v>
      </c>
      <c r="DP19" s="5" t="str">
        <f t="shared" si="59"/>
        <v>Muestra disposición y responsabilidad en el manejo y análisis de datos, participando activamente en actividades individuales y colaborativas, y comunicando información estadística con claridad y sentido crítico.</v>
      </c>
      <c r="DQ19" s="5" t="str">
        <f t="shared" si="59"/>
        <v>Analiza las características de la literatura prehispánica y la literatura del descubrimiento y la conquista en Colombia identificando sus elementos fundamentales y su impacto en la cultura y el lenguaje actual.</v>
      </c>
      <c r="DR19" s="5" t="str">
        <f t="shared" si="59"/>
        <v>Realiza comprensión lectora cuando analiza un texto desde el discurso de la Enunciación e identifica la función de cada uno de sus componentes.
Responde preguntas en los tres niveles de lectura a una leyenda del Caribe.</v>
      </c>
      <c r="DS19" s="5" t="str">
        <f t="shared" si="59"/>
        <v>Muestra disposición para participar activamente en las clases, promoviendo el respeto por las ideas ajenas y reconociendo la importancia de la precisión como una herramienta clave para una comunicación</v>
      </c>
      <c r="DT19" s="5" t="str">
        <f t="shared" si="59"/>
        <v>Comprende el contenido del cuento A la deriva, identificando su tema central, la secuencia de los hechos, los personajes y las ideas explícitas e implícitas del texto.</v>
      </c>
      <c r="DU19" s="5" t="str">
        <f t="shared" si="59"/>
        <v>Analiza críticamente el cuento A la deriva mediante la identificación de información literal, inferencial y crítica, sustentando sus respuestas de forma oral y escrita.</v>
      </c>
      <c r="DV19" s="5" t="str">
        <f t="shared" si="59"/>
        <v>Valora la lectura literaria como una oportunidad para reflexionar sobre la vida, la naturaleza y la condición humana, participando con interés, respeto y sentido crítico en las actividades propuestas.</v>
      </c>
      <c r="DW19" s="5" t="str">
        <f t="shared" si="59"/>
        <v>Comprende y reconoce vocabulario y estructuras basicas del ingles para interpretar textos cortos y conversaciones sobre temas cotidianos de la vida diaria.</v>
      </c>
      <c r="DX19" s="5" t="str">
        <f t="shared" si="59"/>
        <v>Produce de forma oral y escrita frases y parrafos cortos en Ingles, utilizando correctamente las estructuras conocidas para describir rutinas, narrar experiencias y participar en conversaciones.</v>
      </c>
      <c r="DY19" s="5" t="str">
        <f t="shared" si="59"/>
        <v>Muestra disposicion positiva hacia el aprendizaje del Ingles participando activamente en clase.</v>
      </c>
      <c r="DZ19" s="5" t="str">
        <f t="shared" si="59"/>
        <v>Identifica vocabulario en Ingles  de situaciones cotidianas.</v>
      </c>
      <c r="EA19" s="5" t="str">
        <f t="shared" si="59"/>
        <v>Participa en actividades utilizando vocabulario aprendido para expresar gustos,emociones y necesidades.</v>
      </c>
      <c r="EB19" s="5" t="str">
        <f t="shared" si="59"/>
        <v>Respeta la opinion de los demas, muestra disposicion para participar en actividades orales.</v>
      </c>
      <c r="EC19" s="5" t="str">
        <f t="shared" si="59"/>
        <v>Identifica la conformación y funcionamiento del sistema inmunolófico y diferencia las característics de los estados de la materia.</v>
      </c>
      <c r="ED19" s="5" t="str">
        <f t="shared" si="59"/>
        <v>Reconoce experimentalmente las características de materiales en los diferentes estados de la materia.</v>
      </c>
      <c r="EE19" s="5" t="str">
        <f t="shared" si="59"/>
        <v xml:space="preserve">Valora la importancia de tener habitos saludables, para lograr el mantenimiento saludable del sistema inmune. </v>
      </c>
      <c r="EF19" s="5" t="str">
        <f t="shared" si="59"/>
        <v>Describe correctamente la secuencia de eventos biologicos de la fecundacion,incluyendo las recciones acrosomicas,la funcion de gametos y la formacion de gametos.</v>
      </c>
      <c r="EG19" s="5" t="str">
        <f t="shared" si="59"/>
        <v>Mide la capacidad del labolatrio para lograr la fecundacion exitosa de los ovulos con el espermatozoide.</v>
      </c>
      <c r="EH19" s="5" t="str">
        <f t="shared" si="59"/>
        <v>Valora la importancia del cuidado del cuerpo y de la salud reproductiva como la base para una fecundacion saludable.</v>
      </c>
      <c r="EI19" s="5" t="str">
        <f t="shared" si="59"/>
        <v>Explico las principales caracteristicas de algunas revoluciones de los siglos XVIII y XIX (Revolucion francesa, Industrial...)</v>
      </c>
      <c r="EJ19" s="5" t="str">
        <f t="shared" si="59"/>
        <v>Analiza las causas y consecuencias de procesos historicos como la Revolucion Industrial y Francesa.</v>
      </c>
      <c r="EK19" s="5" t="str">
        <f t="shared" si="59"/>
        <v>Muestra interes y curiosidad por comprender los procesos historicos y su impacto en la sociedad.</v>
      </c>
      <c r="EL19" s="5" t="str">
        <f t="shared" si="59"/>
        <v xml:space="preserve">Identifica los procesos historicos de algunas revoluciones de los siglos XVIII y XIX </v>
      </c>
      <c r="EM19" s="5">
        <f t="shared" si="59"/>
        <v>0</v>
      </c>
      <c r="EN19" s="5">
        <f t="shared" si="59"/>
        <v>0</v>
      </c>
      <c r="EO19" s="5" t="str">
        <f t="shared" si="59"/>
        <v xml:space="preserve">Comprende la distribucion espacial de la poblacion antes y despues de las revoluciones </v>
      </c>
      <c r="EP19" s="5" t="str">
        <f t="shared" si="59"/>
        <v xml:space="preserve">Ubica en mapas las regiones donde se desarrollaron las principales revoluciones y explica sus caracteristicas geograficas </v>
      </c>
      <c r="EQ19" s="5" t="str">
        <f t="shared" si="59"/>
        <v>Muestra interes por comprender la relacion entre sociedad, economia y territorio</v>
      </c>
      <c r="ER19" s="5" t="str">
        <f t="shared" si="59"/>
        <v>Comprende el concepto de cultura de paz y su importancia en la sociedad</v>
      </c>
      <c r="ES19" s="5" t="str">
        <f t="shared" si="59"/>
        <v>Practica normas de convivencia en diferentes espacios( aula, hogar, comunidad)</v>
      </c>
      <c r="ET19" s="5" t="str">
        <f t="shared" si="59"/>
        <v>Muestra actitud de respeto hacia la diversidad cuktural, social y de pensamiento</v>
      </c>
      <c r="EU19" s="5">
        <f t="shared" si="59"/>
        <v>0</v>
      </c>
      <c r="EV19" s="5">
        <f t="shared" si="59"/>
        <v>0</v>
      </c>
      <c r="EW19" s="5">
        <f t="shared" si="59"/>
        <v>0</v>
      </c>
      <c r="EX19" s="5">
        <f t="shared" si="59"/>
        <v>0</v>
      </c>
      <c r="EY19" s="5">
        <f t="shared" si="59"/>
        <v>0</v>
      </c>
      <c r="EZ19" s="5">
        <f t="shared" si="59"/>
        <v>0</v>
      </c>
      <c r="FA19" s="5">
        <f t="shared" si="59"/>
        <v>0</v>
      </c>
      <c r="FB19" s="5">
        <f t="shared" si="59"/>
        <v>0</v>
      </c>
      <c r="FC19" s="5">
        <f t="shared" si="59"/>
        <v>0</v>
      </c>
      <c r="FD19" s="5" t="str">
        <f t="shared" si="59"/>
        <v xml:space="preserve"> Identifica las expresiones motrices relacionadas con el juego del voleibol,  como una oportunidad para mejorar la salud, la estética y las relaciones con los demás.</v>
      </c>
      <c r="FE19" s="5" t="str">
        <f t="shared" si="59"/>
        <v>Pone en práctica los fundamentos básicos del voleibol.</v>
      </c>
      <c r="FF19" s="5" t="str">
        <f t="shared" si="59"/>
        <v>Muestra  responsabilidad y buena actitud al realizar el juego de voleibol.</v>
      </c>
      <c r="FG19" s="5" t="str">
        <f t="shared" si="59"/>
        <v>Comprende el concepto de variable como espacio de almacenamiento de datos y reconoce el uso de estructuras condicionales (si, si-no) para la toma de decisiones en un programa.</v>
      </c>
      <c r="FH19" s="5" t="str">
        <f t="shared" si="59"/>
        <v>Diseña y desarrolla programas que utilizan variables y estructuras condicionales para resolver problemas, evaluando condiciones y generando respuestas según diferentes situaciones.</v>
      </c>
      <c r="FI19" s="5" t="str">
        <f t="shared" si="59"/>
        <v>Muestra pensamiento lógico, perseverancia y actitud crítica al analizar errores y proponer soluciones en la construcción de programas con variables y condicionales.</v>
      </c>
      <c r="FJ19" s="5" t="str">
        <f t="shared" si="59"/>
        <v>Identifica y reconoce sus pricipales deberes y derechos dentro y fuera  de la Institución educativa.</v>
      </c>
    </row>
    <row r="20" spans="1:166">
      <c r="A20" s="5">
        <v>19</v>
      </c>
      <c r="B20" s="5" t="s">
        <v>194</v>
      </c>
      <c r="C20" s="6">
        <v>1048077747</v>
      </c>
      <c r="D20" s="5" t="s">
        <v>176</v>
      </c>
      <c r="E20" s="5" t="s">
        <v>177</v>
      </c>
      <c r="F20" s="5" t="s">
        <v>70</v>
      </c>
      <c r="G20" s="5" t="s">
        <v>71</v>
      </c>
      <c r="H20" s="5">
        <v>2026</v>
      </c>
      <c r="I20" s="5">
        <v>4</v>
      </c>
      <c r="J20" s="7">
        <v>3</v>
      </c>
      <c r="K20" s="7">
        <v>3</v>
      </c>
      <c r="L20" s="7">
        <v>3</v>
      </c>
      <c r="M20" s="5">
        <f t="shared" si="41"/>
        <v>3</v>
      </c>
      <c r="N20" s="5" t="str">
        <f t="shared" si="1"/>
        <v>BASICO</v>
      </c>
      <c r="O20" s="5">
        <v>1</v>
      </c>
      <c r="P20" s="7">
        <v>4.5</v>
      </c>
      <c r="Q20" s="7">
        <v>4.5</v>
      </c>
      <c r="R20" s="7">
        <v>4</v>
      </c>
      <c r="S20" s="5">
        <f t="shared" si="48"/>
        <v>4.3499999999999996</v>
      </c>
      <c r="T20" s="5" t="str">
        <f t="shared" si="3"/>
        <v>ALTO</v>
      </c>
      <c r="U20" s="5">
        <v>4</v>
      </c>
      <c r="V20" s="7">
        <v>4.5</v>
      </c>
      <c r="W20" s="7">
        <v>4</v>
      </c>
      <c r="X20" s="7">
        <v>4</v>
      </c>
      <c r="Y20" s="5">
        <f t="shared" si="4"/>
        <v>4.1500000000000004</v>
      </c>
      <c r="Z20" s="5" t="str">
        <f t="shared" si="5"/>
        <v>ALTO</v>
      </c>
      <c r="AA20" s="5">
        <v>1</v>
      </c>
      <c r="AB20" s="7">
        <v>2</v>
      </c>
      <c r="AC20" s="7">
        <v>2</v>
      </c>
      <c r="AD20" s="7">
        <v>2</v>
      </c>
      <c r="AE20" s="5">
        <f t="shared" si="6"/>
        <v>2</v>
      </c>
      <c r="AF20" s="5" t="str">
        <f t="shared" si="7"/>
        <v>BAJO</v>
      </c>
      <c r="AG20" s="5">
        <v>2</v>
      </c>
      <c r="AH20" s="8">
        <v>3.5</v>
      </c>
      <c r="AI20" s="8">
        <v>3.5</v>
      </c>
      <c r="AJ20" s="8">
        <v>3.5</v>
      </c>
      <c r="AK20" s="5">
        <f t="shared" si="8"/>
        <v>3.5</v>
      </c>
      <c r="AL20" s="5" t="str">
        <f t="shared" si="9"/>
        <v>BASICO</v>
      </c>
      <c r="AM20" s="5">
        <v>1</v>
      </c>
      <c r="AN20" s="8">
        <v>3.5</v>
      </c>
      <c r="AO20" s="8">
        <v>3.5</v>
      </c>
      <c r="AP20" s="8">
        <v>3.5</v>
      </c>
      <c r="AQ20" s="5">
        <f t="shared" si="10"/>
        <v>3.5</v>
      </c>
      <c r="AR20" s="5" t="str">
        <f t="shared" si="11"/>
        <v>BASICO</v>
      </c>
      <c r="AS20" s="5">
        <v>4</v>
      </c>
      <c r="AT20" s="7">
        <v>3.7</v>
      </c>
      <c r="AU20" s="7">
        <v>3.7</v>
      </c>
      <c r="AV20" s="7">
        <v>3.7</v>
      </c>
      <c r="AW20" s="5">
        <f t="shared" si="12"/>
        <v>3.7</v>
      </c>
      <c r="AX20" s="5" t="str">
        <f t="shared" si="56"/>
        <v>BASICO</v>
      </c>
      <c r="AY20" s="5">
        <v>1</v>
      </c>
      <c r="AZ20" s="7">
        <v>4</v>
      </c>
      <c r="BA20" s="7">
        <v>4</v>
      </c>
      <c r="BB20" s="7">
        <v>4</v>
      </c>
      <c r="BC20" s="5">
        <f t="shared" si="14"/>
        <v>4</v>
      </c>
      <c r="BD20" s="5" t="str">
        <f t="shared" si="15"/>
        <v>ALTO</v>
      </c>
      <c r="BE20" s="7">
        <v>2</v>
      </c>
      <c r="BF20" s="7">
        <v>3.8</v>
      </c>
      <c r="BG20" s="7">
        <v>3.6</v>
      </c>
      <c r="BH20" s="7">
        <v>3.9</v>
      </c>
      <c r="BI20" s="5">
        <f t="shared" si="53"/>
        <v>3.75</v>
      </c>
      <c r="BJ20" s="5" t="str">
        <f t="shared" si="17"/>
        <v>BASICO</v>
      </c>
      <c r="BK20" s="5">
        <v>1</v>
      </c>
      <c r="BL20" s="7">
        <v>3.5</v>
      </c>
      <c r="BM20" s="7">
        <v>3.7</v>
      </c>
      <c r="BN20" s="7">
        <v>4</v>
      </c>
      <c r="BO20" s="5">
        <f t="shared" si="58"/>
        <v>3.7300000000000004</v>
      </c>
      <c r="BP20" s="5" t="str">
        <f t="shared" si="19"/>
        <v>BASICO</v>
      </c>
      <c r="BQ20" s="5">
        <v>1</v>
      </c>
      <c r="BR20" s="7">
        <v>3.3</v>
      </c>
      <c r="BS20" s="7">
        <v>3.4</v>
      </c>
      <c r="BT20" s="7">
        <v>3.5</v>
      </c>
      <c r="BU20" s="5">
        <f t="shared" si="20"/>
        <v>3.4000000000000004</v>
      </c>
      <c r="BV20" s="5" t="str">
        <f t="shared" si="21"/>
        <v>BASICO</v>
      </c>
      <c r="BW20" s="5">
        <v>1</v>
      </c>
      <c r="BX20" s="7">
        <v>3.3</v>
      </c>
      <c r="BY20" s="7">
        <v>3.5</v>
      </c>
      <c r="BZ20" s="7">
        <v>3.8</v>
      </c>
      <c r="CA20" s="5">
        <f t="shared" si="22"/>
        <v>3.5300000000000002</v>
      </c>
      <c r="CB20" s="5" t="str">
        <f t="shared" si="23"/>
        <v>BASICO</v>
      </c>
      <c r="CC20" s="5">
        <v>1</v>
      </c>
      <c r="CD20" s="7">
        <v>3.6</v>
      </c>
      <c r="CE20" s="7">
        <v>3.7</v>
      </c>
      <c r="CF20" s="7">
        <v>3.7</v>
      </c>
      <c r="CG20" s="5">
        <f t="shared" si="24"/>
        <v>3.6700000000000008</v>
      </c>
      <c r="CH20" s="5" t="str">
        <f t="shared" si="25"/>
        <v>BASICO</v>
      </c>
      <c r="CI20" s="5">
        <v>1</v>
      </c>
      <c r="CJ20" s="7">
        <v>4</v>
      </c>
      <c r="CK20" s="7">
        <v>4</v>
      </c>
      <c r="CL20" s="7">
        <v>4</v>
      </c>
      <c r="CM20" s="5">
        <f t="shared" si="26"/>
        <v>4</v>
      </c>
      <c r="CN20" s="5" t="str">
        <f t="shared" si="27"/>
        <v>ALTO</v>
      </c>
      <c r="CO20" s="5">
        <v>1</v>
      </c>
      <c r="CP20" s="7">
        <v>5</v>
      </c>
      <c r="CQ20" s="7">
        <v>5</v>
      </c>
      <c r="CR20" s="7">
        <v>5</v>
      </c>
      <c r="CS20" s="5">
        <f t="shared" si="28"/>
        <v>5</v>
      </c>
      <c r="CT20" s="5" t="str">
        <f t="shared" si="29"/>
        <v>SUPERIOR</v>
      </c>
      <c r="CU20" s="5">
        <v>2</v>
      </c>
      <c r="CV20" s="7">
        <v>5</v>
      </c>
      <c r="CW20" s="7">
        <v>5</v>
      </c>
      <c r="CX20" s="7">
        <v>5</v>
      </c>
      <c r="CY20" s="5">
        <f t="shared" si="30"/>
        <v>5</v>
      </c>
      <c r="CZ20" s="5" t="str">
        <f t="shared" si="31"/>
        <v>SUPERIOR</v>
      </c>
      <c r="DA20" s="5">
        <v>2</v>
      </c>
      <c r="DB20" s="7">
        <v>3.2</v>
      </c>
      <c r="DC20" s="7">
        <v>3.2</v>
      </c>
      <c r="DD20" s="7">
        <v>4</v>
      </c>
      <c r="DE20" s="5">
        <f t="shared" si="32"/>
        <v>3.4400000000000004</v>
      </c>
      <c r="DF20" s="5" t="str">
        <f t="shared" si="33"/>
        <v>BASICO</v>
      </c>
      <c r="DG20" s="5">
        <v>0</v>
      </c>
      <c r="DH20" s="7">
        <v>4</v>
      </c>
      <c r="DI20" s="5" t="str">
        <f t="shared" si="34"/>
        <v>ALTO</v>
      </c>
      <c r="DJ20" s="5">
        <f t="shared" si="35"/>
        <v>3.7835294117647065</v>
      </c>
      <c r="DK20" s="5" t="str">
        <f t="shared" si="36"/>
        <v>Comprende el concepto de números reales, su relación de orden y las propiedades de sus operaciones, así como las relaciones de semejanza y congruencia de distintas figuras geométricas.</v>
      </c>
      <c r="DL20" s="5" t="str">
        <f t="shared" ref="DL20:FJ20" si="60">DL19</f>
        <v>Aplica correctamente las propiedades de las operaciones de números reales y expresiones algebraicas en la resolución de problemas.</v>
      </c>
      <c r="DM20" s="5" t="str">
        <f t="shared" si="60"/>
        <v>Valora el uso del pensamiento lógico a la hora de plantear y resolver problemas de las matemáticas y de la vida cotidiana.</v>
      </c>
      <c r="DN20" s="5" t="str">
        <f t="shared" si="6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0" s="5" t="str">
        <f t="shared" si="60"/>
        <v>Organiza y analiza datos mediante la construcción de tablas de frecuencias y diagramas estadísticos, identificando variables aleatorias y utilizando estas representaciones para resolver situaciones problema.</v>
      </c>
      <c r="DP20" s="5" t="str">
        <f t="shared" si="60"/>
        <v>Muestra disposición y responsabilidad en el manejo y análisis de datos, participando activamente en actividades individuales y colaborativas, y comunicando información estadística con claridad y sentido crítico.</v>
      </c>
      <c r="DQ20" s="5" t="str">
        <f t="shared" si="60"/>
        <v>Analiza las características de la literatura prehispánica y la literatura del descubrimiento y la conquista en Colombia identificando sus elementos fundamentales y su impacto en la cultura y el lenguaje actual.</v>
      </c>
      <c r="DR20" s="5" t="str">
        <f t="shared" si="60"/>
        <v>Realiza comprensión lectora cuando analiza un texto desde el discurso de la Enunciación e identifica la función de cada uno de sus componentes.
Responde preguntas en los tres niveles de lectura a una leyenda del Caribe.</v>
      </c>
      <c r="DS20" s="5" t="str">
        <f t="shared" si="60"/>
        <v>Muestra disposición para participar activamente en las clases, promoviendo el respeto por las ideas ajenas y reconociendo la importancia de la precisión como una herramienta clave para una comunicación</v>
      </c>
      <c r="DT20" s="5" t="str">
        <f t="shared" si="60"/>
        <v>Comprende el contenido del cuento A la deriva, identificando su tema central, la secuencia de los hechos, los personajes y las ideas explícitas e implícitas del texto.</v>
      </c>
      <c r="DU20" s="5" t="str">
        <f t="shared" si="60"/>
        <v>Analiza críticamente el cuento A la deriva mediante la identificación de información literal, inferencial y crítica, sustentando sus respuestas de forma oral y escrita.</v>
      </c>
      <c r="DV20" s="5" t="str">
        <f t="shared" si="60"/>
        <v>Valora la lectura literaria como una oportunidad para reflexionar sobre la vida, la naturaleza y la condición humana, participando con interés, respeto y sentido crítico en las actividades propuestas.</v>
      </c>
      <c r="DW20" s="5" t="str">
        <f t="shared" si="60"/>
        <v>Comprende y reconoce vocabulario y estructuras basicas del ingles para interpretar textos cortos y conversaciones sobre temas cotidianos de la vida diaria.</v>
      </c>
      <c r="DX20" s="5" t="str">
        <f t="shared" si="60"/>
        <v>Produce de forma oral y escrita frases y parrafos cortos en Ingles, utilizando correctamente las estructuras conocidas para describir rutinas, narrar experiencias y participar en conversaciones.</v>
      </c>
      <c r="DY20" s="5" t="str">
        <f t="shared" si="60"/>
        <v>Muestra disposicion positiva hacia el aprendizaje del Ingles participando activamente en clase.</v>
      </c>
      <c r="DZ20" s="5" t="str">
        <f t="shared" si="60"/>
        <v>Identifica vocabulario en Ingles  de situaciones cotidianas.</v>
      </c>
      <c r="EA20" s="5" t="str">
        <f t="shared" si="60"/>
        <v>Participa en actividades utilizando vocabulario aprendido para expresar gustos,emociones y necesidades.</v>
      </c>
      <c r="EB20" s="5" t="str">
        <f t="shared" si="60"/>
        <v>Respeta la opinion de los demas, muestra disposicion para participar en actividades orales.</v>
      </c>
      <c r="EC20" s="5" t="str">
        <f t="shared" si="60"/>
        <v>Identifica la conformación y funcionamiento del sistema inmunolófico y diferencia las característics de los estados de la materia.</v>
      </c>
      <c r="ED20" s="5" t="str">
        <f t="shared" si="60"/>
        <v>Reconoce experimentalmente las características de materiales en los diferentes estados de la materia.</v>
      </c>
      <c r="EE20" s="5" t="str">
        <f t="shared" si="60"/>
        <v xml:space="preserve">Valora la importancia de tener habitos saludables, para lograr el mantenimiento saludable del sistema inmune. </v>
      </c>
      <c r="EF20" s="5" t="str">
        <f t="shared" si="60"/>
        <v>Describe correctamente la secuencia de eventos biologicos de la fecundacion,incluyendo las recciones acrosomicas,la funcion de gametos y la formacion de gametos.</v>
      </c>
      <c r="EG20" s="5" t="str">
        <f t="shared" si="60"/>
        <v>Mide la capacidad del labolatrio para lograr la fecundacion exitosa de los ovulos con el espermatozoide.</v>
      </c>
      <c r="EH20" s="5" t="str">
        <f t="shared" si="60"/>
        <v>Valora la importancia del cuidado del cuerpo y de la salud reproductiva como la base para una fecundacion saludable.</v>
      </c>
      <c r="EI20" s="5" t="str">
        <f t="shared" si="60"/>
        <v>Explico las principales caracteristicas de algunas revoluciones de los siglos XVIII y XIX (Revolucion francesa, Industrial...)</v>
      </c>
      <c r="EJ20" s="5" t="str">
        <f t="shared" si="60"/>
        <v>Analiza las causas y consecuencias de procesos historicos como la Revolucion Industrial y Francesa.</v>
      </c>
      <c r="EK20" s="5" t="str">
        <f t="shared" si="60"/>
        <v>Muestra interes y curiosidad por comprender los procesos historicos y su impacto en la sociedad.</v>
      </c>
      <c r="EL20" s="5" t="str">
        <f t="shared" si="60"/>
        <v xml:space="preserve">Identifica los procesos historicos de algunas revoluciones de los siglos XVIII y XIX </v>
      </c>
      <c r="EM20" s="5">
        <f t="shared" si="60"/>
        <v>0</v>
      </c>
      <c r="EN20" s="5">
        <f t="shared" si="60"/>
        <v>0</v>
      </c>
      <c r="EO20" s="5" t="str">
        <f t="shared" si="60"/>
        <v xml:space="preserve">Comprende la distribucion espacial de la poblacion antes y despues de las revoluciones </v>
      </c>
      <c r="EP20" s="5" t="str">
        <f t="shared" si="60"/>
        <v xml:space="preserve">Ubica en mapas las regiones donde se desarrollaron las principales revoluciones y explica sus caracteristicas geograficas </v>
      </c>
      <c r="EQ20" s="5" t="str">
        <f t="shared" si="60"/>
        <v>Muestra interes por comprender la relacion entre sociedad, economia y territorio</v>
      </c>
      <c r="ER20" s="5" t="str">
        <f t="shared" si="60"/>
        <v>Comprende el concepto de cultura de paz y su importancia en la sociedad</v>
      </c>
      <c r="ES20" s="5" t="str">
        <f t="shared" si="60"/>
        <v>Practica normas de convivencia en diferentes espacios( aula, hogar, comunidad)</v>
      </c>
      <c r="ET20" s="5" t="str">
        <f t="shared" si="60"/>
        <v>Muestra actitud de respeto hacia la diversidad cuktural, social y de pensamiento</v>
      </c>
      <c r="EU20" s="5">
        <f t="shared" si="60"/>
        <v>0</v>
      </c>
      <c r="EV20" s="5">
        <f t="shared" si="60"/>
        <v>0</v>
      </c>
      <c r="EW20" s="5">
        <f t="shared" si="60"/>
        <v>0</v>
      </c>
      <c r="EX20" s="5">
        <f t="shared" si="60"/>
        <v>0</v>
      </c>
      <c r="EY20" s="5">
        <f t="shared" si="60"/>
        <v>0</v>
      </c>
      <c r="EZ20" s="5">
        <f t="shared" si="60"/>
        <v>0</v>
      </c>
      <c r="FA20" s="5">
        <f t="shared" si="60"/>
        <v>0</v>
      </c>
      <c r="FB20" s="5">
        <f t="shared" si="60"/>
        <v>0</v>
      </c>
      <c r="FC20" s="5">
        <f t="shared" si="60"/>
        <v>0</v>
      </c>
      <c r="FD20" s="5" t="str">
        <f t="shared" si="60"/>
        <v xml:space="preserve"> Identifica las expresiones motrices relacionadas con el juego del voleibol,  como una oportunidad para mejorar la salud, la estética y las relaciones con los demás.</v>
      </c>
      <c r="FE20" s="5" t="str">
        <f t="shared" si="60"/>
        <v>Pone en práctica los fundamentos básicos del voleibol.</v>
      </c>
      <c r="FF20" s="5" t="str">
        <f t="shared" si="60"/>
        <v>Muestra  responsabilidad y buena actitud al realizar el juego de voleibol.</v>
      </c>
      <c r="FG20" s="5" t="str">
        <f t="shared" si="60"/>
        <v>Comprende el concepto de variable como espacio de almacenamiento de datos y reconoce el uso de estructuras condicionales (si, si-no) para la toma de decisiones en un programa.</v>
      </c>
      <c r="FH20" s="5" t="str">
        <f t="shared" si="60"/>
        <v>Diseña y desarrolla programas que utilizan variables y estructuras condicionales para resolver problemas, evaluando condiciones y generando respuestas según diferentes situaciones.</v>
      </c>
      <c r="FI20" s="5" t="str">
        <f t="shared" si="60"/>
        <v>Muestra pensamiento lógico, perseverancia y actitud crítica al analizar errores y proponer soluciones en la construcción de programas con variables y condicionales.</v>
      </c>
      <c r="FJ20" s="5" t="str">
        <f t="shared" si="60"/>
        <v>Identifica y reconoce sus pricipales deberes y derechos dentro y fuera  de la Institución educativa.</v>
      </c>
    </row>
    <row r="21" spans="1:166" ht="15.75" customHeight="1">
      <c r="A21" s="5">
        <v>20</v>
      </c>
      <c r="B21" s="5" t="s">
        <v>195</v>
      </c>
      <c r="C21" s="6">
        <v>1151480620</v>
      </c>
      <c r="D21" s="5" t="s">
        <v>176</v>
      </c>
      <c r="E21" s="5" t="s">
        <v>177</v>
      </c>
      <c r="F21" s="5" t="s">
        <v>70</v>
      </c>
      <c r="G21" s="5" t="s">
        <v>71</v>
      </c>
      <c r="H21" s="5">
        <v>2026</v>
      </c>
      <c r="I21" s="5">
        <v>4</v>
      </c>
      <c r="J21" s="7">
        <v>3</v>
      </c>
      <c r="K21" s="7">
        <v>3.2</v>
      </c>
      <c r="L21" s="7">
        <v>3.4</v>
      </c>
      <c r="M21" s="5">
        <f t="shared" si="41"/>
        <v>3.2</v>
      </c>
      <c r="N21" s="5" t="str">
        <f t="shared" si="1"/>
        <v>BASICO</v>
      </c>
      <c r="O21" s="5">
        <v>1</v>
      </c>
      <c r="P21" s="7">
        <v>4.5</v>
      </c>
      <c r="Q21" s="7">
        <v>4.5</v>
      </c>
      <c r="R21" s="7">
        <v>4</v>
      </c>
      <c r="S21" s="5">
        <f t="shared" si="48"/>
        <v>4.3499999999999996</v>
      </c>
      <c r="T21" s="5" t="str">
        <f t="shared" si="3"/>
        <v>ALTO</v>
      </c>
      <c r="U21" s="5">
        <v>4</v>
      </c>
      <c r="V21" s="7">
        <v>4</v>
      </c>
      <c r="W21" s="7">
        <v>4.5</v>
      </c>
      <c r="X21" s="7">
        <v>4</v>
      </c>
      <c r="Y21" s="5">
        <f t="shared" si="4"/>
        <v>4.2</v>
      </c>
      <c r="Z21" s="5" t="str">
        <f t="shared" si="5"/>
        <v>ALTO</v>
      </c>
      <c r="AA21" s="5">
        <v>1</v>
      </c>
      <c r="AB21" s="7">
        <v>3.5</v>
      </c>
      <c r="AC21" s="7">
        <v>3.5</v>
      </c>
      <c r="AD21" s="7">
        <v>3.5</v>
      </c>
      <c r="AE21" s="5">
        <f t="shared" si="6"/>
        <v>3.5</v>
      </c>
      <c r="AF21" s="5" t="str">
        <f t="shared" si="7"/>
        <v>BASICO</v>
      </c>
      <c r="AG21" s="5">
        <v>2</v>
      </c>
      <c r="AH21" s="8">
        <v>4</v>
      </c>
      <c r="AI21" s="8">
        <v>4</v>
      </c>
      <c r="AJ21" s="8">
        <v>4</v>
      </c>
      <c r="AK21" s="5">
        <f t="shared" si="8"/>
        <v>4</v>
      </c>
      <c r="AL21" s="5" t="str">
        <f t="shared" si="9"/>
        <v>ALTO</v>
      </c>
      <c r="AM21" s="5">
        <v>1</v>
      </c>
      <c r="AN21" s="8">
        <v>4</v>
      </c>
      <c r="AO21" s="8">
        <v>4</v>
      </c>
      <c r="AP21" s="8">
        <v>4</v>
      </c>
      <c r="AQ21" s="5">
        <f t="shared" si="10"/>
        <v>4</v>
      </c>
      <c r="AR21" s="5" t="str">
        <f t="shared" si="11"/>
        <v>ALTO</v>
      </c>
      <c r="AS21" s="5">
        <v>4</v>
      </c>
      <c r="AT21" s="7">
        <v>3.2</v>
      </c>
      <c r="AU21" s="7">
        <v>3.2</v>
      </c>
      <c r="AV21" s="7">
        <v>3.2</v>
      </c>
      <c r="AW21" s="5">
        <f t="shared" si="12"/>
        <v>3.2</v>
      </c>
      <c r="AX21" s="5" t="str">
        <f t="shared" si="56"/>
        <v>BASICO</v>
      </c>
      <c r="AY21" s="5">
        <v>1</v>
      </c>
      <c r="AZ21" s="7">
        <v>4</v>
      </c>
      <c r="BA21" s="7">
        <v>4</v>
      </c>
      <c r="BB21" s="7">
        <v>4</v>
      </c>
      <c r="BC21" s="5">
        <f t="shared" si="14"/>
        <v>4</v>
      </c>
      <c r="BD21" s="5" t="str">
        <f t="shared" si="15"/>
        <v>ALTO</v>
      </c>
      <c r="BE21" s="7">
        <v>2</v>
      </c>
      <c r="BF21" s="7">
        <v>3.2</v>
      </c>
      <c r="BG21" s="7">
        <v>3.2</v>
      </c>
      <c r="BH21" s="7">
        <v>3.4</v>
      </c>
      <c r="BI21" s="5">
        <f t="shared" si="53"/>
        <v>3.2600000000000002</v>
      </c>
      <c r="BJ21" s="5" t="str">
        <f t="shared" si="17"/>
        <v>BASICO</v>
      </c>
      <c r="BK21" s="5">
        <v>1</v>
      </c>
      <c r="BL21" s="7">
        <v>3.3</v>
      </c>
      <c r="BM21" s="7">
        <v>3.5</v>
      </c>
      <c r="BN21" s="7">
        <v>3.6</v>
      </c>
      <c r="BO21" s="5">
        <f t="shared" si="58"/>
        <v>3.47</v>
      </c>
      <c r="BP21" s="5" t="str">
        <f t="shared" si="19"/>
        <v>BASICO</v>
      </c>
      <c r="BQ21" s="5">
        <v>1</v>
      </c>
      <c r="BR21" s="7">
        <v>3.2</v>
      </c>
      <c r="BS21" s="7">
        <v>3.3</v>
      </c>
      <c r="BT21" s="7">
        <v>3.6</v>
      </c>
      <c r="BU21" s="5">
        <f t="shared" si="20"/>
        <v>3.3600000000000003</v>
      </c>
      <c r="BV21" s="5" t="str">
        <f t="shared" si="21"/>
        <v>BASICO</v>
      </c>
      <c r="BW21" s="5">
        <v>1</v>
      </c>
      <c r="BX21" s="7">
        <v>3.2</v>
      </c>
      <c r="BY21" s="7">
        <v>3.3</v>
      </c>
      <c r="BZ21" s="7">
        <v>2.4</v>
      </c>
      <c r="CA21" s="5">
        <f t="shared" si="22"/>
        <v>3</v>
      </c>
      <c r="CB21" s="5" t="str">
        <f t="shared" si="23"/>
        <v>BASICO</v>
      </c>
      <c r="CC21" s="5">
        <v>1</v>
      </c>
      <c r="CD21" s="7">
        <v>4</v>
      </c>
      <c r="CE21" s="7">
        <v>4.2</v>
      </c>
      <c r="CF21" s="7">
        <v>4.2</v>
      </c>
      <c r="CG21" s="5">
        <f t="shared" si="24"/>
        <v>4.1399999999999997</v>
      </c>
      <c r="CH21" s="5" t="str">
        <f t="shared" si="25"/>
        <v>ALTO</v>
      </c>
      <c r="CI21" s="5">
        <v>1</v>
      </c>
      <c r="CJ21" s="7">
        <v>4</v>
      </c>
      <c r="CK21" s="7">
        <v>4</v>
      </c>
      <c r="CL21" s="7">
        <v>4</v>
      </c>
      <c r="CM21" s="5">
        <f t="shared" si="26"/>
        <v>4</v>
      </c>
      <c r="CN21" s="5" t="str">
        <f t="shared" si="27"/>
        <v>ALTO</v>
      </c>
      <c r="CO21" s="5">
        <v>1</v>
      </c>
      <c r="CP21" s="7">
        <v>4</v>
      </c>
      <c r="CQ21" s="7">
        <v>4</v>
      </c>
      <c r="CR21" s="7">
        <v>4</v>
      </c>
      <c r="CS21" s="5">
        <f t="shared" si="28"/>
        <v>4</v>
      </c>
      <c r="CT21" s="5" t="str">
        <f t="shared" si="29"/>
        <v>ALTO</v>
      </c>
      <c r="CU21" s="5">
        <v>2</v>
      </c>
      <c r="CV21" s="7">
        <v>5</v>
      </c>
      <c r="CW21" s="7">
        <v>5</v>
      </c>
      <c r="CX21" s="7">
        <v>5</v>
      </c>
      <c r="CY21" s="5">
        <f t="shared" si="30"/>
        <v>5</v>
      </c>
      <c r="CZ21" s="5" t="str">
        <f t="shared" si="31"/>
        <v>SUPERIOR</v>
      </c>
      <c r="DA21" s="5">
        <v>2</v>
      </c>
      <c r="DB21" s="7">
        <v>2.8</v>
      </c>
      <c r="DC21" s="7">
        <v>2.8</v>
      </c>
      <c r="DD21" s="7">
        <v>3.8</v>
      </c>
      <c r="DE21" s="5">
        <f t="shared" si="32"/>
        <v>3.0999999999999996</v>
      </c>
      <c r="DF21" s="5" t="str">
        <f t="shared" si="33"/>
        <v>BASICO</v>
      </c>
      <c r="DG21" s="5">
        <v>0</v>
      </c>
      <c r="DH21" s="7">
        <v>4.5</v>
      </c>
      <c r="DI21" s="5" t="str">
        <f t="shared" si="34"/>
        <v>SUPERIOR</v>
      </c>
      <c r="DJ21" s="5">
        <f t="shared" si="35"/>
        <v>3.8188235294117647</v>
      </c>
      <c r="DK21" s="5" t="str">
        <f t="shared" si="36"/>
        <v>Comprende el concepto de números reales, su relación de orden y las propiedades de sus operaciones, así como las relaciones de semejanza y congruencia de distintas figuras geométricas.</v>
      </c>
      <c r="DL21" s="5" t="str">
        <f t="shared" ref="DL21:FJ21" si="61">DL20</f>
        <v>Aplica correctamente las propiedades de las operaciones de números reales y expresiones algebraicas en la resolución de problemas.</v>
      </c>
      <c r="DM21" s="5" t="str">
        <f t="shared" si="61"/>
        <v>Valora el uso del pensamiento lógico a la hora de plantear y resolver problemas de las matemáticas y de la vida cotidiana.</v>
      </c>
      <c r="DN21" s="5" t="str">
        <f t="shared" si="6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1" s="5" t="str">
        <f t="shared" si="61"/>
        <v>Organiza y analiza datos mediante la construcción de tablas de frecuencias y diagramas estadísticos, identificando variables aleatorias y utilizando estas representaciones para resolver situaciones problema.</v>
      </c>
      <c r="DP21" s="5" t="str">
        <f t="shared" si="61"/>
        <v>Muestra disposición y responsabilidad en el manejo y análisis de datos, participando activamente en actividades individuales y colaborativas, y comunicando información estadística con claridad y sentido crítico.</v>
      </c>
      <c r="DQ21" s="5" t="str">
        <f t="shared" si="61"/>
        <v>Analiza las características de la literatura prehispánica y la literatura del descubrimiento y la conquista en Colombia identificando sus elementos fundamentales y su impacto en la cultura y el lenguaje actual.</v>
      </c>
      <c r="DR21" s="5" t="str">
        <f t="shared" si="61"/>
        <v>Realiza comprensión lectora cuando analiza un texto desde el discurso de la Enunciación e identifica la función de cada uno de sus componentes.
Responde preguntas en los tres niveles de lectura a una leyenda del Caribe.</v>
      </c>
      <c r="DS21" s="5" t="str">
        <f t="shared" si="61"/>
        <v>Muestra disposición para participar activamente en las clases, promoviendo el respeto por las ideas ajenas y reconociendo la importancia de la precisión como una herramienta clave para una comunicación</v>
      </c>
      <c r="DT21" s="5" t="str">
        <f t="shared" si="61"/>
        <v>Comprende el contenido del cuento A la deriva, identificando su tema central, la secuencia de los hechos, los personajes y las ideas explícitas e implícitas del texto.</v>
      </c>
      <c r="DU21" s="5" t="str">
        <f t="shared" si="61"/>
        <v>Analiza críticamente el cuento A la deriva mediante la identificación de información literal, inferencial y crítica, sustentando sus respuestas de forma oral y escrita.</v>
      </c>
      <c r="DV21" s="5" t="str">
        <f t="shared" si="61"/>
        <v>Valora la lectura literaria como una oportunidad para reflexionar sobre la vida, la naturaleza y la condición humana, participando con interés, respeto y sentido crítico en las actividades propuestas.</v>
      </c>
      <c r="DW21" s="5" t="str">
        <f t="shared" si="61"/>
        <v>Comprende y reconoce vocabulario y estructuras basicas del ingles para interpretar textos cortos y conversaciones sobre temas cotidianos de la vida diaria.</v>
      </c>
      <c r="DX21" s="5" t="str">
        <f t="shared" si="61"/>
        <v>Produce de forma oral y escrita frases y parrafos cortos en Ingles, utilizando correctamente las estructuras conocidas para describir rutinas, narrar experiencias y participar en conversaciones.</v>
      </c>
      <c r="DY21" s="5" t="str">
        <f t="shared" si="61"/>
        <v>Muestra disposicion positiva hacia el aprendizaje del Ingles participando activamente en clase.</v>
      </c>
      <c r="DZ21" s="5" t="str">
        <f t="shared" si="61"/>
        <v>Identifica vocabulario en Ingles  de situaciones cotidianas.</v>
      </c>
      <c r="EA21" s="5" t="str">
        <f t="shared" si="61"/>
        <v>Participa en actividades utilizando vocabulario aprendido para expresar gustos,emociones y necesidades.</v>
      </c>
      <c r="EB21" s="5" t="str">
        <f t="shared" si="61"/>
        <v>Respeta la opinion de los demas, muestra disposicion para participar en actividades orales.</v>
      </c>
      <c r="EC21" s="5" t="str">
        <f t="shared" si="61"/>
        <v>Identifica la conformación y funcionamiento del sistema inmunolófico y diferencia las característics de los estados de la materia.</v>
      </c>
      <c r="ED21" s="5" t="str">
        <f t="shared" si="61"/>
        <v>Reconoce experimentalmente las características de materiales en los diferentes estados de la materia.</v>
      </c>
      <c r="EE21" s="5" t="str">
        <f t="shared" si="61"/>
        <v xml:space="preserve">Valora la importancia de tener habitos saludables, para lograr el mantenimiento saludable del sistema inmune. </v>
      </c>
      <c r="EF21" s="5" t="str">
        <f t="shared" si="61"/>
        <v>Describe correctamente la secuencia de eventos biologicos de la fecundacion,incluyendo las recciones acrosomicas,la funcion de gametos y la formacion de gametos.</v>
      </c>
      <c r="EG21" s="5" t="str">
        <f t="shared" si="61"/>
        <v>Mide la capacidad del labolatrio para lograr la fecundacion exitosa de los ovulos con el espermatozoide.</v>
      </c>
      <c r="EH21" s="5" t="str">
        <f t="shared" si="61"/>
        <v>Valora la importancia del cuidado del cuerpo y de la salud reproductiva como la base para una fecundacion saludable.</v>
      </c>
      <c r="EI21" s="5" t="str">
        <f t="shared" si="61"/>
        <v>Explico las principales caracteristicas de algunas revoluciones de los siglos XVIII y XIX (Revolucion francesa, Industrial...)</v>
      </c>
      <c r="EJ21" s="5" t="str">
        <f t="shared" si="61"/>
        <v>Analiza las causas y consecuencias de procesos historicos como la Revolucion Industrial y Francesa.</v>
      </c>
      <c r="EK21" s="5" t="str">
        <f t="shared" si="61"/>
        <v>Muestra interes y curiosidad por comprender los procesos historicos y su impacto en la sociedad.</v>
      </c>
      <c r="EL21" s="5" t="str">
        <f t="shared" si="61"/>
        <v xml:space="preserve">Identifica los procesos historicos de algunas revoluciones de los siglos XVIII y XIX </v>
      </c>
      <c r="EM21" s="5">
        <f t="shared" si="61"/>
        <v>0</v>
      </c>
      <c r="EN21" s="5">
        <f t="shared" si="61"/>
        <v>0</v>
      </c>
      <c r="EO21" s="5" t="str">
        <f t="shared" si="61"/>
        <v xml:space="preserve">Comprende la distribucion espacial de la poblacion antes y despues de las revoluciones </v>
      </c>
      <c r="EP21" s="5" t="str">
        <f t="shared" si="61"/>
        <v xml:space="preserve">Ubica en mapas las regiones donde se desarrollaron las principales revoluciones y explica sus caracteristicas geograficas </v>
      </c>
      <c r="EQ21" s="5" t="str">
        <f t="shared" si="61"/>
        <v>Muestra interes por comprender la relacion entre sociedad, economia y territorio</v>
      </c>
      <c r="ER21" s="5" t="str">
        <f t="shared" si="61"/>
        <v>Comprende el concepto de cultura de paz y su importancia en la sociedad</v>
      </c>
      <c r="ES21" s="5" t="str">
        <f t="shared" si="61"/>
        <v>Practica normas de convivencia en diferentes espacios( aula, hogar, comunidad)</v>
      </c>
      <c r="ET21" s="5" t="str">
        <f t="shared" si="61"/>
        <v>Muestra actitud de respeto hacia la diversidad cuktural, social y de pensamiento</v>
      </c>
      <c r="EU21" s="5">
        <f t="shared" si="61"/>
        <v>0</v>
      </c>
      <c r="EV21" s="5">
        <f t="shared" si="61"/>
        <v>0</v>
      </c>
      <c r="EW21" s="5">
        <f t="shared" si="61"/>
        <v>0</v>
      </c>
      <c r="EX21" s="5">
        <f t="shared" si="61"/>
        <v>0</v>
      </c>
      <c r="EY21" s="5">
        <f t="shared" si="61"/>
        <v>0</v>
      </c>
      <c r="EZ21" s="5">
        <f t="shared" si="61"/>
        <v>0</v>
      </c>
      <c r="FA21" s="5">
        <f t="shared" si="61"/>
        <v>0</v>
      </c>
      <c r="FB21" s="5">
        <f t="shared" si="61"/>
        <v>0</v>
      </c>
      <c r="FC21" s="5">
        <f t="shared" si="61"/>
        <v>0</v>
      </c>
      <c r="FD21" s="5" t="str">
        <f t="shared" si="61"/>
        <v xml:space="preserve"> Identifica las expresiones motrices relacionadas con el juego del voleibol,  como una oportunidad para mejorar la salud, la estética y las relaciones con los demás.</v>
      </c>
      <c r="FE21" s="5" t="str">
        <f t="shared" si="61"/>
        <v>Pone en práctica los fundamentos básicos del voleibol.</v>
      </c>
      <c r="FF21" s="5" t="str">
        <f t="shared" si="61"/>
        <v>Muestra  responsabilidad y buena actitud al realizar el juego de voleibol.</v>
      </c>
      <c r="FG21" s="5" t="str">
        <f t="shared" si="61"/>
        <v>Comprende el concepto de variable como espacio de almacenamiento de datos y reconoce el uso de estructuras condicionales (si, si-no) para la toma de decisiones en un programa.</v>
      </c>
      <c r="FH21" s="5" t="str">
        <f t="shared" si="61"/>
        <v>Diseña y desarrolla programas que utilizan variables y estructuras condicionales para resolver problemas, evaluando condiciones y generando respuestas según diferentes situaciones.</v>
      </c>
      <c r="FI21" s="5" t="str">
        <f t="shared" si="61"/>
        <v>Muestra pensamiento lógico, perseverancia y actitud crítica al analizar errores y proponer soluciones en la construcción de programas con variables y condicionales.</v>
      </c>
      <c r="FJ21" s="5" t="str">
        <f t="shared" si="61"/>
        <v>Identifica y reconoce sus pricipales deberes y derechos dentro y fuera  de la Institución educativa.</v>
      </c>
    </row>
    <row r="22" spans="1:166" ht="15.75" customHeight="1">
      <c r="A22" s="5">
        <v>21</v>
      </c>
      <c r="B22" s="5" t="s">
        <v>196</v>
      </c>
      <c r="C22" s="6">
        <v>1261642</v>
      </c>
      <c r="D22" s="5" t="s">
        <v>176</v>
      </c>
      <c r="E22" s="5" t="s">
        <v>177</v>
      </c>
      <c r="F22" s="5" t="s">
        <v>70</v>
      </c>
      <c r="G22" s="5" t="s">
        <v>71</v>
      </c>
      <c r="H22" s="5">
        <v>2026</v>
      </c>
      <c r="I22" s="5">
        <v>4</v>
      </c>
      <c r="J22" s="7">
        <v>3</v>
      </c>
      <c r="K22" s="7">
        <v>3.1</v>
      </c>
      <c r="L22" s="7">
        <v>3.2</v>
      </c>
      <c r="M22" s="5">
        <f t="shared" si="41"/>
        <v>3.1</v>
      </c>
      <c r="N22" s="5" t="str">
        <f t="shared" si="1"/>
        <v>BASICO</v>
      </c>
      <c r="O22" s="5">
        <v>1</v>
      </c>
      <c r="P22" s="7">
        <v>3</v>
      </c>
      <c r="Q22" s="7">
        <v>3</v>
      </c>
      <c r="R22" s="7">
        <v>3</v>
      </c>
      <c r="S22" s="5">
        <f t="shared" si="48"/>
        <v>3</v>
      </c>
      <c r="T22" s="5" t="str">
        <f t="shared" si="3"/>
        <v>BASICO</v>
      </c>
      <c r="U22" s="5">
        <v>4</v>
      </c>
      <c r="V22" s="7">
        <v>5</v>
      </c>
      <c r="W22" s="7">
        <v>4</v>
      </c>
      <c r="X22" s="7">
        <v>4</v>
      </c>
      <c r="Y22" s="5">
        <f t="shared" si="4"/>
        <v>4.3</v>
      </c>
      <c r="Z22" s="5" t="str">
        <f t="shared" si="5"/>
        <v>ALTO</v>
      </c>
      <c r="AA22" s="5">
        <v>1</v>
      </c>
      <c r="AB22" s="7">
        <v>4.5</v>
      </c>
      <c r="AC22" s="7">
        <v>4.5</v>
      </c>
      <c r="AD22" s="7">
        <v>4.5</v>
      </c>
      <c r="AE22" s="5">
        <f t="shared" si="6"/>
        <v>4.5</v>
      </c>
      <c r="AF22" s="5" t="str">
        <f t="shared" si="7"/>
        <v>SUPERIOR</v>
      </c>
      <c r="AG22" s="5">
        <v>2</v>
      </c>
      <c r="AH22" s="8">
        <v>4</v>
      </c>
      <c r="AI22" s="8">
        <v>4</v>
      </c>
      <c r="AJ22" s="8">
        <v>4</v>
      </c>
      <c r="AK22" s="5">
        <f t="shared" si="8"/>
        <v>4</v>
      </c>
      <c r="AL22" s="5" t="str">
        <f t="shared" si="9"/>
        <v>ALTO</v>
      </c>
      <c r="AM22" s="5">
        <v>1</v>
      </c>
      <c r="AN22" s="8">
        <v>4</v>
      </c>
      <c r="AO22" s="8">
        <v>4</v>
      </c>
      <c r="AP22" s="8">
        <v>4</v>
      </c>
      <c r="AQ22" s="5">
        <f t="shared" si="10"/>
        <v>4</v>
      </c>
      <c r="AR22" s="5" t="str">
        <f t="shared" si="11"/>
        <v>ALTO</v>
      </c>
      <c r="AS22" s="5">
        <v>4</v>
      </c>
      <c r="AT22" s="7">
        <v>3.5</v>
      </c>
      <c r="AU22" s="7">
        <v>3.5</v>
      </c>
      <c r="AV22" s="7">
        <v>3.5</v>
      </c>
      <c r="AW22" s="5">
        <f t="shared" si="12"/>
        <v>3.5</v>
      </c>
      <c r="AX22" s="5" t="str">
        <f t="shared" si="56"/>
        <v>BASICO</v>
      </c>
      <c r="AY22" s="5">
        <v>1</v>
      </c>
      <c r="AZ22" s="7">
        <v>4.2</v>
      </c>
      <c r="BA22" s="7">
        <v>4.2</v>
      </c>
      <c r="BB22" s="7">
        <v>4.2</v>
      </c>
      <c r="BC22" s="5">
        <f t="shared" si="14"/>
        <v>4.2</v>
      </c>
      <c r="BD22" s="5" t="str">
        <f t="shared" si="15"/>
        <v>ALTO</v>
      </c>
      <c r="BE22" s="7">
        <v>2</v>
      </c>
      <c r="BF22" s="7">
        <v>3.4</v>
      </c>
      <c r="BG22" s="7">
        <v>3.5</v>
      </c>
      <c r="BH22" s="7">
        <v>3.8</v>
      </c>
      <c r="BI22" s="5">
        <f t="shared" si="53"/>
        <v>3.5599999999999996</v>
      </c>
      <c r="BJ22" s="5" t="str">
        <f t="shared" si="17"/>
        <v>BASICO</v>
      </c>
      <c r="BK22" s="5">
        <v>1</v>
      </c>
      <c r="BL22" s="7">
        <v>3.3</v>
      </c>
      <c r="BM22" s="7">
        <v>3.7</v>
      </c>
      <c r="BN22" s="7">
        <v>3.8</v>
      </c>
      <c r="BO22" s="5">
        <f t="shared" si="58"/>
        <v>3.6100000000000003</v>
      </c>
      <c r="BP22" s="5" t="str">
        <f t="shared" si="19"/>
        <v>BASICO</v>
      </c>
      <c r="BQ22" s="5">
        <v>1</v>
      </c>
      <c r="BR22" s="7">
        <v>3.3</v>
      </c>
      <c r="BS22" s="7">
        <v>3.2</v>
      </c>
      <c r="BT22" s="7">
        <v>3.4</v>
      </c>
      <c r="BU22" s="5">
        <f t="shared" si="20"/>
        <v>3.29</v>
      </c>
      <c r="BV22" s="5" t="str">
        <f t="shared" si="21"/>
        <v>BASICO</v>
      </c>
      <c r="BW22" s="5">
        <v>1</v>
      </c>
      <c r="BX22" s="7">
        <v>3.3</v>
      </c>
      <c r="BY22" s="7">
        <v>3.6</v>
      </c>
      <c r="BZ22" s="7">
        <v>3.7</v>
      </c>
      <c r="CA22" s="5">
        <f t="shared" si="22"/>
        <v>3.54</v>
      </c>
      <c r="CB22" s="5" t="str">
        <f t="shared" si="23"/>
        <v>BASICO</v>
      </c>
      <c r="CC22" s="5">
        <v>1</v>
      </c>
      <c r="CD22" s="7">
        <v>4</v>
      </c>
      <c r="CE22" s="7">
        <v>4</v>
      </c>
      <c r="CF22" s="7">
        <v>4</v>
      </c>
      <c r="CG22" s="5">
        <f t="shared" si="24"/>
        <v>4</v>
      </c>
      <c r="CH22" s="5" t="str">
        <f t="shared" si="25"/>
        <v>ALTO</v>
      </c>
      <c r="CI22" s="5">
        <v>1</v>
      </c>
      <c r="CJ22" s="7">
        <v>4</v>
      </c>
      <c r="CK22" s="7">
        <v>4</v>
      </c>
      <c r="CL22" s="7">
        <v>4</v>
      </c>
      <c r="CM22" s="5">
        <f t="shared" si="26"/>
        <v>4</v>
      </c>
      <c r="CN22" s="5" t="str">
        <f t="shared" si="27"/>
        <v>ALTO</v>
      </c>
      <c r="CO22" s="5">
        <v>1</v>
      </c>
      <c r="CP22" s="7">
        <v>4.5</v>
      </c>
      <c r="CQ22" s="7">
        <v>4.5</v>
      </c>
      <c r="CR22" s="7">
        <v>5</v>
      </c>
      <c r="CS22" s="5">
        <f t="shared" si="28"/>
        <v>4.6500000000000004</v>
      </c>
      <c r="CT22" s="5" t="str">
        <f t="shared" si="29"/>
        <v>SUPERIOR</v>
      </c>
      <c r="CU22" s="5">
        <v>2</v>
      </c>
      <c r="CV22" s="7">
        <v>4.8</v>
      </c>
      <c r="CW22" s="7">
        <v>4.8</v>
      </c>
      <c r="CX22" s="7">
        <v>4.8</v>
      </c>
      <c r="CY22" s="5">
        <f t="shared" si="30"/>
        <v>4.8</v>
      </c>
      <c r="CZ22" s="5" t="str">
        <f t="shared" si="31"/>
        <v>SUPERIOR</v>
      </c>
      <c r="DA22" s="5">
        <v>2</v>
      </c>
      <c r="DB22" s="7">
        <v>3</v>
      </c>
      <c r="DC22" s="7">
        <v>3</v>
      </c>
      <c r="DD22" s="7">
        <v>3.5</v>
      </c>
      <c r="DE22" s="5">
        <f t="shared" si="32"/>
        <v>3.1500000000000004</v>
      </c>
      <c r="DF22" s="5" t="str">
        <f t="shared" si="33"/>
        <v>BASICO</v>
      </c>
      <c r="DG22" s="5">
        <v>0</v>
      </c>
      <c r="DH22" s="7">
        <v>4</v>
      </c>
      <c r="DI22" s="5" t="str">
        <f t="shared" si="34"/>
        <v>ALTO</v>
      </c>
      <c r="DJ22" s="5">
        <f t="shared" si="35"/>
        <v>3.8770588235294117</v>
      </c>
      <c r="DK22" s="5" t="str">
        <f t="shared" si="36"/>
        <v>Comprende el concepto de números reales, su relación de orden y las propiedades de sus operaciones, así como las relaciones de semejanza y congruencia de distintas figuras geométricas.</v>
      </c>
      <c r="DL22" s="5" t="str">
        <f t="shared" ref="DL22:FJ22" si="62">DL21</f>
        <v>Aplica correctamente las propiedades de las operaciones de números reales y expresiones algebraicas en la resolución de problemas.</v>
      </c>
      <c r="DM22" s="5" t="str">
        <f t="shared" si="62"/>
        <v>Valora el uso del pensamiento lógico a la hora de plantear y resolver problemas de las matemáticas y de la vida cotidiana.</v>
      </c>
      <c r="DN22" s="5" t="str">
        <f t="shared" si="6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2" s="5" t="str">
        <f t="shared" si="62"/>
        <v>Organiza y analiza datos mediante la construcción de tablas de frecuencias y diagramas estadísticos, identificando variables aleatorias y utilizando estas representaciones para resolver situaciones problema.</v>
      </c>
      <c r="DP22" s="5" t="str">
        <f t="shared" si="62"/>
        <v>Muestra disposición y responsabilidad en el manejo y análisis de datos, participando activamente en actividades individuales y colaborativas, y comunicando información estadística con claridad y sentido crítico.</v>
      </c>
      <c r="DQ22" s="5" t="str">
        <f t="shared" si="62"/>
        <v>Analiza las características de la literatura prehispánica y la literatura del descubrimiento y la conquista en Colombia identificando sus elementos fundamentales y su impacto en la cultura y el lenguaje actual.</v>
      </c>
      <c r="DR22" s="5" t="str">
        <f t="shared" si="62"/>
        <v>Realiza comprensión lectora cuando analiza un texto desde el discurso de la Enunciación e identifica la función de cada uno de sus componentes.
Responde preguntas en los tres niveles de lectura a una leyenda del Caribe.</v>
      </c>
      <c r="DS22" s="5" t="str">
        <f t="shared" si="62"/>
        <v>Muestra disposición para participar activamente en las clases, promoviendo el respeto por las ideas ajenas y reconociendo la importancia de la precisión como una herramienta clave para una comunicación</v>
      </c>
      <c r="DT22" s="5" t="str">
        <f t="shared" si="62"/>
        <v>Comprende el contenido del cuento A la deriva, identificando su tema central, la secuencia de los hechos, los personajes y las ideas explícitas e implícitas del texto.</v>
      </c>
      <c r="DU22" s="5" t="str">
        <f t="shared" si="62"/>
        <v>Analiza críticamente el cuento A la deriva mediante la identificación de información literal, inferencial y crítica, sustentando sus respuestas de forma oral y escrita.</v>
      </c>
      <c r="DV22" s="5" t="str">
        <f t="shared" si="62"/>
        <v>Valora la lectura literaria como una oportunidad para reflexionar sobre la vida, la naturaleza y la condición humana, participando con interés, respeto y sentido crítico en las actividades propuestas.</v>
      </c>
      <c r="DW22" s="5" t="str">
        <f t="shared" si="62"/>
        <v>Comprende y reconoce vocabulario y estructuras basicas del ingles para interpretar textos cortos y conversaciones sobre temas cotidianos de la vida diaria.</v>
      </c>
      <c r="DX22" s="5" t="str">
        <f t="shared" si="62"/>
        <v>Produce de forma oral y escrita frases y parrafos cortos en Ingles, utilizando correctamente las estructuras conocidas para describir rutinas, narrar experiencias y participar en conversaciones.</v>
      </c>
      <c r="DY22" s="5" t="str">
        <f t="shared" si="62"/>
        <v>Muestra disposicion positiva hacia el aprendizaje del Ingles participando activamente en clase.</v>
      </c>
      <c r="DZ22" s="5" t="str">
        <f t="shared" si="62"/>
        <v>Identifica vocabulario en Ingles  de situaciones cotidianas.</v>
      </c>
      <c r="EA22" s="5" t="str">
        <f t="shared" si="62"/>
        <v>Participa en actividades utilizando vocabulario aprendido para expresar gustos,emociones y necesidades.</v>
      </c>
      <c r="EB22" s="5" t="str">
        <f t="shared" si="62"/>
        <v>Respeta la opinion de los demas, muestra disposicion para participar en actividades orales.</v>
      </c>
      <c r="EC22" s="5" t="str">
        <f t="shared" si="62"/>
        <v>Identifica la conformación y funcionamiento del sistema inmunolófico y diferencia las característics de los estados de la materia.</v>
      </c>
      <c r="ED22" s="5" t="str">
        <f t="shared" si="62"/>
        <v>Reconoce experimentalmente las características de materiales en los diferentes estados de la materia.</v>
      </c>
      <c r="EE22" s="5" t="str">
        <f t="shared" si="62"/>
        <v xml:space="preserve">Valora la importancia de tener habitos saludables, para lograr el mantenimiento saludable del sistema inmune. </v>
      </c>
      <c r="EF22" s="5" t="str">
        <f t="shared" si="62"/>
        <v>Describe correctamente la secuencia de eventos biologicos de la fecundacion,incluyendo las recciones acrosomicas,la funcion de gametos y la formacion de gametos.</v>
      </c>
      <c r="EG22" s="5" t="str">
        <f t="shared" si="62"/>
        <v>Mide la capacidad del labolatrio para lograr la fecundacion exitosa de los ovulos con el espermatozoide.</v>
      </c>
      <c r="EH22" s="5" t="str">
        <f t="shared" si="62"/>
        <v>Valora la importancia del cuidado del cuerpo y de la salud reproductiva como la base para una fecundacion saludable.</v>
      </c>
      <c r="EI22" s="5" t="str">
        <f t="shared" si="62"/>
        <v>Explico las principales caracteristicas de algunas revoluciones de los siglos XVIII y XIX (Revolucion francesa, Industrial...)</v>
      </c>
      <c r="EJ22" s="5" t="str">
        <f t="shared" si="62"/>
        <v>Analiza las causas y consecuencias de procesos historicos como la Revolucion Industrial y Francesa.</v>
      </c>
      <c r="EK22" s="5" t="str">
        <f t="shared" si="62"/>
        <v>Muestra interes y curiosidad por comprender los procesos historicos y su impacto en la sociedad.</v>
      </c>
      <c r="EL22" s="5" t="str">
        <f t="shared" si="62"/>
        <v xml:space="preserve">Identifica los procesos historicos de algunas revoluciones de los siglos XVIII y XIX </v>
      </c>
      <c r="EM22" s="5">
        <f t="shared" si="62"/>
        <v>0</v>
      </c>
      <c r="EN22" s="5">
        <f t="shared" si="62"/>
        <v>0</v>
      </c>
      <c r="EO22" s="5" t="str">
        <f t="shared" si="62"/>
        <v xml:space="preserve">Comprende la distribucion espacial de la poblacion antes y despues de las revoluciones </v>
      </c>
      <c r="EP22" s="5" t="str">
        <f t="shared" si="62"/>
        <v xml:space="preserve">Ubica en mapas las regiones donde se desarrollaron las principales revoluciones y explica sus caracteristicas geograficas </v>
      </c>
      <c r="EQ22" s="5" t="str">
        <f t="shared" si="62"/>
        <v>Muestra interes por comprender la relacion entre sociedad, economia y territorio</v>
      </c>
      <c r="ER22" s="5" t="str">
        <f t="shared" si="62"/>
        <v>Comprende el concepto de cultura de paz y su importancia en la sociedad</v>
      </c>
      <c r="ES22" s="5" t="str">
        <f t="shared" si="62"/>
        <v>Practica normas de convivencia en diferentes espacios( aula, hogar, comunidad)</v>
      </c>
      <c r="ET22" s="5" t="str">
        <f t="shared" si="62"/>
        <v>Muestra actitud de respeto hacia la diversidad cuktural, social y de pensamiento</v>
      </c>
      <c r="EU22" s="5">
        <f t="shared" si="62"/>
        <v>0</v>
      </c>
      <c r="EV22" s="5">
        <f t="shared" si="62"/>
        <v>0</v>
      </c>
      <c r="EW22" s="5">
        <f t="shared" si="62"/>
        <v>0</v>
      </c>
      <c r="EX22" s="5">
        <f t="shared" si="62"/>
        <v>0</v>
      </c>
      <c r="EY22" s="5">
        <f t="shared" si="62"/>
        <v>0</v>
      </c>
      <c r="EZ22" s="5">
        <f t="shared" si="62"/>
        <v>0</v>
      </c>
      <c r="FA22" s="5">
        <f t="shared" si="62"/>
        <v>0</v>
      </c>
      <c r="FB22" s="5">
        <f t="shared" si="62"/>
        <v>0</v>
      </c>
      <c r="FC22" s="5">
        <f t="shared" si="62"/>
        <v>0</v>
      </c>
      <c r="FD22" s="5" t="str">
        <f t="shared" si="62"/>
        <v xml:space="preserve"> Identifica las expresiones motrices relacionadas con el juego del voleibol,  como una oportunidad para mejorar la salud, la estética y las relaciones con los demás.</v>
      </c>
      <c r="FE22" s="5" t="str">
        <f t="shared" si="62"/>
        <v>Pone en práctica los fundamentos básicos del voleibol.</v>
      </c>
      <c r="FF22" s="5" t="str">
        <f t="shared" si="62"/>
        <v>Muestra  responsabilidad y buena actitud al realizar el juego de voleibol.</v>
      </c>
      <c r="FG22" s="5" t="str">
        <f t="shared" si="62"/>
        <v>Comprende el concepto de variable como espacio de almacenamiento de datos y reconoce el uso de estructuras condicionales (si, si-no) para la toma de decisiones en un programa.</v>
      </c>
      <c r="FH22" s="5" t="str">
        <f t="shared" si="62"/>
        <v>Diseña y desarrolla programas que utilizan variables y estructuras condicionales para resolver problemas, evaluando condiciones y generando respuestas según diferentes situaciones.</v>
      </c>
      <c r="FI22" s="5" t="str">
        <f t="shared" si="62"/>
        <v>Muestra pensamiento lógico, perseverancia y actitud crítica al analizar errores y proponer soluciones en la construcción de programas con variables y condicionales.</v>
      </c>
      <c r="FJ22" s="5" t="str">
        <f t="shared" si="62"/>
        <v>Identifica y reconoce sus pricipales deberes y derechos dentro y fuera  de la Institución educativa.</v>
      </c>
    </row>
    <row r="23" spans="1:166" ht="15.75" customHeight="1">
      <c r="A23" s="5">
        <v>22</v>
      </c>
      <c r="B23" s="5" t="s">
        <v>197</v>
      </c>
      <c r="C23" s="6">
        <v>1046709558</v>
      </c>
      <c r="D23" s="5" t="s">
        <v>176</v>
      </c>
      <c r="E23" s="5" t="s">
        <v>177</v>
      </c>
      <c r="F23" s="5" t="s">
        <v>70</v>
      </c>
      <c r="G23" s="5" t="s">
        <v>71</v>
      </c>
      <c r="H23" s="5">
        <v>2026</v>
      </c>
      <c r="I23" s="7">
        <v>4</v>
      </c>
      <c r="J23" s="7">
        <v>3</v>
      </c>
      <c r="K23" s="7">
        <v>3</v>
      </c>
      <c r="L23" s="7">
        <v>3</v>
      </c>
      <c r="M23" s="5">
        <f t="shared" si="41"/>
        <v>3</v>
      </c>
      <c r="N23" s="5" t="str">
        <f t="shared" si="1"/>
        <v>BASICO</v>
      </c>
      <c r="O23" s="5">
        <v>1</v>
      </c>
      <c r="P23" s="7">
        <v>4</v>
      </c>
      <c r="Q23" s="7">
        <v>4</v>
      </c>
      <c r="R23" s="7">
        <v>4</v>
      </c>
      <c r="S23" s="5">
        <f t="shared" si="48"/>
        <v>4</v>
      </c>
      <c r="T23" s="5" t="str">
        <f t="shared" si="3"/>
        <v>ALTO</v>
      </c>
      <c r="U23" s="5">
        <v>4</v>
      </c>
      <c r="V23" s="7">
        <v>3</v>
      </c>
      <c r="W23" s="7">
        <v>4</v>
      </c>
      <c r="X23" s="7">
        <v>4</v>
      </c>
      <c r="Y23" s="5">
        <f t="shared" si="4"/>
        <v>3.7</v>
      </c>
      <c r="Z23" s="5" t="str">
        <f t="shared" si="5"/>
        <v>BASICO</v>
      </c>
      <c r="AA23" s="5">
        <v>1</v>
      </c>
      <c r="AB23" s="7">
        <v>4.5999999999999996</v>
      </c>
      <c r="AC23" s="7">
        <v>4.5999999999999996</v>
      </c>
      <c r="AD23" s="7">
        <v>4.5999999999999996</v>
      </c>
      <c r="AE23" s="5">
        <f t="shared" si="6"/>
        <v>4.5999999999999996</v>
      </c>
      <c r="AF23" s="5" t="str">
        <f t="shared" si="7"/>
        <v>SUPERIOR</v>
      </c>
      <c r="AG23" s="5">
        <v>2</v>
      </c>
      <c r="AH23" s="8">
        <v>4.5</v>
      </c>
      <c r="AI23" s="8">
        <v>4.5</v>
      </c>
      <c r="AJ23" s="8">
        <v>4.5</v>
      </c>
      <c r="AK23" s="5">
        <f t="shared" si="8"/>
        <v>4.5</v>
      </c>
      <c r="AL23" s="5" t="str">
        <f t="shared" si="9"/>
        <v>SUPERIOR</v>
      </c>
      <c r="AM23" s="5">
        <v>1</v>
      </c>
      <c r="AN23" s="8">
        <v>4.5</v>
      </c>
      <c r="AO23" s="8">
        <v>4.5</v>
      </c>
      <c r="AP23" s="8">
        <v>4.5</v>
      </c>
      <c r="AQ23" s="5">
        <f t="shared" si="10"/>
        <v>4.5</v>
      </c>
      <c r="AR23" s="5" t="str">
        <f t="shared" si="11"/>
        <v>SUPERIOR</v>
      </c>
      <c r="AS23" s="5">
        <v>4</v>
      </c>
      <c r="AT23" s="7">
        <v>3.2</v>
      </c>
      <c r="AU23" s="7">
        <v>3.2</v>
      </c>
      <c r="AV23" s="7">
        <v>3.2</v>
      </c>
      <c r="AW23" s="5">
        <f t="shared" si="12"/>
        <v>3.2</v>
      </c>
      <c r="AX23" s="5" t="str">
        <f t="shared" si="56"/>
        <v>BASICO</v>
      </c>
      <c r="AY23" s="5">
        <v>1</v>
      </c>
      <c r="AZ23" s="7">
        <v>4.5</v>
      </c>
      <c r="BA23" s="7">
        <v>4.5</v>
      </c>
      <c r="BB23" s="7">
        <v>4.5</v>
      </c>
      <c r="BC23" s="5">
        <f t="shared" si="14"/>
        <v>4.5</v>
      </c>
      <c r="BD23" s="5" t="str">
        <f t="shared" si="15"/>
        <v>SUPERIOR</v>
      </c>
      <c r="BE23" s="7">
        <v>2</v>
      </c>
      <c r="BF23" s="7">
        <v>4</v>
      </c>
      <c r="BG23" s="7">
        <v>4.3</v>
      </c>
      <c r="BH23" s="7">
        <v>4.3</v>
      </c>
      <c r="BI23" s="7">
        <v>4</v>
      </c>
      <c r="BJ23" s="5" t="str">
        <f t="shared" si="17"/>
        <v>ALTO</v>
      </c>
      <c r="BK23" s="5">
        <v>1</v>
      </c>
      <c r="BL23" s="7">
        <v>3.8</v>
      </c>
      <c r="BM23" s="7">
        <v>4.4000000000000004</v>
      </c>
      <c r="BN23" s="7">
        <v>4.5999999999999996</v>
      </c>
      <c r="BO23" s="5">
        <f t="shared" si="58"/>
        <v>4.28</v>
      </c>
      <c r="BP23" s="5" t="str">
        <f t="shared" si="19"/>
        <v>ALTO</v>
      </c>
      <c r="BQ23" s="5">
        <v>1</v>
      </c>
      <c r="BR23" s="7">
        <v>4.3</v>
      </c>
      <c r="BS23" s="7">
        <v>4.3</v>
      </c>
      <c r="BT23" s="7">
        <v>4.2</v>
      </c>
      <c r="BU23" s="5">
        <f t="shared" si="20"/>
        <v>4.2699999999999996</v>
      </c>
      <c r="BV23" s="5" t="str">
        <f t="shared" si="21"/>
        <v>ALTO</v>
      </c>
      <c r="BW23" s="5">
        <v>1</v>
      </c>
      <c r="BX23" s="7">
        <v>4</v>
      </c>
      <c r="BY23" s="7">
        <v>4</v>
      </c>
      <c r="BZ23" s="7">
        <v>4.5</v>
      </c>
      <c r="CA23" s="5">
        <f t="shared" si="22"/>
        <v>4.1499999999999995</v>
      </c>
      <c r="CB23" s="5" t="str">
        <f t="shared" si="23"/>
        <v>ALTO</v>
      </c>
      <c r="CC23" s="5">
        <v>1</v>
      </c>
      <c r="CD23" s="7">
        <v>3.6</v>
      </c>
      <c r="CE23" s="7">
        <v>3.7</v>
      </c>
      <c r="CF23" s="7">
        <v>3.7</v>
      </c>
      <c r="CG23" s="5">
        <f t="shared" si="24"/>
        <v>3.6700000000000008</v>
      </c>
      <c r="CH23" s="5" t="str">
        <f t="shared" si="25"/>
        <v>BASICO</v>
      </c>
      <c r="CI23" s="5">
        <v>1</v>
      </c>
      <c r="CJ23" s="7">
        <v>4.3</v>
      </c>
      <c r="CK23" s="7">
        <v>4.4000000000000004</v>
      </c>
      <c r="CL23" s="7">
        <v>4</v>
      </c>
      <c r="CM23" s="5">
        <f t="shared" si="26"/>
        <v>4.25</v>
      </c>
      <c r="CN23" s="5" t="str">
        <f t="shared" si="27"/>
        <v>ALTO</v>
      </c>
      <c r="CO23" s="5">
        <v>1</v>
      </c>
      <c r="CP23" s="7">
        <v>5</v>
      </c>
      <c r="CQ23" s="7">
        <v>5</v>
      </c>
      <c r="CR23" s="7">
        <v>5</v>
      </c>
      <c r="CS23" s="5">
        <f t="shared" si="28"/>
        <v>5</v>
      </c>
      <c r="CT23" s="5" t="str">
        <f t="shared" si="29"/>
        <v>SUPERIOR</v>
      </c>
      <c r="CU23" s="5">
        <v>2</v>
      </c>
      <c r="CV23" s="7">
        <v>4.8</v>
      </c>
      <c r="CW23" s="7">
        <v>4.8</v>
      </c>
      <c r="CX23" s="7">
        <v>4.8</v>
      </c>
      <c r="CY23" s="5">
        <f t="shared" si="30"/>
        <v>4.8</v>
      </c>
      <c r="CZ23" s="5" t="str">
        <f t="shared" si="31"/>
        <v>SUPERIOR</v>
      </c>
      <c r="DA23" s="5">
        <v>2</v>
      </c>
      <c r="DB23" s="7">
        <v>4.2</v>
      </c>
      <c r="DC23" s="7">
        <v>4.2</v>
      </c>
      <c r="DD23" s="7">
        <v>4</v>
      </c>
      <c r="DE23" s="5">
        <f t="shared" si="32"/>
        <v>4.1400000000000006</v>
      </c>
      <c r="DF23" s="5" t="str">
        <f t="shared" si="33"/>
        <v>ALTO</v>
      </c>
      <c r="DG23" s="5">
        <v>0</v>
      </c>
      <c r="DH23" s="7">
        <v>4.5</v>
      </c>
      <c r="DI23" s="5" t="str">
        <f t="shared" si="34"/>
        <v>SUPERIOR</v>
      </c>
      <c r="DJ23" s="5">
        <f t="shared" si="35"/>
        <v>4.1641176470588235</v>
      </c>
      <c r="DK23" s="5" t="str">
        <f t="shared" si="36"/>
        <v>Comprende el concepto de números reales, su relación de orden y las propiedades de sus operaciones, así como las relaciones de semejanza y congruencia de distintas figuras geométricas.</v>
      </c>
      <c r="DL23" s="5" t="str">
        <f t="shared" ref="DL23:FJ23" si="63">DL22</f>
        <v>Aplica correctamente las propiedades de las operaciones de números reales y expresiones algebraicas en la resolución de problemas.</v>
      </c>
      <c r="DM23" s="5" t="str">
        <f t="shared" si="63"/>
        <v>Valora el uso del pensamiento lógico a la hora de plantear y resolver problemas de las matemáticas y de la vida cotidiana.</v>
      </c>
      <c r="DN23" s="5" t="str">
        <f t="shared" si="6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3" s="5" t="str">
        <f t="shared" si="63"/>
        <v>Organiza y analiza datos mediante la construcción de tablas de frecuencias y diagramas estadísticos, identificando variables aleatorias y utilizando estas representaciones para resolver situaciones problema.</v>
      </c>
      <c r="DP23" s="5" t="str">
        <f t="shared" si="63"/>
        <v>Muestra disposición y responsabilidad en el manejo y análisis de datos, participando activamente en actividades individuales y colaborativas, y comunicando información estadística con claridad y sentido crítico.</v>
      </c>
      <c r="DQ23" s="5" t="str">
        <f t="shared" si="63"/>
        <v>Analiza las características de la literatura prehispánica y la literatura del descubrimiento y la conquista en Colombia identificando sus elementos fundamentales y su impacto en la cultura y el lenguaje actual.</v>
      </c>
      <c r="DR23" s="5" t="str">
        <f t="shared" si="63"/>
        <v>Realiza comprensión lectora cuando analiza un texto desde el discurso de la Enunciación e identifica la función de cada uno de sus componentes.
Responde preguntas en los tres niveles de lectura a una leyenda del Caribe.</v>
      </c>
      <c r="DS23" s="5" t="str">
        <f t="shared" si="63"/>
        <v>Muestra disposición para participar activamente en las clases, promoviendo el respeto por las ideas ajenas y reconociendo la importancia de la precisión como una herramienta clave para una comunicación</v>
      </c>
      <c r="DT23" s="5" t="str">
        <f t="shared" si="63"/>
        <v>Comprende el contenido del cuento A la deriva, identificando su tema central, la secuencia de los hechos, los personajes y las ideas explícitas e implícitas del texto.</v>
      </c>
      <c r="DU23" s="5" t="str">
        <f t="shared" si="63"/>
        <v>Analiza críticamente el cuento A la deriva mediante la identificación de información literal, inferencial y crítica, sustentando sus respuestas de forma oral y escrita.</v>
      </c>
      <c r="DV23" s="5" t="str">
        <f t="shared" si="63"/>
        <v>Valora la lectura literaria como una oportunidad para reflexionar sobre la vida, la naturaleza y la condición humana, participando con interés, respeto y sentido crítico en las actividades propuestas.</v>
      </c>
      <c r="DW23" s="5" t="str">
        <f t="shared" si="63"/>
        <v>Comprende y reconoce vocabulario y estructuras basicas del ingles para interpretar textos cortos y conversaciones sobre temas cotidianos de la vida diaria.</v>
      </c>
      <c r="DX23" s="5" t="str">
        <f t="shared" si="63"/>
        <v>Produce de forma oral y escrita frases y parrafos cortos en Ingles, utilizando correctamente las estructuras conocidas para describir rutinas, narrar experiencias y participar en conversaciones.</v>
      </c>
      <c r="DY23" s="5" t="str">
        <f t="shared" si="63"/>
        <v>Muestra disposicion positiva hacia el aprendizaje del Ingles participando activamente en clase.</v>
      </c>
      <c r="DZ23" s="5" t="str">
        <f t="shared" si="63"/>
        <v>Identifica vocabulario en Ingles  de situaciones cotidianas.</v>
      </c>
      <c r="EA23" s="5" t="str">
        <f t="shared" si="63"/>
        <v>Participa en actividades utilizando vocabulario aprendido para expresar gustos,emociones y necesidades.</v>
      </c>
      <c r="EB23" s="5" t="str">
        <f t="shared" si="63"/>
        <v>Respeta la opinion de los demas, muestra disposicion para participar en actividades orales.</v>
      </c>
      <c r="EC23" s="5" t="str">
        <f t="shared" si="63"/>
        <v>Identifica la conformación y funcionamiento del sistema inmunolófico y diferencia las característics de los estados de la materia.</v>
      </c>
      <c r="ED23" s="5" t="str">
        <f t="shared" si="63"/>
        <v>Reconoce experimentalmente las características de materiales en los diferentes estados de la materia.</v>
      </c>
      <c r="EE23" s="5" t="str">
        <f t="shared" si="63"/>
        <v xml:space="preserve">Valora la importancia de tener habitos saludables, para lograr el mantenimiento saludable del sistema inmune. </v>
      </c>
      <c r="EF23" s="5" t="str">
        <f t="shared" si="63"/>
        <v>Describe correctamente la secuencia de eventos biologicos de la fecundacion,incluyendo las recciones acrosomicas,la funcion de gametos y la formacion de gametos.</v>
      </c>
      <c r="EG23" s="5" t="str">
        <f t="shared" si="63"/>
        <v>Mide la capacidad del labolatrio para lograr la fecundacion exitosa de los ovulos con el espermatozoide.</v>
      </c>
      <c r="EH23" s="5" t="str">
        <f t="shared" si="63"/>
        <v>Valora la importancia del cuidado del cuerpo y de la salud reproductiva como la base para una fecundacion saludable.</v>
      </c>
      <c r="EI23" s="5" t="str">
        <f t="shared" si="63"/>
        <v>Explico las principales caracteristicas de algunas revoluciones de los siglos XVIII y XIX (Revolucion francesa, Industrial...)</v>
      </c>
      <c r="EJ23" s="5" t="str">
        <f t="shared" si="63"/>
        <v>Analiza las causas y consecuencias de procesos historicos como la Revolucion Industrial y Francesa.</v>
      </c>
      <c r="EK23" s="5" t="str">
        <f t="shared" si="63"/>
        <v>Muestra interes y curiosidad por comprender los procesos historicos y su impacto en la sociedad.</v>
      </c>
      <c r="EL23" s="5" t="str">
        <f t="shared" si="63"/>
        <v xml:space="preserve">Identifica los procesos historicos de algunas revoluciones de los siglos XVIII y XIX </v>
      </c>
      <c r="EM23" s="5">
        <f t="shared" si="63"/>
        <v>0</v>
      </c>
      <c r="EN23" s="5">
        <f t="shared" si="63"/>
        <v>0</v>
      </c>
      <c r="EO23" s="5" t="str">
        <f t="shared" si="63"/>
        <v xml:space="preserve">Comprende la distribucion espacial de la poblacion antes y despues de las revoluciones </v>
      </c>
      <c r="EP23" s="5" t="str">
        <f t="shared" si="63"/>
        <v xml:space="preserve">Ubica en mapas las regiones donde se desarrollaron las principales revoluciones y explica sus caracteristicas geograficas </v>
      </c>
      <c r="EQ23" s="5" t="str">
        <f t="shared" si="63"/>
        <v>Muestra interes por comprender la relacion entre sociedad, economia y territorio</v>
      </c>
      <c r="ER23" s="5" t="str">
        <f t="shared" si="63"/>
        <v>Comprende el concepto de cultura de paz y su importancia en la sociedad</v>
      </c>
      <c r="ES23" s="5" t="str">
        <f t="shared" si="63"/>
        <v>Practica normas de convivencia en diferentes espacios( aula, hogar, comunidad)</v>
      </c>
      <c r="ET23" s="5" t="str">
        <f t="shared" si="63"/>
        <v>Muestra actitud de respeto hacia la diversidad cuktural, social y de pensamiento</v>
      </c>
      <c r="EU23" s="5">
        <f t="shared" si="63"/>
        <v>0</v>
      </c>
      <c r="EV23" s="5">
        <f t="shared" si="63"/>
        <v>0</v>
      </c>
      <c r="EW23" s="5">
        <f t="shared" si="63"/>
        <v>0</v>
      </c>
      <c r="EX23" s="5">
        <f t="shared" si="63"/>
        <v>0</v>
      </c>
      <c r="EY23" s="5">
        <f t="shared" si="63"/>
        <v>0</v>
      </c>
      <c r="EZ23" s="5">
        <f t="shared" si="63"/>
        <v>0</v>
      </c>
      <c r="FA23" s="5">
        <f t="shared" si="63"/>
        <v>0</v>
      </c>
      <c r="FB23" s="5">
        <f t="shared" si="63"/>
        <v>0</v>
      </c>
      <c r="FC23" s="5">
        <f t="shared" si="63"/>
        <v>0</v>
      </c>
      <c r="FD23" s="5" t="str">
        <f t="shared" si="63"/>
        <v xml:space="preserve"> Identifica las expresiones motrices relacionadas con el juego del voleibol,  como una oportunidad para mejorar la salud, la estética y las relaciones con los demás.</v>
      </c>
      <c r="FE23" s="5" t="str">
        <f t="shared" si="63"/>
        <v>Pone en práctica los fundamentos básicos del voleibol.</v>
      </c>
      <c r="FF23" s="5" t="str">
        <f t="shared" si="63"/>
        <v>Muestra  responsabilidad y buena actitud al realizar el juego de voleibol.</v>
      </c>
      <c r="FG23" s="5" t="str">
        <f t="shared" si="63"/>
        <v>Comprende el concepto de variable como espacio de almacenamiento de datos y reconoce el uso de estructuras condicionales (si, si-no) para la toma de decisiones en un programa.</v>
      </c>
      <c r="FH23" s="5" t="str">
        <f t="shared" si="63"/>
        <v>Diseña y desarrolla programas que utilizan variables y estructuras condicionales para resolver problemas, evaluando condiciones y generando respuestas según diferentes situaciones.</v>
      </c>
      <c r="FI23" s="5" t="str">
        <f t="shared" si="63"/>
        <v>Muestra pensamiento lógico, perseverancia y actitud crítica al analizar errores y proponer soluciones en la construcción de programas con variables y condicionales.</v>
      </c>
      <c r="FJ23" s="5" t="str">
        <f t="shared" si="63"/>
        <v>Identifica y reconoce sus pricipales deberes y derechos dentro y fuera  de la Institución educativa.</v>
      </c>
    </row>
    <row r="24" spans="1:166" ht="15.75" customHeight="1">
      <c r="A24" s="5">
        <v>23</v>
      </c>
      <c r="B24" s="5" t="s">
        <v>198</v>
      </c>
      <c r="C24" s="25">
        <v>1143147096</v>
      </c>
      <c r="D24" s="5" t="s">
        <v>176</v>
      </c>
      <c r="E24" s="5" t="s">
        <v>177</v>
      </c>
      <c r="F24" s="5" t="s">
        <v>70</v>
      </c>
      <c r="G24" s="5" t="s">
        <v>71</v>
      </c>
      <c r="H24" s="5">
        <v>2026</v>
      </c>
      <c r="I24" s="7">
        <v>4</v>
      </c>
      <c r="J24" s="7">
        <v>2.4</v>
      </c>
      <c r="K24" s="7">
        <v>2.5</v>
      </c>
      <c r="L24" s="7">
        <v>2.6</v>
      </c>
      <c r="M24" s="5">
        <f t="shared" si="41"/>
        <v>2.5</v>
      </c>
      <c r="N24" s="5" t="str">
        <f t="shared" si="1"/>
        <v>BAJO</v>
      </c>
      <c r="O24" s="5">
        <v>1</v>
      </c>
      <c r="P24" s="7">
        <v>2.5</v>
      </c>
      <c r="Q24" s="7">
        <v>2.5</v>
      </c>
      <c r="R24" s="7">
        <v>2.5</v>
      </c>
      <c r="S24" s="5">
        <f t="shared" si="48"/>
        <v>2.5</v>
      </c>
      <c r="T24" s="5" t="str">
        <f t="shared" si="3"/>
        <v>BAJO</v>
      </c>
      <c r="U24" s="5">
        <v>4</v>
      </c>
      <c r="V24" s="7">
        <v>3</v>
      </c>
      <c r="W24" s="7">
        <v>4</v>
      </c>
      <c r="X24" s="7">
        <v>4</v>
      </c>
      <c r="Y24" s="5">
        <f t="shared" si="4"/>
        <v>3.7</v>
      </c>
      <c r="Z24" s="5" t="str">
        <f t="shared" si="5"/>
        <v>BASICO</v>
      </c>
      <c r="AA24" s="5">
        <v>1</v>
      </c>
      <c r="AB24" s="7">
        <v>3.5</v>
      </c>
      <c r="AC24" s="7">
        <v>3.5</v>
      </c>
      <c r="AD24" s="7">
        <v>3.5</v>
      </c>
      <c r="AE24" s="5">
        <f t="shared" si="6"/>
        <v>3.5</v>
      </c>
      <c r="AF24" s="5" t="str">
        <f t="shared" si="7"/>
        <v>BASICO</v>
      </c>
      <c r="AG24" s="5">
        <v>2</v>
      </c>
      <c r="AH24" s="8">
        <v>1</v>
      </c>
      <c r="AI24" s="8">
        <v>3</v>
      </c>
      <c r="AJ24" s="8">
        <v>3</v>
      </c>
      <c r="AK24" s="5">
        <f t="shared" si="8"/>
        <v>2.4000000000000004</v>
      </c>
      <c r="AL24" s="5" t="str">
        <f t="shared" si="9"/>
        <v>BAJO</v>
      </c>
      <c r="AM24" s="5">
        <v>1</v>
      </c>
      <c r="AN24" s="8">
        <v>1</v>
      </c>
      <c r="AO24" s="8">
        <v>3</v>
      </c>
      <c r="AP24" s="8">
        <v>3</v>
      </c>
      <c r="AQ24" s="5">
        <f t="shared" si="10"/>
        <v>2.4000000000000004</v>
      </c>
      <c r="AR24" s="5" t="str">
        <f t="shared" si="11"/>
        <v>BAJO</v>
      </c>
      <c r="AS24" s="5">
        <v>4</v>
      </c>
      <c r="AT24" s="7">
        <v>2.2000000000000002</v>
      </c>
      <c r="AU24" s="7">
        <v>2.2000000000000002</v>
      </c>
      <c r="AV24" s="7">
        <v>2.2000000000000002</v>
      </c>
      <c r="AW24" s="5">
        <f t="shared" si="12"/>
        <v>2.2000000000000002</v>
      </c>
      <c r="AX24" s="5" t="str">
        <f t="shared" si="56"/>
        <v>BAJO</v>
      </c>
      <c r="AY24" s="5">
        <v>1</v>
      </c>
      <c r="AZ24" s="7">
        <v>4</v>
      </c>
      <c r="BA24" s="7">
        <v>4</v>
      </c>
      <c r="BB24" s="7">
        <v>4</v>
      </c>
      <c r="BC24" s="5">
        <f t="shared" si="14"/>
        <v>4</v>
      </c>
      <c r="BD24" s="5" t="str">
        <f t="shared" si="15"/>
        <v>ALTO</v>
      </c>
      <c r="BE24" s="7">
        <v>2</v>
      </c>
      <c r="BF24" s="7">
        <v>3</v>
      </c>
      <c r="BG24" s="7">
        <v>3.2</v>
      </c>
      <c r="BH24" s="7">
        <v>3</v>
      </c>
      <c r="BI24" s="5">
        <f t="shared" ref="BI24:BI25" si="64">((BF24*0.3)+(BG24*0.4)+(BH24*0.3))</f>
        <v>3.08</v>
      </c>
      <c r="BJ24" s="5" t="str">
        <f t="shared" si="17"/>
        <v>BASICO</v>
      </c>
      <c r="BK24" s="5">
        <v>1</v>
      </c>
      <c r="BL24" s="7">
        <v>3.2</v>
      </c>
      <c r="BM24" s="7">
        <v>3.3</v>
      </c>
      <c r="BN24" s="7">
        <v>3.6</v>
      </c>
      <c r="BO24" s="5">
        <f t="shared" si="58"/>
        <v>3.3600000000000003</v>
      </c>
      <c r="BP24" s="5" t="str">
        <f t="shared" si="19"/>
        <v>BASICO</v>
      </c>
      <c r="BQ24" s="5">
        <v>1</v>
      </c>
      <c r="BR24" s="7">
        <v>3.2</v>
      </c>
      <c r="BS24" s="7">
        <v>3</v>
      </c>
      <c r="BT24" s="7">
        <v>3.3</v>
      </c>
      <c r="BU24" s="5">
        <f t="shared" si="20"/>
        <v>3.15</v>
      </c>
      <c r="BV24" s="5" t="str">
        <f t="shared" si="21"/>
        <v>BASICO</v>
      </c>
      <c r="BW24" s="5">
        <v>1</v>
      </c>
      <c r="BX24" s="7">
        <v>3.4</v>
      </c>
      <c r="BY24" s="7">
        <v>3.3</v>
      </c>
      <c r="BZ24" s="7">
        <v>3.6</v>
      </c>
      <c r="CA24" s="5">
        <f t="shared" si="22"/>
        <v>3.42</v>
      </c>
      <c r="CB24" s="5" t="str">
        <f t="shared" si="23"/>
        <v>BASICO</v>
      </c>
      <c r="CC24" s="5">
        <v>1</v>
      </c>
      <c r="CD24" s="7"/>
      <c r="CE24" s="7"/>
      <c r="CF24" s="7"/>
      <c r="CG24" s="5">
        <f t="shared" si="24"/>
        <v>0</v>
      </c>
      <c r="CH24" s="5" t="str">
        <f t="shared" si="25"/>
        <v>BAJO</v>
      </c>
      <c r="CI24" s="5">
        <v>1</v>
      </c>
      <c r="CJ24" s="7">
        <v>3.5</v>
      </c>
      <c r="CK24" s="7">
        <v>3.5</v>
      </c>
      <c r="CL24" s="7">
        <v>3.5</v>
      </c>
      <c r="CM24" s="5">
        <f t="shared" si="26"/>
        <v>3.5</v>
      </c>
      <c r="CN24" s="5" t="str">
        <f t="shared" si="27"/>
        <v>BASICO</v>
      </c>
      <c r="CO24" s="5">
        <v>1</v>
      </c>
      <c r="CP24" s="7">
        <v>4</v>
      </c>
      <c r="CQ24" s="7">
        <v>4</v>
      </c>
      <c r="CR24" s="7">
        <v>4</v>
      </c>
      <c r="CS24" s="5">
        <f t="shared" si="28"/>
        <v>4</v>
      </c>
      <c r="CT24" s="5" t="str">
        <f t="shared" si="29"/>
        <v>ALTO</v>
      </c>
      <c r="CU24" s="5">
        <v>2</v>
      </c>
      <c r="CV24" s="7">
        <v>2</v>
      </c>
      <c r="CW24" s="7">
        <v>2</v>
      </c>
      <c r="CX24" s="7">
        <v>2</v>
      </c>
      <c r="CY24" s="5">
        <f t="shared" si="30"/>
        <v>2</v>
      </c>
      <c r="CZ24" s="5" t="str">
        <f t="shared" si="31"/>
        <v>BAJO</v>
      </c>
      <c r="DA24" s="5">
        <v>2</v>
      </c>
      <c r="DB24" s="7">
        <v>2</v>
      </c>
      <c r="DC24" s="7">
        <v>2</v>
      </c>
      <c r="DD24" s="7">
        <v>3.5</v>
      </c>
      <c r="DE24" s="5">
        <f t="shared" si="32"/>
        <v>2.4500000000000002</v>
      </c>
      <c r="DF24" s="5" t="str">
        <f t="shared" si="33"/>
        <v>BAJO</v>
      </c>
      <c r="DG24" s="5">
        <v>0</v>
      </c>
      <c r="DH24" s="7">
        <v>4</v>
      </c>
      <c r="DI24" s="5" t="str">
        <f t="shared" si="34"/>
        <v>ALTO</v>
      </c>
      <c r="DJ24" s="5">
        <f t="shared" si="35"/>
        <v>2.8829411764705881</v>
      </c>
      <c r="DK24" s="5" t="str">
        <f t="shared" si="36"/>
        <v>Comprende el concepto de números reales, su relación de orden y las propiedades de sus operaciones, así como las relaciones de semejanza y congruencia de distintas figuras geométricas.</v>
      </c>
      <c r="DL24" s="5" t="str">
        <f t="shared" ref="DL24:FJ24" si="65">DL23</f>
        <v>Aplica correctamente las propiedades de las operaciones de números reales y expresiones algebraicas en la resolución de problemas.</v>
      </c>
      <c r="DM24" s="5" t="str">
        <f t="shared" si="65"/>
        <v>Valora el uso del pensamiento lógico a la hora de plantear y resolver problemas de las matemáticas y de la vida cotidiana.</v>
      </c>
      <c r="DN24" s="5" t="str">
        <f t="shared" si="6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4" s="5" t="str">
        <f t="shared" si="65"/>
        <v>Organiza y analiza datos mediante la construcción de tablas de frecuencias y diagramas estadísticos, identificando variables aleatorias y utilizando estas representaciones para resolver situaciones problema.</v>
      </c>
      <c r="DP24" s="5" t="str">
        <f t="shared" si="65"/>
        <v>Muestra disposición y responsabilidad en el manejo y análisis de datos, participando activamente en actividades individuales y colaborativas, y comunicando información estadística con claridad y sentido crítico.</v>
      </c>
      <c r="DQ24" s="5" t="str">
        <f t="shared" si="65"/>
        <v>Analiza las características de la literatura prehispánica y la literatura del descubrimiento y la conquista en Colombia identificando sus elementos fundamentales y su impacto en la cultura y el lenguaje actual.</v>
      </c>
      <c r="DR24" s="5" t="str">
        <f t="shared" si="65"/>
        <v>Realiza comprensión lectora cuando analiza un texto desde el discurso de la Enunciación e identifica la función de cada uno de sus componentes.
Responde preguntas en los tres niveles de lectura a una leyenda del Caribe.</v>
      </c>
      <c r="DS24" s="5" t="str">
        <f t="shared" si="65"/>
        <v>Muestra disposición para participar activamente en las clases, promoviendo el respeto por las ideas ajenas y reconociendo la importancia de la precisión como una herramienta clave para una comunicación</v>
      </c>
      <c r="DT24" s="5" t="str">
        <f t="shared" si="65"/>
        <v>Comprende el contenido del cuento A la deriva, identificando su tema central, la secuencia de los hechos, los personajes y las ideas explícitas e implícitas del texto.</v>
      </c>
      <c r="DU24" s="5" t="str">
        <f t="shared" si="65"/>
        <v>Analiza críticamente el cuento A la deriva mediante la identificación de información literal, inferencial y crítica, sustentando sus respuestas de forma oral y escrita.</v>
      </c>
      <c r="DV24" s="5" t="str">
        <f t="shared" si="65"/>
        <v>Valora la lectura literaria como una oportunidad para reflexionar sobre la vida, la naturaleza y la condición humana, participando con interés, respeto y sentido crítico en las actividades propuestas.</v>
      </c>
      <c r="DW24" s="5" t="str">
        <f t="shared" si="65"/>
        <v>Comprende y reconoce vocabulario y estructuras basicas del ingles para interpretar textos cortos y conversaciones sobre temas cotidianos de la vida diaria.</v>
      </c>
      <c r="DX24" s="5" t="str">
        <f t="shared" si="65"/>
        <v>Produce de forma oral y escrita frases y parrafos cortos en Ingles, utilizando correctamente las estructuras conocidas para describir rutinas, narrar experiencias y participar en conversaciones.</v>
      </c>
      <c r="DY24" s="5" t="str">
        <f t="shared" si="65"/>
        <v>Muestra disposicion positiva hacia el aprendizaje del Ingles participando activamente en clase.</v>
      </c>
      <c r="DZ24" s="5" t="str">
        <f t="shared" si="65"/>
        <v>Identifica vocabulario en Ingles  de situaciones cotidianas.</v>
      </c>
      <c r="EA24" s="5" t="str">
        <f t="shared" si="65"/>
        <v>Participa en actividades utilizando vocabulario aprendido para expresar gustos,emociones y necesidades.</v>
      </c>
      <c r="EB24" s="5" t="str">
        <f t="shared" si="65"/>
        <v>Respeta la opinion de los demas, muestra disposicion para participar en actividades orales.</v>
      </c>
      <c r="EC24" s="5" t="str">
        <f t="shared" si="65"/>
        <v>Identifica la conformación y funcionamiento del sistema inmunolófico y diferencia las característics de los estados de la materia.</v>
      </c>
      <c r="ED24" s="5" t="str">
        <f t="shared" si="65"/>
        <v>Reconoce experimentalmente las características de materiales en los diferentes estados de la materia.</v>
      </c>
      <c r="EE24" s="5" t="str">
        <f t="shared" si="65"/>
        <v xml:space="preserve">Valora la importancia de tener habitos saludables, para lograr el mantenimiento saludable del sistema inmune. </v>
      </c>
      <c r="EF24" s="5" t="str">
        <f t="shared" si="65"/>
        <v>Describe correctamente la secuencia de eventos biologicos de la fecundacion,incluyendo las recciones acrosomicas,la funcion de gametos y la formacion de gametos.</v>
      </c>
      <c r="EG24" s="5" t="str">
        <f t="shared" si="65"/>
        <v>Mide la capacidad del labolatrio para lograr la fecundacion exitosa de los ovulos con el espermatozoide.</v>
      </c>
      <c r="EH24" s="5" t="str">
        <f t="shared" si="65"/>
        <v>Valora la importancia del cuidado del cuerpo y de la salud reproductiva como la base para una fecundacion saludable.</v>
      </c>
      <c r="EI24" s="5" t="str">
        <f t="shared" si="65"/>
        <v>Explico las principales caracteristicas de algunas revoluciones de los siglos XVIII y XIX (Revolucion francesa, Industrial...)</v>
      </c>
      <c r="EJ24" s="5" t="str">
        <f t="shared" si="65"/>
        <v>Analiza las causas y consecuencias de procesos historicos como la Revolucion Industrial y Francesa.</v>
      </c>
      <c r="EK24" s="5" t="str">
        <f t="shared" si="65"/>
        <v>Muestra interes y curiosidad por comprender los procesos historicos y su impacto en la sociedad.</v>
      </c>
      <c r="EL24" s="5" t="str">
        <f t="shared" si="65"/>
        <v xml:space="preserve">Identifica los procesos historicos de algunas revoluciones de los siglos XVIII y XIX </v>
      </c>
      <c r="EM24" s="5">
        <f t="shared" si="65"/>
        <v>0</v>
      </c>
      <c r="EN24" s="5">
        <f t="shared" si="65"/>
        <v>0</v>
      </c>
      <c r="EO24" s="5" t="str">
        <f t="shared" si="65"/>
        <v xml:space="preserve">Comprende la distribucion espacial de la poblacion antes y despues de las revoluciones </v>
      </c>
      <c r="EP24" s="5" t="str">
        <f t="shared" si="65"/>
        <v xml:space="preserve">Ubica en mapas las regiones donde se desarrollaron las principales revoluciones y explica sus caracteristicas geograficas </v>
      </c>
      <c r="EQ24" s="5" t="str">
        <f t="shared" si="65"/>
        <v>Muestra interes por comprender la relacion entre sociedad, economia y territorio</v>
      </c>
      <c r="ER24" s="5" t="str">
        <f t="shared" si="65"/>
        <v>Comprende el concepto de cultura de paz y su importancia en la sociedad</v>
      </c>
      <c r="ES24" s="5" t="str">
        <f t="shared" si="65"/>
        <v>Practica normas de convivencia en diferentes espacios( aula, hogar, comunidad)</v>
      </c>
      <c r="ET24" s="5" t="str">
        <f t="shared" si="65"/>
        <v>Muestra actitud de respeto hacia la diversidad cuktural, social y de pensamiento</v>
      </c>
      <c r="EU24" s="5">
        <f t="shared" si="65"/>
        <v>0</v>
      </c>
      <c r="EV24" s="5">
        <f t="shared" si="65"/>
        <v>0</v>
      </c>
      <c r="EW24" s="5">
        <f t="shared" si="65"/>
        <v>0</v>
      </c>
      <c r="EX24" s="5">
        <f t="shared" si="65"/>
        <v>0</v>
      </c>
      <c r="EY24" s="5">
        <f t="shared" si="65"/>
        <v>0</v>
      </c>
      <c r="EZ24" s="5">
        <f t="shared" si="65"/>
        <v>0</v>
      </c>
      <c r="FA24" s="5">
        <f t="shared" si="65"/>
        <v>0</v>
      </c>
      <c r="FB24" s="5">
        <f t="shared" si="65"/>
        <v>0</v>
      </c>
      <c r="FC24" s="5">
        <f t="shared" si="65"/>
        <v>0</v>
      </c>
      <c r="FD24" s="5" t="str">
        <f t="shared" si="65"/>
        <v xml:space="preserve"> Identifica las expresiones motrices relacionadas con el juego del voleibol,  como una oportunidad para mejorar la salud, la estética y las relaciones con los demás.</v>
      </c>
      <c r="FE24" s="5" t="str">
        <f t="shared" si="65"/>
        <v>Pone en práctica los fundamentos básicos del voleibol.</v>
      </c>
      <c r="FF24" s="5" t="str">
        <f t="shared" si="65"/>
        <v>Muestra  responsabilidad y buena actitud al realizar el juego de voleibol.</v>
      </c>
      <c r="FG24" s="5" t="str">
        <f t="shared" si="65"/>
        <v>Comprende el concepto de variable como espacio de almacenamiento de datos y reconoce el uso de estructuras condicionales (si, si-no) para la toma de decisiones en un programa.</v>
      </c>
      <c r="FH24" s="5" t="str">
        <f t="shared" si="65"/>
        <v>Diseña y desarrolla programas que utilizan variables y estructuras condicionales para resolver problemas, evaluando condiciones y generando respuestas según diferentes situaciones.</v>
      </c>
      <c r="FI24" s="5" t="str">
        <f t="shared" si="65"/>
        <v>Muestra pensamiento lógico, perseverancia y actitud crítica al analizar errores y proponer soluciones en la construcción de programas con variables y condicionales.</v>
      </c>
      <c r="FJ24" s="5" t="str">
        <f t="shared" si="65"/>
        <v>Identifica y reconoce sus pricipales deberes y derechos dentro y fuera  de la Institución educativa.</v>
      </c>
    </row>
    <row r="25" spans="1:166" ht="15.75" customHeight="1">
      <c r="A25" s="5">
        <v>24</v>
      </c>
      <c r="B25" s="5" t="s">
        <v>199</v>
      </c>
      <c r="C25" s="6">
        <v>1045727751</v>
      </c>
      <c r="D25" s="5" t="s">
        <v>176</v>
      </c>
      <c r="E25" s="5" t="s">
        <v>177</v>
      </c>
      <c r="F25" s="5" t="s">
        <v>70</v>
      </c>
      <c r="G25" s="5" t="s">
        <v>71</v>
      </c>
      <c r="H25" s="5">
        <v>2026</v>
      </c>
      <c r="I25" s="5">
        <v>4</v>
      </c>
      <c r="J25" s="7">
        <v>3.4</v>
      </c>
      <c r="K25" s="7">
        <v>3.5</v>
      </c>
      <c r="L25" s="7">
        <v>3.6</v>
      </c>
      <c r="M25" s="5">
        <f t="shared" si="41"/>
        <v>3.5</v>
      </c>
      <c r="N25" s="5" t="str">
        <f t="shared" si="1"/>
        <v>BASICO</v>
      </c>
      <c r="O25" s="5">
        <v>1</v>
      </c>
      <c r="P25" s="7">
        <v>3</v>
      </c>
      <c r="Q25" s="7">
        <v>3</v>
      </c>
      <c r="R25" s="7">
        <v>3</v>
      </c>
      <c r="S25" s="5">
        <f t="shared" si="48"/>
        <v>3</v>
      </c>
      <c r="T25" s="5" t="str">
        <f t="shared" si="3"/>
        <v>BASICO</v>
      </c>
      <c r="U25" s="5">
        <v>4</v>
      </c>
      <c r="V25" s="7">
        <v>4</v>
      </c>
      <c r="W25" s="7">
        <v>4.5</v>
      </c>
      <c r="X25" s="7">
        <v>4</v>
      </c>
      <c r="Y25" s="5">
        <f t="shared" si="4"/>
        <v>4.2</v>
      </c>
      <c r="Z25" s="5" t="str">
        <f t="shared" si="5"/>
        <v>ALTO</v>
      </c>
      <c r="AA25" s="5">
        <v>1</v>
      </c>
      <c r="AB25" s="7">
        <v>3.6</v>
      </c>
      <c r="AC25" s="7">
        <v>3.6</v>
      </c>
      <c r="AD25" s="7">
        <v>3.6</v>
      </c>
      <c r="AE25" s="5">
        <f t="shared" si="6"/>
        <v>3.6000000000000005</v>
      </c>
      <c r="AF25" s="5" t="str">
        <f t="shared" si="7"/>
        <v>BASICO</v>
      </c>
      <c r="AG25" s="5">
        <v>2</v>
      </c>
      <c r="AH25" s="8">
        <v>4</v>
      </c>
      <c r="AI25" s="8">
        <v>4</v>
      </c>
      <c r="AJ25" s="8">
        <v>4</v>
      </c>
      <c r="AK25" s="5">
        <f t="shared" si="8"/>
        <v>4</v>
      </c>
      <c r="AL25" s="5" t="str">
        <f t="shared" si="9"/>
        <v>ALTO</v>
      </c>
      <c r="AM25" s="5">
        <v>1</v>
      </c>
      <c r="AN25" s="8">
        <v>4</v>
      </c>
      <c r="AO25" s="8">
        <v>4</v>
      </c>
      <c r="AP25" s="8">
        <v>4</v>
      </c>
      <c r="AQ25" s="5">
        <f t="shared" si="10"/>
        <v>4</v>
      </c>
      <c r="AR25" s="5" t="str">
        <f t="shared" si="11"/>
        <v>ALTO</v>
      </c>
      <c r="AS25" s="5">
        <v>4</v>
      </c>
      <c r="AT25" s="7">
        <v>2.5</v>
      </c>
      <c r="AU25" s="7">
        <v>2.5</v>
      </c>
      <c r="AV25" s="7">
        <v>2.5</v>
      </c>
      <c r="AW25" s="5">
        <f t="shared" si="12"/>
        <v>2.5</v>
      </c>
      <c r="AX25" s="5" t="str">
        <f t="shared" si="56"/>
        <v>BAJO</v>
      </c>
      <c r="AY25" s="5">
        <v>1</v>
      </c>
      <c r="AZ25" s="7">
        <v>4</v>
      </c>
      <c r="BA25" s="7">
        <v>4</v>
      </c>
      <c r="BB25" s="7">
        <v>4</v>
      </c>
      <c r="BC25" s="5">
        <f t="shared" si="14"/>
        <v>4</v>
      </c>
      <c r="BD25" s="5" t="str">
        <f t="shared" si="15"/>
        <v>ALTO</v>
      </c>
      <c r="BE25" s="7">
        <v>2</v>
      </c>
      <c r="BF25" s="7">
        <v>3.4</v>
      </c>
      <c r="BG25" s="7">
        <v>3.5</v>
      </c>
      <c r="BH25" s="7">
        <v>3.6</v>
      </c>
      <c r="BI25" s="5">
        <f t="shared" si="64"/>
        <v>3.5</v>
      </c>
      <c r="BJ25" s="5" t="str">
        <f t="shared" si="17"/>
        <v>BASICO</v>
      </c>
      <c r="BK25" s="5">
        <v>1</v>
      </c>
      <c r="BL25" s="7">
        <v>3.4</v>
      </c>
      <c r="BM25" s="7">
        <v>3.8</v>
      </c>
      <c r="BN25" s="7">
        <v>4</v>
      </c>
      <c r="BO25" s="5">
        <f t="shared" si="58"/>
        <v>3.74</v>
      </c>
      <c r="BP25" s="5" t="str">
        <f t="shared" si="19"/>
        <v>BASICO</v>
      </c>
      <c r="BQ25" s="5">
        <v>1</v>
      </c>
      <c r="BR25" s="7">
        <v>3.8</v>
      </c>
      <c r="BS25" s="7">
        <v>4.4000000000000004</v>
      </c>
      <c r="BT25" s="7">
        <v>3.6</v>
      </c>
      <c r="BU25" s="5">
        <f t="shared" si="20"/>
        <v>3.9800000000000004</v>
      </c>
      <c r="BV25" s="5" t="str">
        <f t="shared" si="21"/>
        <v>BASICO</v>
      </c>
      <c r="BW25" s="5">
        <v>1</v>
      </c>
      <c r="BX25" s="7">
        <v>3</v>
      </c>
      <c r="BY25" s="7">
        <v>3.2</v>
      </c>
      <c r="BZ25" s="7">
        <v>3.5</v>
      </c>
      <c r="CA25" s="5">
        <f t="shared" si="22"/>
        <v>3.2300000000000004</v>
      </c>
      <c r="CB25" s="5" t="str">
        <f t="shared" si="23"/>
        <v>BASICO</v>
      </c>
      <c r="CC25" s="5">
        <v>1</v>
      </c>
      <c r="CD25" s="7">
        <v>3.8</v>
      </c>
      <c r="CE25" s="7">
        <v>3.7</v>
      </c>
      <c r="CF25" s="7">
        <v>3.7</v>
      </c>
      <c r="CG25" s="5">
        <f t="shared" si="24"/>
        <v>3.7300000000000004</v>
      </c>
      <c r="CH25" s="5" t="str">
        <f t="shared" si="25"/>
        <v>BASICO</v>
      </c>
      <c r="CI25" s="5">
        <v>1</v>
      </c>
      <c r="CJ25" s="7">
        <v>4.5999999999999996</v>
      </c>
      <c r="CK25" s="7">
        <v>4.5999999999999996</v>
      </c>
      <c r="CL25" s="7">
        <v>4.5999999999999996</v>
      </c>
      <c r="CM25" s="5">
        <f t="shared" si="26"/>
        <v>4.5999999999999996</v>
      </c>
      <c r="CN25" s="5" t="str">
        <f t="shared" si="27"/>
        <v>SUPERIOR</v>
      </c>
      <c r="CO25" s="5">
        <v>1</v>
      </c>
      <c r="CP25" s="7">
        <v>4.5</v>
      </c>
      <c r="CQ25" s="7">
        <v>4.5</v>
      </c>
      <c r="CR25" s="7">
        <v>4.5</v>
      </c>
      <c r="CS25" s="5">
        <f t="shared" si="28"/>
        <v>4.5</v>
      </c>
      <c r="CT25" s="5" t="str">
        <f t="shared" si="29"/>
        <v>SUPERIOR</v>
      </c>
      <c r="CU25" s="5">
        <v>2</v>
      </c>
      <c r="CV25" s="7">
        <v>3.5</v>
      </c>
      <c r="CW25" s="7">
        <v>3.5</v>
      </c>
      <c r="CX25" s="7">
        <v>3.5</v>
      </c>
      <c r="CY25" s="5">
        <f t="shared" si="30"/>
        <v>3.5</v>
      </c>
      <c r="CZ25" s="5" t="str">
        <f t="shared" si="31"/>
        <v>BASICO</v>
      </c>
      <c r="DA25" s="5">
        <v>2</v>
      </c>
      <c r="DB25" s="7">
        <v>4</v>
      </c>
      <c r="DC25" s="7">
        <v>4</v>
      </c>
      <c r="DD25" s="7">
        <v>4.5</v>
      </c>
      <c r="DE25" s="5">
        <f t="shared" si="32"/>
        <v>4.1499999999999995</v>
      </c>
      <c r="DF25" s="5" t="str">
        <f t="shared" si="33"/>
        <v>ALTO</v>
      </c>
      <c r="DG25" s="5">
        <v>0</v>
      </c>
      <c r="DH25" s="7">
        <v>4</v>
      </c>
      <c r="DI25" s="5" t="str">
        <f t="shared" si="34"/>
        <v>ALTO</v>
      </c>
      <c r="DJ25" s="5">
        <f t="shared" si="35"/>
        <v>3.75</v>
      </c>
      <c r="DK25" s="5" t="str">
        <f t="shared" si="36"/>
        <v>Comprende el concepto de números reales, su relación de orden y las propiedades de sus operaciones, así como las relaciones de semejanza y congruencia de distintas figuras geométricas.</v>
      </c>
      <c r="DL25" s="5" t="str">
        <f t="shared" ref="DL25:FJ25" si="66">DL24</f>
        <v>Aplica correctamente las propiedades de las operaciones de números reales y expresiones algebraicas en la resolución de problemas.</v>
      </c>
      <c r="DM25" s="5" t="str">
        <f t="shared" si="66"/>
        <v>Valora el uso del pensamiento lógico a la hora de plantear y resolver problemas de las matemáticas y de la vida cotidiana.</v>
      </c>
      <c r="DN25" s="5" t="str">
        <f t="shared" si="6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5" s="5" t="str">
        <f t="shared" si="66"/>
        <v>Organiza y analiza datos mediante la construcción de tablas de frecuencias y diagramas estadísticos, identificando variables aleatorias y utilizando estas representaciones para resolver situaciones problema.</v>
      </c>
      <c r="DP25" s="5" t="str">
        <f t="shared" si="66"/>
        <v>Muestra disposición y responsabilidad en el manejo y análisis de datos, participando activamente en actividades individuales y colaborativas, y comunicando información estadística con claridad y sentido crítico.</v>
      </c>
      <c r="DQ25" s="5" t="str">
        <f t="shared" si="66"/>
        <v>Analiza las características de la literatura prehispánica y la literatura del descubrimiento y la conquista en Colombia identificando sus elementos fundamentales y su impacto en la cultura y el lenguaje actual.</v>
      </c>
      <c r="DR25" s="5" t="str">
        <f t="shared" si="66"/>
        <v>Realiza comprensión lectora cuando analiza un texto desde el discurso de la Enunciación e identifica la función de cada uno de sus componentes.
Responde preguntas en los tres niveles de lectura a una leyenda del Caribe.</v>
      </c>
      <c r="DS25" s="5" t="str">
        <f t="shared" si="66"/>
        <v>Muestra disposición para participar activamente en las clases, promoviendo el respeto por las ideas ajenas y reconociendo la importancia de la precisión como una herramienta clave para una comunicación</v>
      </c>
      <c r="DT25" s="5" t="str">
        <f t="shared" si="66"/>
        <v>Comprende el contenido del cuento A la deriva, identificando su tema central, la secuencia de los hechos, los personajes y las ideas explícitas e implícitas del texto.</v>
      </c>
      <c r="DU25" s="5" t="str">
        <f t="shared" si="66"/>
        <v>Analiza críticamente el cuento A la deriva mediante la identificación de información literal, inferencial y crítica, sustentando sus respuestas de forma oral y escrita.</v>
      </c>
      <c r="DV25" s="5" t="str">
        <f t="shared" si="66"/>
        <v>Valora la lectura literaria como una oportunidad para reflexionar sobre la vida, la naturaleza y la condición humana, participando con interés, respeto y sentido crítico en las actividades propuestas.</v>
      </c>
      <c r="DW25" s="5" t="str">
        <f t="shared" si="66"/>
        <v>Comprende y reconoce vocabulario y estructuras basicas del ingles para interpretar textos cortos y conversaciones sobre temas cotidianos de la vida diaria.</v>
      </c>
      <c r="DX25" s="5" t="str">
        <f t="shared" si="66"/>
        <v>Produce de forma oral y escrita frases y parrafos cortos en Ingles, utilizando correctamente las estructuras conocidas para describir rutinas, narrar experiencias y participar en conversaciones.</v>
      </c>
      <c r="DY25" s="5" t="str">
        <f t="shared" si="66"/>
        <v>Muestra disposicion positiva hacia el aprendizaje del Ingles participando activamente en clase.</v>
      </c>
      <c r="DZ25" s="5" t="str">
        <f t="shared" si="66"/>
        <v>Identifica vocabulario en Ingles  de situaciones cotidianas.</v>
      </c>
      <c r="EA25" s="5" t="str">
        <f t="shared" si="66"/>
        <v>Participa en actividades utilizando vocabulario aprendido para expresar gustos,emociones y necesidades.</v>
      </c>
      <c r="EB25" s="5" t="str">
        <f t="shared" si="66"/>
        <v>Respeta la opinion de los demas, muestra disposicion para participar en actividades orales.</v>
      </c>
      <c r="EC25" s="5" t="str">
        <f t="shared" si="66"/>
        <v>Identifica la conformación y funcionamiento del sistema inmunolófico y diferencia las característics de los estados de la materia.</v>
      </c>
      <c r="ED25" s="5" t="str">
        <f t="shared" si="66"/>
        <v>Reconoce experimentalmente las características de materiales en los diferentes estados de la materia.</v>
      </c>
      <c r="EE25" s="5" t="str">
        <f t="shared" si="66"/>
        <v xml:space="preserve">Valora la importancia de tener habitos saludables, para lograr el mantenimiento saludable del sistema inmune. </v>
      </c>
      <c r="EF25" s="5" t="str">
        <f t="shared" si="66"/>
        <v>Describe correctamente la secuencia de eventos biologicos de la fecundacion,incluyendo las recciones acrosomicas,la funcion de gametos y la formacion de gametos.</v>
      </c>
      <c r="EG25" s="5" t="str">
        <f t="shared" si="66"/>
        <v>Mide la capacidad del labolatrio para lograr la fecundacion exitosa de los ovulos con el espermatozoide.</v>
      </c>
      <c r="EH25" s="5" t="str">
        <f t="shared" si="66"/>
        <v>Valora la importancia del cuidado del cuerpo y de la salud reproductiva como la base para una fecundacion saludable.</v>
      </c>
      <c r="EI25" s="5" t="str">
        <f t="shared" si="66"/>
        <v>Explico las principales caracteristicas de algunas revoluciones de los siglos XVIII y XIX (Revolucion francesa, Industrial...)</v>
      </c>
      <c r="EJ25" s="5" t="str">
        <f t="shared" si="66"/>
        <v>Analiza las causas y consecuencias de procesos historicos como la Revolucion Industrial y Francesa.</v>
      </c>
      <c r="EK25" s="5" t="str">
        <f t="shared" si="66"/>
        <v>Muestra interes y curiosidad por comprender los procesos historicos y su impacto en la sociedad.</v>
      </c>
      <c r="EL25" s="5" t="str">
        <f t="shared" si="66"/>
        <v xml:space="preserve">Identifica los procesos historicos de algunas revoluciones de los siglos XVIII y XIX </v>
      </c>
      <c r="EM25" s="5">
        <f t="shared" si="66"/>
        <v>0</v>
      </c>
      <c r="EN25" s="5">
        <f t="shared" si="66"/>
        <v>0</v>
      </c>
      <c r="EO25" s="5" t="str">
        <f t="shared" si="66"/>
        <v xml:space="preserve">Comprende la distribucion espacial de la poblacion antes y despues de las revoluciones </v>
      </c>
      <c r="EP25" s="5" t="str">
        <f t="shared" si="66"/>
        <v xml:space="preserve">Ubica en mapas las regiones donde se desarrollaron las principales revoluciones y explica sus caracteristicas geograficas </v>
      </c>
      <c r="EQ25" s="5" t="str">
        <f t="shared" si="66"/>
        <v>Muestra interes por comprender la relacion entre sociedad, economia y territorio</v>
      </c>
      <c r="ER25" s="5" t="str">
        <f t="shared" si="66"/>
        <v>Comprende el concepto de cultura de paz y su importancia en la sociedad</v>
      </c>
      <c r="ES25" s="5" t="str">
        <f t="shared" si="66"/>
        <v>Practica normas de convivencia en diferentes espacios( aula, hogar, comunidad)</v>
      </c>
      <c r="ET25" s="5" t="str">
        <f t="shared" si="66"/>
        <v>Muestra actitud de respeto hacia la diversidad cuktural, social y de pensamiento</v>
      </c>
      <c r="EU25" s="5">
        <f t="shared" si="66"/>
        <v>0</v>
      </c>
      <c r="EV25" s="5">
        <f t="shared" si="66"/>
        <v>0</v>
      </c>
      <c r="EW25" s="5">
        <f t="shared" si="66"/>
        <v>0</v>
      </c>
      <c r="EX25" s="5">
        <f t="shared" si="66"/>
        <v>0</v>
      </c>
      <c r="EY25" s="5">
        <f t="shared" si="66"/>
        <v>0</v>
      </c>
      <c r="EZ25" s="5">
        <f t="shared" si="66"/>
        <v>0</v>
      </c>
      <c r="FA25" s="5">
        <f t="shared" si="66"/>
        <v>0</v>
      </c>
      <c r="FB25" s="5">
        <f t="shared" si="66"/>
        <v>0</v>
      </c>
      <c r="FC25" s="5">
        <f t="shared" si="66"/>
        <v>0</v>
      </c>
      <c r="FD25" s="5" t="str">
        <f t="shared" si="66"/>
        <v xml:space="preserve"> Identifica las expresiones motrices relacionadas con el juego del voleibol,  como una oportunidad para mejorar la salud, la estética y las relaciones con los demás.</v>
      </c>
      <c r="FE25" s="5" t="str">
        <f t="shared" si="66"/>
        <v>Pone en práctica los fundamentos básicos del voleibol.</v>
      </c>
      <c r="FF25" s="5" t="str">
        <f t="shared" si="66"/>
        <v>Muestra  responsabilidad y buena actitud al realizar el juego de voleibol.</v>
      </c>
      <c r="FG25" s="5" t="str">
        <f t="shared" si="66"/>
        <v>Comprende el concepto de variable como espacio de almacenamiento de datos y reconoce el uso de estructuras condicionales (si, si-no) para la toma de decisiones en un programa.</v>
      </c>
      <c r="FH25" s="5" t="str">
        <f t="shared" si="66"/>
        <v>Diseña y desarrolla programas que utilizan variables y estructuras condicionales para resolver problemas, evaluando condiciones y generando respuestas según diferentes situaciones.</v>
      </c>
      <c r="FI25" s="5" t="str">
        <f t="shared" si="66"/>
        <v>Muestra pensamiento lógico, perseverancia y actitud crítica al analizar errores y proponer soluciones en la construcción de programas con variables y condicionales.</v>
      </c>
      <c r="FJ25" s="5" t="str">
        <f t="shared" si="66"/>
        <v>Identifica y reconoce sus pricipales deberes y derechos dentro y fuera  de la Institución educativa.</v>
      </c>
    </row>
    <row r="26" spans="1:166" ht="15.75" customHeight="1">
      <c r="A26" s="5">
        <v>25</v>
      </c>
      <c r="B26" s="5" t="s">
        <v>200</v>
      </c>
      <c r="C26" s="6">
        <v>1127600606</v>
      </c>
      <c r="D26" s="5" t="s">
        <v>176</v>
      </c>
      <c r="E26" s="5" t="s">
        <v>177</v>
      </c>
      <c r="F26" s="5" t="s">
        <v>70</v>
      </c>
      <c r="G26" s="5" t="s">
        <v>71</v>
      </c>
      <c r="H26" s="5">
        <v>2026</v>
      </c>
      <c r="I26" s="5">
        <v>4</v>
      </c>
      <c r="J26" s="7">
        <v>2.2000000000000002</v>
      </c>
      <c r="K26" s="7">
        <v>2.5</v>
      </c>
      <c r="L26" s="7">
        <v>2.8</v>
      </c>
      <c r="M26" s="5">
        <f t="shared" si="41"/>
        <v>2.5</v>
      </c>
      <c r="N26" s="5" t="str">
        <f t="shared" si="1"/>
        <v>BAJO</v>
      </c>
      <c r="O26" s="5">
        <v>1</v>
      </c>
      <c r="P26" s="7">
        <v>2.5</v>
      </c>
      <c r="Q26" s="7">
        <v>2.5</v>
      </c>
      <c r="R26" s="7">
        <v>2.5</v>
      </c>
      <c r="S26" s="5">
        <f t="shared" si="48"/>
        <v>2.5</v>
      </c>
      <c r="T26" s="5" t="str">
        <f t="shared" si="3"/>
        <v>BAJO</v>
      </c>
      <c r="U26" s="5">
        <v>4</v>
      </c>
      <c r="V26" s="7">
        <v>3</v>
      </c>
      <c r="W26" s="7">
        <v>4</v>
      </c>
      <c r="X26" s="7">
        <v>3</v>
      </c>
      <c r="Y26" s="5">
        <f t="shared" si="4"/>
        <v>3.4</v>
      </c>
      <c r="Z26" s="5" t="str">
        <f t="shared" si="5"/>
        <v>BASICO</v>
      </c>
      <c r="AA26" s="5">
        <v>1</v>
      </c>
      <c r="AB26" s="7">
        <v>4</v>
      </c>
      <c r="AC26" s="7">
        <v>4</v>
      </c>
      <c r="AD26" s="7">
        <v>4</v>
      </c>
      <c r="AE26" s="5">
        <f t="shared" si="6"/>
        <v>4</v>
      </c>
      <c r="AF26" s="5" t="str">
        <f t="shared" si="7"/>
        <v>ALTO</v>
      </c>
      <c r="AG26" s="5">
        <v>2</v>
      </c>
      <c r="AH26" s="8">
        <v>3</v>
      </c>
      <c r="AI26" s="8">
        <v>3</v>
      </c>
      <c r="AJ26" s="8">
        <v>3</v>
      </c>
      <c r="AK26" s="5">
        <f t="shared" si="8"/>
        <v>3</v>
      </c>
      <c r="AL26" s="5" t="str">
        <f t="shared" si="9"/>
        <v>BASICO</v>
      </c>
      <c r="AM26" s="5">
        <v>1</v>
      </c>
      <c r="AN26" s="8">
        <v>3</v>
      </c>
      <c r="AO26" s="8">
        <v>3</v>
      </c>
      <c r="AP26" s="8">
        <v>3</v>
      </c>
      <c r="AQ26" s="5">
        <f t="shared" si="10"/>
        <v>3</v>
      </c>
      <c r="AR26" s="5" t="str">
        <f t="shared" si="11"/>
        <v>BASICO</v>
      </c>
      <c r="AS26" s="5">
        <v>4</v>
      </c>
      <c r="AT26" s="7">
        <v>2</v>
      </c>
      <c r="AU26" s="7">
        <v>2</v>
      </c>
      <c r="AV26" s="7">
        <v>2</v>
      </c>
      <c r="AW26" s="5">
        <f t="shared" si="12"/>
        <v>2</v>
      </c>
      <c r="AX26" s="5" t="str">
        <f t="shared" si="56"/>
        <v>BAJO</v>
      </c>
      <c r="AY26" s="5">
        <v>1</v>
      </c>
      <c r="AZ26" s="7">
        <v>3.5</v>
      </c>
      <c r="BA26" s="7">
        <v>3.4</v>
      </c>
      <c r="BB26" s="7">
        <v>3.5</v>
      </c>
      <c r="BC26" s="5">
        <f t="shared" si="14"/>
        <v>3.46</v>
      </c>
      <c r="BD26" s="5" t="str">
        <f t="shared" si="15"/>
        <v>BASICO</v>
      </c>
      <c r="BE26" s="7">
        <v>2</v>
      </c>
      <c r="BF26" s="7">
        <v>3.3</v>
      </c>
      <c r="BG26" s="7">
        <v>3.2</v>
      </c>
      <c r="BH26" s="7">
        <v>3.4</v>
      </c>
      <c r="BI26" s="7">
        <v>3.3</v>
      </c>
      <c r="BJ26" s="5" t="str">
        <f t="shared" si="17"/>
        <v>BASICO</v>
      </c>
      <c r="BK26" s="5">
        <v>1</v>
      </c>
      <c r="BL26" s="7">
        <v>3.2</v>
      </c>
      <c r="BM26" s="7">
        <v>3.3</v>
      </c>
      <c r="BN26" s="7">
        <v>3.2</v>
      </c>
      <c r="BO26" s="5">
        <f t="shared" si="58"/>
        <v>3.24</v>
      </c>
      <c r="BP26" s="5" t="str">
        <f t="shared" si="19"/>
        <v>BASICO</v>
      </c>
      <c r="BQ26" s="5">
        <v>1</v>
      </c>
      <c r="BR26" s="7">
        <v>3</v>
      </c>
      <c r="BS26" s="7">
        <v>3.2</v>
      </c>
      <c r="BT26" s="7">
        <v>3.3</v>
      </c>
      <c r="BU26" s="5">
        <f t="shared" si="20"/>
        <v>3.17</v>
      </c>
      <c r="BV26" s="5" t="str">
        <f t="shared" si="21"/>
        <v>BASICO</v>
      </c>
      <c r="BW26" s="5">
        <v>1</v>
      </c>
      <c r="BX26" s="7">
        <v>3.3</v>
      </c>
      <c r="BY26" s="7">
        <v>3.2</v>
      </c>
      <c r="BZ26" s="7">
        <v>3.3</v>
      </c>
      <c r="CA26" s="5">
        <f t="shared" si="22"/>
        <v>3.26</v>
      </c>
      <c r="CB26" s="5" t="str">
        <f t="shared" si="23"/>
        <v>BASICO</v>
      </c>
      <c r="CC26" s="5">
        <v>1</v>
      </c>
      <c r="CD26" s="7">
        <v>3.5</v>
      </c>
      <c r="CE26" s="7">
        <v>3.5</v>
      </c>
      <c r="CF26" s="7">
        <v>3.5</v>
      </c>
      <c r="CG26" s="5">
        <f t="shared" si="24"/>
        <v>3.5</v>
      </c>
      <c r="CH26" s="5" t="str">
        <f t="shared" si="25"/>
        <v>BASICO</v>
      </c>
      <c r="CI26" s="5">
        <v>1</v>
      </c>
      <c r="CJ26" s="7">
        <v>4.2</v>
      </c>
      <c r="CK26" s="7">
        <v>4</v>
      </c>
      <c r="CL26" s="7">
        <v>4</v>
      </c>
      <c r="CM26" s="5">
        <f t="shared" si="26"/>
        <v>4.0600000000000005</v>
      </c>
      <c r="CN26" s="5" t="str">
        <f t="shared" si="27"/>
        <v>ALTO</v>
      </c>
      <c r="CO26" s="5">
        <v>1</v>
      </c>
      <c r="CP26" s="7">
        <v>5</v>
      </c>
      <c r="CQ26" s="7">
        <v>5</v>
      </c>
      <c r="CR26" s="7">
        <v>5</v>
      </c>
      <c r="CS26" s="5">
        <f t="shared" si="28"/>
        <v>5</v>
      </c>
      <c r="CT26" s="5" t="str">
        <f t="shared" si="29"/>
        <v>SUPERIOR</v>
      </c>
      <c r="CU26" s="5">
        <v>2</v>
      </c>
      <c r="CV26" s="7">
        <v>2</v>
      </c>
      <c r="CW26" s="7">
        <v>2</v>
      </c>
      <c r="CX26" s="7">
        <v>2</v>
      </c>
      <c r="CY26" s="5">
        <f t="shared" si="30"/>
        <v>2</v>
      </c>
      <c r="CZ26" s="5" t="str">
        <f t="shared" si="31"/>
        <v>BAJO</v>
      </c>
      <c r="DA26" s="5">
        <v>2</v>
      </c>
      <c r="DB26" s="7">
        <v>2</v>
      </c>
      <c r="DC26" s="7">
        <v>2</v>
      </c>
      <c r="DD26" s="7">
        <v>3.5</v>
      </c>
      <c r="DE26" s="5">
        <f t="shared" si="32"/>
        <v>2.4500000000000002</v>
      </c>
      <c r="DF26" s="5" t="str">
        <f t="shared" si="33"/>
        <v>BAJO</v>
      </c>
      <c r="DG26" s="5">
        <v>0</v>
      </c>
      <c r="DH26" s="7">
        <v>4</v>
      </c>
      <c r="DI26" s="5" t="str">
        <f t="shared" si="34"/>
        <v>ALTO</v>
      </c>
      <c r="DJ26" s="5">
        <f t="shared" si="35"/>
        <v>3.2158823529411764</v>
      </c>
      <c r="DK26" s="5" t="str">
        <f t="shared" si="36"/>
        <v>Comprende el concepto de números reales, su relación de orden y las propiedades de sus operaciones, así como las relaciones de semejanza y congruencia de distintas figuras geométricas.</v>
      </c>
      <c r="DL26" s="5" t="str">
        <f t="shared" ref="DL26:FJ26" si="67">DL25</f>
        <v>Aplica correctamente las propiedades de las operaciones de números reales y expresiones algebraicas en la resolución de problemas.</v>
      </c>
      <c r="DM26" s="5" t="str">
        <f t="shared" si="67"/>
        <v>Valora el uso del pensamiento lógico a la hora de plantear y resolver problemas de las matemáticas y de la vida cotidiana.</v>
      </c>
      <c r="DN26" s="5" t="str">
        <f t="shared" si="6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6" s="5" t="str">
        <f t="shared" si="67"/>
        <v>Organiza y analiza datos mediante la construcción de tablas de frecuencias y diagramas estadísticos, identificando variables aleatorias y utilizando estas representaciones para resolver situaciones problema.</v>
      </c>
      <c r="DP26" s="5" t="str">
        <f t="shared" si="67"/>
        <v>Muestra disposición y responsabilidad en el manejo y análisis de datos, participando activamente en actividades individuales y colaborativas, y comunicando información estadística con claridad y sentido crítico.</v>
      </c>
      <c r="DQ26" s="5" t="str">
        <f t="shared" si="67"/>
        <v>Analiza las características de la literatura prehispánica y la literatura del descubrimiento y la conquista en Colombia identificando sus elementos fundamentales y su impacto en la cultura y el lenguaje actual.</v>
      </c>
      <c r="DR26" s="5" t="str">
        <f t="shared" si="67"/>
        <v>Realiza comprensión lectora cuando analiza un texto desde el discurso de la Enunciación e identifica la función de cada uno de sus componentes.
Responde preguntas en los tres niveles de lectura a una leyenda del Caribe.</v>
      </c>
      <c r="DS26" s="5" t="str">
        <f t="shared" si="67"/>
        <v>Muestra disposición para participar activamente en las clases, promoviendo el respeto por las ideas ajenas y reconociendo la importancia de la precisión como una herramienta clave para una comunicación</v>
      </c>
      <c r="DT26" s="5" t="str">
        <f t="shared" si="67"/>
        <v>Comprende el contenido del cuento A la deriva, identificando su tema central, la secuencia de los hechos, los personajes y las ideas explícitas e implícitas del texto.</v>
      </c>
      <c r="DU26" s="5" t="str">
        <f t="shared" si="67"/>
        <v>Analiza críticamente el cuento A la deriva mediante la identificación de información literal, inferencial y crítica, sustentando sus respuestas de forma oral y escrita.</v>
      </c>
      <c r="DV26" s="5" t="str">
        <f t="shared" si="67"/>
        <v>Valora la lectura literaria como una oportunidad para reflexionar sobre la vida, la naturaleza y la condición humana, participando con interés, respeto y sentido crítico en las actividades propuestas.</v>
      </c>
      <c r="DW26" s="5" t="str">
        <f t="shared" si="67"/>
        <v>Comprende y reconoce vocabulario y estructuras basicas del ingles para interpretar textos cortos y conversaciones sobre temas cotidianos de la vida diaria.</v>
      </c>
      <c r="DX26" s="5" t="str">
        <f t="shared" si="67"/>
        <v>Produce de forma oral y escrita frases y parrafos cortos en Ingles, utilizando correctamente las estructuras conocidas para describir rutinas, narrar experiencias y participar en conversaciones.</v>
      </c>
      <c r="DY26" s="5" t="str">
        <f t="shared" si="67"/>
        <v>Muestra disposicion positiva hacia el aprendizaje del Ingles participando activamente en clase.</v>
      </c>
      <c r="DZ26" s="5" t="str">
        <f t="shared" si="67"/>
        <v>Identifica vocabulario en Ingles  de situaciones cotidianas.</v>
      </c>
      <c r="EA26" s="5" t="str">
        <f t="shared" si="67"/>
        <v>Participa en actividades utilizando vocabulario aprendido para expresar gustos,emociones y necesidades.</v>
      </c>
      <c r="EB26" s="5" t="str">
        <f t="shared" si="67"/>
        <v>Respeta la opinion de los demas, muestra disposicion para participar en actividades orales.</v>
      </c>
      <c r="EC26" s="5" t="str">
        <f t="shared" si="67"/>
        <v>Identifica la conformación y funcionamiento del sistema inmunolófico y diferencia las característics de los estados de la materia.</v>
      </c>
      <c r="ED26" s="5" t="str">
        <f t="shared" si="67"/>
        <v>Reconoce experimentalmente las características de materiales en los diferentes estados de la materia.</v>
      </c>
      <c r="EE26" s="5" t="str">
        <f t="shared" si="67"/>
        <v xml:space="preserve">Valora la importancia de tener habitos saludables, para lograr el mantenimiento saludable del sistema inmune. </v>
      </c>
      <c r="EF26" s="5" t="str">
        <f t="shared" si="67"/>
        <v>Describe correctamente la secuencia de eventos biologicos de la fecundacion,incluyendo las recciones acrosomicas,la funcion de gametos y la formacion de gametos.</v>
      </c>
      <c r="EG26" s="5" t="str">
        <f t="shared" si="67"/>
        <v>Mide la capacidad del labolatrio para lograr la fecundacion exitosa de los ovulos con el espermatozoide.</v>
      </c>
      <c r="EH26" s="5" t="str">
        <f t="shared" si="67"/>
        <v>Valora la importancia del cuidado del cuerpo y de la salud reproductiva como la base para una fecundacion saludable.</v>
      </c>
      <c r="EI26" s="5" t="str">
        <f t="shared" si="67"/>
        <v>Explico las principales caracteristicas de algunas revoluciones de los siglos XVIII y XIX (Revolucion francesa, Industrial...)</v>
      </c>
      <c r="EJ26" s="5" t="str">
        <f t="shared" si="67"/>
        <v>Analiza las causas y consecuencias de procesos historicos como la Revolucion Industrial y Francesa.</v>
      </c>
      <c r="EK26" s="5" t="str">
        <f t="shared" si="67"/>
        <v>Muestra interes y curiosidad por comprender los procesos historicos y su impacto en la sociedad.</v>
      </c>
      <c r="EL26" s="5" t="str">
        <f t="shared" si="67"/>
        <v xml:space="preserve">Identifica los procesos historicos de algunas revoluciones de los siglos XVIII y XIX </v>
      </c>
      <c r="EM26" s="5">
        <f t="shared" si="67"/>
        <v>0</v>
      </c>
      <c r="EN26" s="5">
        <f t="shared" si="67"/>
        <v>0</v>
      </c>
      <c r="EO26" s="5" t="str">
        <f t="shared" si="67"/>
        <v xml:space="preserve">Comprende la distribucion espacial de la poblacion antes y despues de las revoluciones </v>
      </c>
      <c r="EP26" s="5" t="str">
        <f t="shared" si="67"/>
        <v xml:space="preserve">Ubica en mapas las regiones donde se desarrollaron las principales revoluciones y explica sus caracteristicas geograficas </v>
      </c>
      <c r="EQ26" s="5" t="str">
        <f t="shared" si="67"/>
        <v>Muestra interes por comprender la relacion entre sociedad, economia y territorio</v>
      </c>
      <c r="ER26" s="5" t="str">
        <f t="shared" si="67"/>
        <v>Comprende el concepto de cultura de paz y su importancia en la sociedad</v>
      </c>
      <c r="ES26" s="5" t="str">
        <f t="shared" si="67"/>
        <v>Practica normas de convivencia en diferentes espacios( aula, hogar, comunidad)</v>
      </c>
      <c r="ET26" s="5" t="str">
        <f t="shared" si="67"/>
        <v>Muestra actitud de respeto hacia la diversidad cuktural, social y de pensamiento</v>
      </c>
      <c r="EU26" s="5">
        <f t="shared" si="67"/>
        <v>0</v>
      </c>
      <c r="EV26" s="5">
        <f t="shared" si="67"/>
        <v>0</v>
      </c>
      <c r="EW26" s="5">
        <f t="shared" si="67"/>
        <v>0</v>
      </c>
      <c r="EX26" s="5">
        <f t="shared" si="67"/>
        <v>0</v>
      </c>
      <c r="EY26" s="5">
        <f t="shared" si="67"/>
        <v>0</v>
      </c>
      <c r="EZ26" s="5">
        <f t="shared" si="67"/>
        <v>0</v>
      </c>
      <c r="FA26" s="5">
        <f t="shared" si="67"/>
        <v>0</v>
      </c>
      <c r="FB26" s="5">
        <f t="shared" si="67"/>
        <v>0</v>
      </c>
      <c r="FC26" s="5">
        <f t="shared" si="67"/>
        <v>0</v>
      </c>
      <c r="FD26" s="5" t="str">
        <f t="shared" si="67"/>
        <v xml:space="preserve"> Identifica las expresiones motrices relacionadas con el juego del voleibol,  como una oportunidad para mejorar la salud, la estética y las relaciones con los demás.</v>
      </c>
      <c r="FE26" s="5" t="str">
        <f t="shared" si="67"/>
        <v>Pone en práctica los fundamentos básicos del voleibol.</v>
      </c>
      <c r="FF26" s="5" t="str">
        <f t="shared" si="67"/>
        <v>Muestra  responsabilidad y buena actitud al realizar el juego de voleibol.</v>
      </c>
      <c r="FG26" s="5" t="str">
        <f t="shared" si="67"/>
        <v>Comprende el concepto de variable como espacio de almacenamiento de datos y reconoce el uso de estructuras condicionales (si, si-no) para la toma de decisiones en un programa.</v>
      </c>
      <c r="FH26" s="5" t="str">
        <f t="shared" si="67"/>
        <v>Diseña y desarrolla programas que utilizan variables y estructuras condicionales para resolver problemas, evaluando condiciones y generando respuestas según diferentes situaciones.</v>
      </c>
      <c r="FI26" s="5" t="str">
        <f t="shared" si="67"/>
        <v>Muestra pensamiento lógico, perseverancia y actitud crítica al analizar errores y proponer soluciones en la construcción de programas con variables y condicionales.</v>
      </c>
      <c r="FJ26" s="5" t="str">
        <f t="shared" si="67"/>
        <v>Identifica y reconoce sus pricipales deberes y derechos dentro y fuera  de la Institución educativa.</v>
      </c>
    </row>
    <row r="27" spans="1:166" ht="15.75" customHeight="1">
      <c r="A27" s="5">
        <v>26</v>
      </c>
      <c r="B27" s="5" t="s">
        <v>201</v>
      </c>
      <c r="C27" s="6" t="s">
        <v>202</v>
      </c>
      <c r="D27" s="5" t="s">
        <v>176</v>
      </c>
      <c r="E27" s="5" t="s">
        <v>177</v>
      </c>
      <c r="F27" s="5" t="s">
        <v>70</v>
      </c>
      <c r="G27" s="5" t="s">
        <v>71</v>
      </c>
      <c r="H27" s="5">
        <v>2026</v>
      </c>
      <c r="I27" s="7">
        <v>4</v>
      </c>
      <c r="J27" s="7">
        <v>3</v>
      </c>
      <c r="K27" s="7">
        <v>3.2</v>
      </c>
      <c r="L27" s="7">
        <v>3.4</v>
      </c>
      <c r="M27" s="5">
        <f t="shared" si="41"/>
        <v>3.2</v>
      </c>
      <c r="N27" s="5" t="str">
        <f t="shared" si="1"/>
        <v>BASICO</v>
      </c>
      <c r="O27" s="5">
        <v>1</v>
      </c>
      <c r="P27" s="7">
        <v>4.5</v>
      </c>
      <c r="Q27" s="7">
        <v>5</v>
      </c>
      <c r="R27" s="7">
        <v>5</v>
      </c>
      <c r="S27" s="5">
        <f t="shared" si="48"/>
        <v>4.8499999999999996</v>
      </c>
      <c r="T27" s="5" t="str">
        <f t="shared" si="3"/>
        <v>SUPERIOR</v>
      </c>
      <c r="U27" s="5">
        <v>4</v>
      </c>
      <c r="V27" s="7">
        <v>5</v>
      </c>
      <c r="W27" s="7">
        <v>4.5</v>
      </c>
      <c r="X27" s="7">
        <v>4</v>
      </c>
      <c r="Y27" s="5">
        <f t="shared" si="4"/>
        <v>4.5</v>
      </c>
      <c r="Z27" s="5" t="str">
        <f t="shared" si="5"/>
        <v>SUPERIOR</v>
      </c>
      <c r="AA27" s="5">
        <v>1</v>
      </c>
      <c r="AB27" s="7">
        <v>4</v>
      </c>
      <c r="AC27" s="7">
        <v>4</v>
      </c>
      <c r="AD27" s="7">
        <v>4</v>
      </c>
      <c r="AE27" s="5">
        <f t="shared" si="6"/>
        <v>4</v>
      </c>
      <c r="AF27" s="5" t="str">
        <f t="shared" si="7"/>
        <v>ALTO</v>
      </c>
      <c r="AG27" s="5">
        <v>2</v>
      </c>
      <c r="AH27" s="8">
        <v>4</v>
      </c>
      <c r="AI27" s="8">
        <v>4</v>
      </c>
      <c r="AJ27" s="8">
        <v>4</v>
      </c>
      <c r="AK27" s="5">
        <f t="shared" si="8"/>
        <v>4</v>
      </c>
      <c r="AL27" s="5" t="str">
        <f t="shared" si="9"/>
        <v>ALTO</v>
      </c>
      <c r="AM27" s="5">
        <v>1</v>
      </c>
      <c r="AN27" s="8">
        <v>4</v>
      </c>
      <c r="AO27" s="8">
        <v>4</v>
      </c>
      <c r="AP27" s="8">
        <v>4</v>
      </c>
      <c r="AQ27" s="5">
        <f t="shared" si="10"/>
        <v>4</v>
      </c>
      <c r="AR27" s="5" t="str">
        <f t="shared" si="11"/>
        <v>ALTO</v>
      </c>
      <c r="AS27" s="5">
        <v>4</v>
      </c>
      <c r="AT27" s="7">
        <v>4</v>
      </c>
      <c r="AU27" s="7">
        <v>4</v>
      </c>
      <c r="AV27" s="7">
        <v>4</v>
      </c>
      <c r="AW27" s="5">
        <f t="shared" si="12"/>
        <v>4</v>
      </c>
      <c r="AX27" s="5" t="str">
        <f t="shared" si="56"/>
        <v>ALTO</v>
      </c>
      <c r="AY27" s="5">
        <v>1</v>
      </c>
      <c r="AZ27" s="7">
        <v>4.5</v>
      </c>
      <c r="BA27" s="7">
        <v>4.5</v>
      </c>
      <c r="BB27" s="7">
        <v>4.5</v>
      </c>
      <c r="BC27" s="5">
        <f t="shared" si="14"/>
        <v>4.5</v>
      </c>
      <c r="BD27" s="5" t="str">
        <f t="shared" si="15"/>
        <v>SUPERIOR</v>
      </c>
      <c r="BE27" s="7">
        <v>2</v>
      </c>
      <c r="BF27" s="7">
        <v>4</v>
      </c>
      <c r="BG27" s="7">
        <v>4.4000000000000004</v>
      </c>
      <c r="BH27" s="7">
        <v>4.5</v>
      </c>
      <c r="BI27" s="5">
        <f t="shared" ref="BI27:BI28" si="68">((BF27*0.3)+(BG27*0.4)+(BH27*0.3))</f>
        <v>4.3099999999999996</v>
      </c>
      <c r="BJ27" s="5" t="str">
        <f t="shared" si="17"/>
        <v>ALTO</v>
      </c>
      <c r="BK27" s="5">
        <v>1</v>
      </c>
      <c r="BL27" s="7">
        <v>3.8</v>
      </c>
      <c r="BM27" s="7">
        <v>4</v>
      </c>
      <c r="BN27" s="7">
        <v>4</v>
      </c>
      <c r="BO27" s="5">
        <f t="shared" si="58"/>
        <v>3.9400000000000004</v>
      </c>
      <c r="BP27" s="5" t="str">
        <f t="shared" si="19"/>
        <v>BASICO</v>
      </c>
      <c r="BQ27" s="5">
        <v>1</v>
      </c>
      <c r="BR27" s="7">
        <v>3.8</v>
      </c>
      <c r="BS27" s="7">
        <v>4.2</v>
      </c>
      <c r="BT27" s="7">
        <v>4</v>
      </c>
      <c r="BU27" s="5">
        <f t="shared" si="20"/>
        <v>4.0200000000000005</v>
      </c>
      <c r="BV27" s="5" t="str">
        <f t="shared" si="21"/>
        <v>ALTO</v>
      </c>
      <c r="BW27" s="5">
        <v>1</v>
      </c>
      <c r="BX27" s="7">
        <v>3.4</v>
      </c>
      <c r="BY27" s="7">
        <v>3.6</v>
      </c>
      <c r="BZ27" s="7">
        <v>3.4</v>
      </c>
      <c r="CA27" s="5">
        <f t="shared" si="22"/>
        <v>3.48</v>
      </c>
      <c r="CB27" s="5" t="str">
        <f t="shared" si="23"/>
        <v>BASICO</v>
      </c>
      <c r="CC27" s="5">
        <v>1</v>
      </c>
      <c r="CD27" s="7">
        <v>4</v>
      </c>
      <c r="CE27" s="7">
        <v>4.2</v>
      </c>
      <c r="CF27" s="7">
        <v>4.2</v>
      </c>
      <c r="CG27" s="5">
        <f t="shared" si="24"/>
        <v>4.1399999999999997</v>
      </c>
      <c r="CH27" s="5" t="str">
        <f t="shared" si="25"/>
        <v>ALTO</v>
      </c>
      <c r="CI27" s="5">
        <v>1</v>
      </c>
      <c r="CJ27" s="7">
        <v>4</v>
      </c>
      <c r="CK27" s="7">
        <v>4</v>
      </c>
      <c r="CL27" s="7">
        <v>4</v>
      </c>
      <c r="CM27" s="5">
        <f t="shared" si="26"/>
        <v>4</v>
      </c>
      <c r="CN27" s="5" t="str">
        <f t="shared" si="27"/>
        <v>ALTO</v>
      </c>
      <c r="CO27" s="5">
        <v>1</v>
      </c>
      <c r="CP27" s="7">
        <v>5</v>
      </c>
      <c r="CQ27" s="7">
        <v>5</v>
      </c>
      <c r="CR27" s="7">
        <v>5</v>
      </c>
      <c r="CS27" s="5">
        <f t="shared" si="28"/>
        <v>5</v>
      </c>
      <c r="CT27" s="5" t="str">
        <f t="shared" si="29"/>
        <v>SUPERIOR</v>
      </c>
      <c r="CU27" s="5">
        <v>2</v>
      </c>
      <c r="CV27" s="7">
        <v>4</v>
      </c>
      <c r="CW27" s="7">
        <v>4</v>
      </c>
      <c r="CX27" s="7">
        <v>4</v>
      </c>
      <c r="CY27" s="5">
        <f t="shared" si="30"/>
        <v>4</v>
      </c>
      <c r="CZ27" s="5" t="str">
        <f t="shared" si="31"/>
        <v>ALTO</v>
      </c>
      <c r="DA27" s="5">
        <v>2</v>
      </c>
      <c r="DB27" s="7">
        <v>4.3</v>
      </c>
      <c r="DC27" s="7">
        <v>4.3</v>
      </c>
      <c r="DD27" s="7">
        <v>4.5</v>
      </c>
      <c r="DE27" s="5">
        <f t="shared" si="32"/>
        <v>4.3599999999999994</v>
      </c>
      <c r="DF27" s="5" t="str">
        <f t="shared" si="33"/>
        <v>ALTO</v>
      </c>
      <c r="DG27" s="5">
        <v>0</v>
      </c>
      <c r="DH27" s="7">
        <v>4</v>
      </c>
      <c r="DI27" s="5" t="str">
        <f t="shared" si="34"/>
        <v>ALTO</v>
      </c>
      <c r="DJ27" s="5">
        <f t="shared" si="35"/>
        <v>4.1341176470588223</v>
      </c>
      <c r="DK27" s="5" t="str">
        <f t="shared" si="36"/>
        <v>Comprende el concepto de números reales, su relación de orden y las propiedades de sus operaciones, así como las relaciones de semejanza y congruencia de distintas figuras geométricas.</v>
      </c>
      <c r="DL27" s="5" t="str">
        <f t="shared" ref="DL27:FJ27" si="69">DL26</f>
        <v>Aplica correctamente las propiedades de las operaciones de números reales y expresiones algebraicas en la resolución de problemas.</v>
      </c>
      <c r="DM27" s="5" t="str">
        <f t="shared" si="69"/>
        <v>Valora el uso del pensamiento lógico a la hora de plantear y resolver problemas de las matemáticas y de la vida cotidiana.</v>
      </c>
      <c r="DN27" s="5" t="str">
        <f t="shared" si="6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7" s="5" t="str">
        <f t="shared" si="69"/>
        <v>Organiza y analiza datos mediante la construcción de tablas de frecuencias y diagramas estadísticos, identificando variables aleatorias y utilizando estas representaciones para resolver situaciones problema.</v>
      </c>
      <c r="DP27" s="5" t="str">
        <f t="shared" si="69"/>
        <v>Muestra disposición y responsabilidad en el manejo y análisis de datos, participando activamente en actividades individuales y colaborativas, y comunicando información estadística con claridad y sentido crítico.</v>
      </c>
      <c r="DQ27" s="5" t="str">
        <f t="shared" si="69"/>
        <v>Analiza las características de la literatura prehispánica y la literatura del descubrimiento y la conquista en Colombia identificando sus elementos fundamentales y su impacto en la cultura y el lenguaje actual.</v>
      </c>
      <c r="DR27" s="5" t="str">
        <f t="shared" si="69"/>
        <v>Realiza comprensión lectora cuando analiza un texto desde el discurso de la Enunciación e identifica la función de cada uno de sus componentes.
Responde preguntas en los tres niveles de lectura a una leyenda del Caribe.</v>
      </c>
      <c r="DS27" s="5" t="str">
        <f t="shared" si="69"/>
        <v>Muestra disposición para participar activamente en las clases, promoviendo el respeto por las ideas ajenas y reconociendo la importancia de la precisión como una herramienta clave para una comunicación</v>
      </c>
      <c r="DT27" s="5" t="str">
        <f t="shared" si="69"/>
        <v>Comprende el contenido del cuento A la deriva, identificando su tema central, la secuencia de los hechos, los personajes y las ideas explícitas e implícitas del texto.</v>
      </c>
      <c r="DU27" s="5" t="str">
        <f t="shared" si="69"/>
        <v>Analiza críticamente el cuento A la deriva mediante la identificación de información literal, inferencial y crítica, sustentando sus respuestas de forma oral y escrita.</v>
      </c>
      <c r="DV27" s="5" t="str">
        <f t="shared" si="69"/>
        <v>Valora la lectura literaria como una oportunidad para reflexionar sobre la vida, la naturaleza y la condición humana, participando con interés, respeto y sentido crítico en las actividades propuestas.</v>
      </c>
      <c r="DW27" s="5" t="str">
        <f t="shared" si="69"/>
        <v>Comprende y reconoce vocabulario y estructuras basicas del ingles para interpretar textos cortos y conversaciones sobre temas cotidianos de la vida diaria.</v>
      </c>
      <c r="DX27" s="5" t="str">
        <f t="shared" si="69"/>
        <v>Produce de forma oral y escrita frases y parrafos cortos en Ingles, utilizando correctamente las estructuras conocidas para describir rutinas, narrar experiencias y participar en conversaciones.</v>
      </c>
      <c r="DY27" s="5" t="str">
        <f t="shared" si="69"/>
        <v>Muestra disposicion positiva hacia el aprendizaje del Ingles participando activamente en clase.</v>
      </c>
      <c r="DZ27" s="5" t="str">
        <f t="shared" si="69"/>
        <v>Identifica vocabulario en Ingles  de situaciones cotidianas.</v>
      </c>
      <c r="EA27" s="5" t="str">
        <f t="shared" si="69"/>
        <v>Participa en actividades utilizando vocabulario aprendido para expresar gustos,emociones y necesidades.</v>
      </c>
      <c r="EB27" s="5" t="str">
        <f t="shared" si="69"/>
        <v>Respeta la opinion de los demas, muestra disposicion para participar en actividades orales.</v>
      </c>
      <c r="EC27" s="5" t="str">
        <f t="shared" si="69"/>
        <v>Identifica la conformación y funcionamiento del sistema inmunolófico y diferencia las característics de los estados de la materia.</v>
      </c>
      <c r="ED27" s="5" t="str">
        <f t="shared" si="69"/>
        <v>Reconoce experimentalmente las características de materiales en los diferentes estados de la materia.</v>
      </c>
      <c r="EE27" s="5" t="str">
        <f t="shared" si="69"/>
        <v xml:space="preserve">Valora la importancia de tener habitos saludables, para lograr el mantenimiento saludable del sistema inmune. </v>
      </c>
      <c r="EF27" s="5" t="str">
        <f t="shared" si="69"/>
        <v>Describe correctamente la secuencia de eventos biologicos de la fecundacion,incluyendo las recciones acrosomicas,la funcion de gametos y la formacion de gametos.</v>
      </c>
      <c r="EG27" s="5" t="str">
        <f t="shared" si="69"/>
        <v>Mide la capacidad del labolatrio para lograr la fecundacion exitosa de los ovulos con el espermatozoide.</v>
      </c>
      <c r="EH27" s="5" t="str">
        <f t="shared" si="69"/>
        <v>Valora la importancia del cuidado del cuerpo y de la salud reproductiva como la base para una fecundacion saludable.</v>
      </c>
      <c r="EI27" s="5" t="str">
        <f t="shared" si="69"/>
        <v>Explico las principales caracteristicas de algunas revoluciones de los siglos XVIII y XIX (Revolucion francesa, Industrial...)</v>
      </c>
      <c r="EJ27" s="5" t="str">
        <f t="shared" si="69"/>
        <v>Analiza las causas y consecuencias de procesos historicos como la Revolucion Industrial y Francesa.</v>
      </c>
      <c r="EK27" s="5" t="str">
        <f t="shared" si="69"/>
        <v>Muestra interes y curiosidad por comprender los procesos historicos y su impacto en la sociedad.</v>
      </c>
      <c r="EL27" s="5" t="str">
        <f t="shared" si="69"/>
        <v xml:space="preserve">Identifica los procesos historicos de algunas revoluciones de los siglos XVIII y XIX </v>
      </c>
      <c r="EM27" s="5">
        <f t="shared" si="69"/>
        <v>0</v>
      </c>
      <c r="EN27" s="5">
        <f t="shared" si="69"/>
        <v>0</v>
      </c>
      <c r="EO27" s="5" t="str">
        <f t="shared" si="69"/>
        <v xml:space="preserve">Comprende la distribucion espacial de la poblacion antes y despues de las revoluciones </v>
      </c>
      <c r="EP27" s="5" t="str">
        <f t="shared" si="69"/>
        <v xml:space="preserve">Ubica en mapas las regiones donde se desarrollaron las principales revoluciones y explica sus caracteristicas geograficas </v>
      </c>
      <c r="EQ27" s="5" t="str">
        <f t="shared" si="69"/>
        <v>Muestra interes por comprender la relacion entre sociedad, economia y territorio</v>
      </c>
      <c r="ER27" s="5" t="str">
        <f t="shared" si="69"/>
        <v>Comprende el concepto de cultura de paz y su importancia en la sociedad</v>
      </c>
      <c r="ES27" s="5" t="str">
        <f t="shared" si="69"/>
        <v>Practica normas de convivencia en diferentes espacios( aula, hogar, comunidad)</v>
      </c>
      <c r="ET27" s="5" t="str">
        <f t="shared" si="69"/>
        <v>Muestra actitud de respeto hacia la diversidad cuktural, social y de pensamiento</v>
      </c>
      <c r="EU27" s="5">
        <f t="shared" si="69"/>
        <v>0</v>
      </c>
      <c r="EV27" s="5">
        <f t="shared" si="69"/>
        <v>0</v>
      </c>
      <c r="EW27" s="5">
        <f t="shared" si="69"/>
        <v>0</v>
      </c>
      <c r="EX27" s="5">
        <f t="shared" si="69"/>
        <v>0</v>
      </c>
      <c r="EY27" s="5">
        <f t="shared" si="69"/>
        <v>0</v>
      </c>
      <c r="EZ27" s="5">
        <f t="shared" si="69"/>
        <v>0</v>
      </c>
      <c r="FA27" s="5">
        <f t="shared" si="69"/>
        <v>0</v>
      </c>
      <c r="FB27" s="5">
        <f t="shared" si="69"/>
        <v>0</v>
      </c>
      <c r="FC27" s="5">
        <f t="shared" si="69"/>
        <v>0</v>
      </c>
      <c r="FD27" s="5" t="str">
        <f t="shared" si="69"/>
        <v xml:space="preserve"> Identifica las expresiones motrices relacionadas con el juego del voleibol,  como una oportunidad para mejorar la salud, la estética y las relaciones con los demás.</v>
      </c>
      <c r="FE27" s="5" t="str">
        <f t="shared" si="69"/>
        <v>Pone en práctica los fundamentos básicos del voleibol.</v>
      </c>
      <c r="FF27" s="5" t="str">
        <f t="shared" si="69"/>
        <v>Muestra  responsabilidad y buena actitud al realizar el juego de voleibol.</v>
      </c>
      <c r="FG27" s="5" t="str">
        <f t="shared" si="69"/>
        <v>Comprende el concepto de variable como espacio de almacenamiento de datos y reconoce el uso de estructuras condicionales (si, si-no) para la toma de decisiones en un programa.</v>
      </c>
      <c r="FH27" s="5" t="str">
        <f t="shared" si="69"/>
        <v>Diseña y desarrolla programas que utilizan variables y estructuras condicionales para resolver problemas, evaluando condiciones y generando respuestas según diferentes situaciones.</v>
      </c>
      <c r="FI27" s="5" t="str">
        <f t="shared" si="69"/>
        <v>Muestra pensamiento lógico, perseverancia y actitud crítica al analizar errores y proponer soluciones en la construcción de programas con variables y condicionales.</v>
      </c>
      <c r="FJ27" s="5" t="str">
        <f t="shared" si="69"/>
        <v>Identifica y reconoce sus pricipales deberes y derechos dentro y fuera  de la Institución educativa.</v>
      </c>
    </row>
    <row r="28" spans="1:166" ht="15.75" customHeight="1">
      <c r="A28" s="5">
        <v>27</v>
      </c>
      <c r="B28" s="5" t="s">
        <v>203</v>
      </c>
      <c r="C28" s="6">
        <v>1048073084</v>
      </c>
      <c r="D28" s="5" t="s">
        <v>176</v>
      </c>
      <c r="E28" s="5" t="s">
        <v>177</v>
      </c>
      <c r="F28" s="5" t="s">
        <v>70</v>
      </c>
      <c r="G28" s="5" t="s">
        <v>71</v>
      </c>
      <c r="H28" s="5">
        <v>2026</v>
      </c>
      <c r="I28" s="5">
        <v>4</v>
      </c>
      <c r="J28" s="7">
        <v>2.4</v>
      </c>
      <c r="K28" s="7">
        <v>2.5</v>
      </c>
      <c r="L28" s="7">
        <v>2.6</v>
      </c>
      <c r="M28" s="5">
        <f t="shared" si="41"/>
        <v>2.5</v>
      </c>
      <c r="N28" s="5" t="str">
        <f t="shared" si="1"/>
        <v>BAJO</v>
      </c>
      <c r="O28" s="5">
        <v>1</v>
      </c>
      <c r="P28" s="7">
        <v>2.5</v>
      </c>
      <c r="Q28" s="7">
        <v>2.5</v>
      </c>
      <c r="R28" s="7">
        <v>2.5</v>
      </c>
      <c r="S28" s="5">
        <f t="shared" si="48"/>
        <v>2.5</v>
      </c>
      <c r="T28" s="5" t="str">
        <f t="shared" si="3"/>
        <v>BAJO</v>
      </c>
      <c r="U28" s="5">
        <v>4</v>
      </c>
      <c r="V28" s="7">
        <v>4</v>
      </c>
      <c r="W28" s="7">
        <v>3</v>
      </c>
      <c r="X28" s="7">
        <v>4</v>
      </c>
      <c r="Y28" s="5">
        <f t="shared" si="4"/>
        <v>3.6000000000000005</v>
      </c>
      <c r="Z28" s="5" t="str">
        <f t="shared" si="5"/>
        <v>BASICO</v>
      </c>
      <c r="AA28" s="5">
        <v>1</v>
      </c>
      <c r="AB28" s="7">
        <v>2</v>
      </c>
      <c r="AC28" s="7">
        <v>2</v>
      </c>
      <c r="AD28" s="7">
        <v>2</v>
      </c>
      <c r="AE28" s="5">
        <f t="shared" si="6"/>
        <v>2</v>
      </c>
      <c r="AF28" s="5" t="str">
        <f t="shared" si="7"/>
        <v>BAJO</v>
      </c>
      <c r="AG28" s="5">
        <v>2</v>
      </c>
      <c r="AH28" s="8">
        <v>2</v>
      </c>
      <c r="AI28" s="8">
        <v>3</v>
      </c>
      <c r="AJ28" s="8">
        <v>3</v>
      </c>
      <c r="AK28" s="5">
        <f t="shared" si="8"/>
        <v>2.7</v>
      </c>
      <c r="AL28" s="5" t="str">
        <f t="shared" si="9"/>
        <v>BAJO</v>
      </c>
      <c r="AM28" s="5">
        <v>1</v>
      </c>
      <c r="AN28" s="8">
        <v>2</v>
      </c>
      <c r="AO28" s="8">
        <v>3</v>
      </c>
      <c r="AP28" s="8">
        <v>3</v>
      </c>
      <c r="AQ28" s="5">
        <f t="shared" si="10"/>
        <v>2.7</v>
      </c>
      <c r="AR28" s="5" t="str">
        <f t="shared" si="11"/>
        <v>BAJO</v>
      </c>
      <c r="AS28" s="5">
        <v>4</v>
      </c>
      <c r="AT28" s="7">
        <v>3.4</v>
      </c>
      <c r="AU28" s="7">
        <v>3.4</v>
      </c>
      <c r="AV28" s="7">
        <v>3.4</v>
      </c>
      <c r="AW28" s="5">
        <f t="shared" si="12"/>
        <v>3.4</v>
      </c>
      <c r="AX28" s="5" t="str">
        <f t="shared" si="56"/>
        <v>BASICO</v>
      </c>
      <c r="AY28" s="5">
        <v>1</v>
      </c>
      <c r="AZ28" s="7">
        <v>3.5</v>
      </c>
      <c r="BA28" s="7">
        <v>3.5</v>
      </c>
      <c r="BB28" s="7">
        <v>3.5</v>
      </c>
      <c r="BC28" s="5">
        <f t="shared" si="14"/>
        <v>3.5</v>
      </c>
      <c r="BD28" s="5" t="str">
        <f t="shared" si="15"/>
        <v>BASICO</v>
      </c>
      <c r="BE28" s="7">
        <v>2</v>
      </c>
      <c r="BF28" s="7">
        <v>2</v>
      </c>
      <c r="BG28" s="7">
        <v>2.2000000000000002</v>
      </c>
      <c r="BH28" s="7">
        <v>2.5</v>
      </c>
      <c r="BI28" s="5">
        <f t="shared" si="68"/>
        <v>2.23</v>
      </c>
      <c r="BJ28" s="5" t="str">
        <f t="shared" si="17"/>
        <v>BAJO</v>
      </c>
      <c r="BK28" s="5">
        <v>1</v>
      </c>
      <c r="BL28" s="7">
        <v>3.3</v>
      </c>
      <c r="BM28" s="7">
        <v>2.8</v>
      </c>
      <c r="BN28" s="7">
        <v>2.5</v>
      </c>
      <c r="BO28" s="5">
        <f t="shared" si="58"/>
        <v>2.86</v>
      </c>
      <c r="BP28" s="5" t="str">
        <f t="shared" si="19"/>
        <v>BAJO</v>
      </c>
      <c r="BQ28" s="5">
        <v>1</v>
      </c>
      <c r="BR28" s="7">
        <v>2.9</v>
      </c>
      <c r="BS28" s="7">
        <v>2.2000000000000002</v>
      </c>
      <c r="BT28" s="7">
        <v>2.8</v>
      </c>
      <c r="BU28" s="5">
        <f t="shared" si="20"/>
        <v>2.59</v>
      </c>
      <c r="BV28" s="5" t="str">
        <f t="shared" si="21"/>
        <v>BAJO</v>
      </c>
      <c r="BW28" s="5">
        <v>1</v>
      </c>
      <c r="BX28" s="7">
        <v>3.3</v>
      </c>
      <c r="BY28" s="7">
        <v>3.2</v>
      </c>
      <c r="BZ28" s="7">
        <v>3</v>
      </c>
      <c r="CA28" s="5">
        <f t="shared" si="22"/>
        <v>3.17</v>
      </c>
      <c r="CB28" s="5" t="str">
        <f t="shared" si="23"/>
        <v>BASICO</v>
      </c>
      <c r="CC28" s="5">
        <v>1</v>
      </c>
      <c r="CD28" s="7">
        <v>2</v>
      </c>
      <c r="CE28" s="7">
        <v>2</v>
      </c>
      <c r="CF28" s="7">
        <v>2</v>
      </c>
      <c r="CG28" s="5">
        <f t="shared" si="24"/>
        <v>2</v>
      </c>
      <c r="CH28" s="5" t="str">
        <f t="shared" si="25"/>
        <v>BAJO</v>
      </c>
      <c r="CI28" s="5">
        <v>1</v>
      </c>
      <c r="CJ28" s="7"/>
      <c r="CK28" s="7"/>
      <c r="CL28" s="7"/>
      <c r="CM28" s="5">
        <f t="shared" si="26"/>
        <v>0</v>
      </c>
      <c r="CN28" s="5" t="str">
        <f t="shared" si="27"/>
        <v>BAJO</v>
      </c>
      <c r="CO28" s="5">
        <v>1</v>
      </c>
      <c r="CP28" s="7">
        <v>4</v>
      </c>
      <c r="CQ28" s="7">
        <v>4</v>
      </c>
      <c r="CR28" s="7">
        <v>4</v>
      </c>
      <c r="CS28" s="5">
        <f t="shared" si="28"/>
        <v>4</v>
      </c>
      <c r="CT28" s="5" t="str">
        <f t="shared" si="29"/>
        <v>ALTO</v>
      </c>
      <c r="CU28" s="5">
        <v>2</v>
      </c>
      <c r="CV28" s="7">
        <v>3</v>
      </c>
      <c r="CW28" s="7">
        <v>3</v>
      </c>
      <c r="CX28" s="7">
        <v>3</v>
      </c>
      <c r="CY28" s="5">
        <f t="shared" si="30"/>
        <v>3</v>
      </c>
      <c r="CZ28" s="5" t="str">
        <f t="shared" si="31"/>
        <v>BASICO</v>
      </c>
      <c r="DA28" s="5">
        <v>2</v>
      </c>
      <c r="DB28" s="7">
        <v>2.5</v>
      </c>
      <c r="DC28" s="7">
        <v>2.8</v>
      </c>
      <c r="DD28" s="7">
        <v>3.8</v>
      </c>
      <c r="DE28" s="5">
        <f t="shared" si="32"/>
        <v>3.01</v>
      </c>
      <c r="DF28" s="5" t="str">
        <f t="shared" si="33"/>
        <v>BASICO</v>
      </c>
      <c r="DG28" s="5">
        <v>0</v>
      </c>
      <c r="DH28" s="7">
        <v>3.5</v>
      </c>
      <c r="DI28" s="5" t="str">
        <f t="shared" si="34"/>
        <v>BASICO</v>
      </c>
      <c r="DJ28" s="5">
        <f t="shared" si="35"/>
        <v>2.7452941176470591</v>
      </c>
      <c r="DK28" s="5" t="str">
        <f t="shared" si="36"/>
        <v>Comprende el concepto de números reales, su relación de orden y las propiedades de sus operaciones, así como las relaciones de semejanza y congruencia de distintas figuras geométricas.</v>
      </c>
      <c r="DL28" s="5" t="str">
        <f t="shared" ref="DL28:FJ28" si="70">DL27</f>
        <v>Aplica correctamente las propiedades de las operaciones de números reales y expresiones algebraicas en la resolución de problemas.</v>
      </c>
      <c r="DM28" s="5" t="str">
        <f t="shared" si="70"/>
        <v>Valora el uso del pensamiento lógico a la hora de plantear y resolver problemas de las matemáticas y de la vida cotidiana.</v>
      </c>
      <c r="DN28" s="5" t="str">
        <f t="shared" si="7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8" s="5" t="str">
        <f t="shared" si="70"/>
        <v>Organiza y analiza datos mediante la construcción de tablas de frecuencias y diagramas estadísticos, identificando variables aleatorias y utilizando estas representaciones para resolver situaciones problema.</v>
      </c>
      <c r="DP28" s="5" t="str">
        <f t="shared" si="70"/>
        <v>Muestra disposición y responsabilidad en el manejo y análisis de datos, participando activamente en actividades individuales y colaborativas, y comunicando información estadística con claridad y sentido crítico.</v>
      </c>
      <c r="DQ28" s="5" t="str">
        <f t="shared" si="70"/>
        <v>Analiza las características de la literatura prehispánica y la literatura del descubrimiento y la conquista en Colombia identificando sus elementos fundamentales y su impacto en la cultura y el lenguaje actual.</v>
      </c>
      <c r="DR28" s="5" t="str">
        <f t="shared" si="70"/>
        <v>Realiza comprensión lectora cuando analiza un texto desde el discurso de la Enunciación e identifica la función de cada uno de sus componentes.
Responde preguntas en los tres niveles de lectura a una leyenda del Caribe.</v>
      </c>
      <c r="DS28" s="5" t="str">
        <f t="shared" si="70"/>
        <v>Muestra disposición para participar activamente en las clases, promoviendo el respeto por las ideas ajenas y reconociendo la importancia de la precisión como una herramienta clave para una comunicación</v>
      </c>
      <c r="DT28" s="5" t="str">
        <f t="shared" si="70"/>
        <v>Comprende el contenido del cuento A la deriva, identificando su tema central, la secuencia de los hechos, los personajes y las ideas explícitas e implícitas del texto.</v>
      </c>
      <c r="DU28" s="5" t="str">
        <f t="shared" si="70"/>
        <v>Analiza críticamente el cuento A la deriva mediante la identificación de información literal, inferencial y crítica, sustentando sus respuestas de forma oral y escrita.</v>
      </c>
      <c r="DV28" s="5" t="str">
        <f t="shared" si="70"/>
        <v>Valora la lectura literaria como una oportunidad para reflexionar sobre la vida, la naturaleza y la condición humana, participando con interés, respeto y sentido crítico en las actividades propuestas.</v>
      </c>
      <c r="DW28" s="5" t="str">
        <f t="shared" si="70"/>
        <v>Comprende y reconoce vocabulario y estructuras basicas del ingles para interpretar textos cortos y conversaciones sobre temas cotidianos de la vida diaria.</v>
      </c>
      <c r="DX28" s="5" t="str">
        <f t="shared" si="70"/>
        <v>Produce de forma oral y escrita frases y parrafos cortos en Ingles, utilizando correctamente las estructuras conocidas para describir rutinas, narrar experiencias y participar en conversaciones.</v>
      </c>
      <c r="DY28" s="5" t="str">
        <f t="shared" si="70"/>
        <v>Muestra disposicion positiva hacia el aprendizaje del Ingles participando activamente en clase.</v>
      </c>
      <c r="DZ28" s="5" t="str">
        <f t="shared" si="70"/>
        <v>Identifica vocabulario en Ingles  de situaciones cotidianas.</v>
      </c>
      <c r="EA28" s="5" t="str">
        <f t="shared" si="70"/>
        <v>Participa en actividades utilizando vocabulario aprendido para expresar gustos,emociones y necesidades.</v>
      </c>
      <c r="EB28" s="5" t="str">
        <f t="shared" si="70"/>
        <v>Respeta la opinion de los demas, muestra disposicion para participar en actividades orales.</v>
      </c>
      <c r="EC28" s="5" t="str">
        <f t="shared" si="70"/>
        <v>Identifica la conformación y funcionamiento del sistema inmunolófico y diferencia las característics de los estados de la materia.</v>
      </c>
      <c r="ED28" s="5" t="str">
        <f t="shared" si="70"/>
        <v>Reconoce experimentalmente las características de materiales en los diferentes estados de la materia.</v>
      </c>
      <c r="EE28" s="5" t="str">
        <f t="shared" si="70"/>
        <v xml:space="preserve">Valora la importancia de tener habitos saludables, para lograr el mantenimiento saludable del sistema inmune. </v>
      </c>
      <c r="EF28" s="5" t="str">
        <f t="shared" si="70"/>
        <v>Describe correctamente la secuencia de eventos biologicos de la fecundacion,incluyendo las recciones acrosomicas,la funcion de gametos y la formacion de gametos.</v>
      </c>
      <c r="EG28" s="5" t="str">
        <f t="shared" si="70"/>
        <v>Mide la capacidad del labolatrio para lograr la fecundacion exitosa de los ovulos con el espermatozoide.</v>
      </c>
      <c r="EH28" s="5" t="str">
        <f t="shared" si="70"/>
        <v>Valora la importancia del cuidado del cuerpo y de la salud reproductiva como la base para una fecundacion saludable.</v>
      </c>
      <c r="EI28" s="5" t="str">
        <f t="shared" si="70"/>
        <v>Explico las principales caracteristicas de algunas revoluciones de los siglos XVIII y XIX (Revolucion francesa, Industrial...)</v>
      </c>
      <c r="EJ28" s="5" t="str">
        <f t="shared" si="70"/>
        <v>Analiza las causas y consecuencias de procesos historicos como la Revolucion Industrial y Francesa.</v>
      </c>
      <c r="EK28" s="5" t="str">
        <f t="shared" si="70"/>
        <v>Muestra interes y curiosidad por comprender los procesos historicos y su impacto en la sociedad.</v>
      </c>
      <c r="EL28" s="5" t="str">
        <f t="shared" si="70"/>
        <v xml:space="preserve">Identifica los procesos historicos de algunas revoluciones de los siglos XVIII y XIX </v>
      </c>
      <c r="EM28" s="5">
        <f t="shared" si="70"/>
        <v>0</v>
      </c>
      <c r="EN28" s="5">
        <f t="shared" si="70"/>
        <v>0</v>
      </c>
      <c r="EO28" s="5" t="str">
        <f t="shared" si="70"/>
        <v xml:space="preserve">Comprende la distribucion espacial de la poblacion antes y despues de las revoluciones </v>
      </c>
      <c r="EP28" s="5" t="str">
        <f t="shared" si="70"/>
        <v xml:space="preserve">Ubica en mapas las regiones donde se desarrollaron las principales revoluciones y explica sus caracteristicas geograficas </v>
      </c>
      <c r="EQ28" s="5" t="str">
        <f t="shared" si="70"/>
        <v>Muestra interes por comprender la relacion entre sociedad, economia y territorio</v>
      </c>
      <c r="ER28" s="5" t="str">
        <f t="shared" si="70"/>
        <v>Comprende el concepto de cultura de paz y su importancia en la sociedad</v>
      </c>
      <c r="ES28" s="5" t="str">
        <f t="shared" si="70"/>
        <v>Practica normas de convivencia en diferentes espacios( aula, hogar, comunidad)</v>
      </c>
      <c r="ET28" s="5" t="str">
        <f t="shared" si="70"/>
        <v>Muestra actitud de respeto hacia la diversidad cuktural, social y de pensamiento</v>
      </c>
      <c r="EU28" s="5">
        <f t="shared" si="70"/>
        <v>0</v>
      </c>
      <c r="EV28" s="5">
        <f t="shared" si="70"/>
        <v>0</v>
      </c>
      <c r="EW28" s="5">
        <f t="shared" si="70"/>
        <v>0</v>
      </c>
      <c r="EX28" s="5">
        <f t="shared" si="70"/>
        <v>0</v>
      </c>
      <c r="EY28" s="5">
        <f t="shared" si="70"/>
        <v>0</v>
      </c>
      <c r="EZ28" s="5">
        <f t="shared" si="70"/>
        <v>0</v>
      </c>
      <c r="FA28" s="5">
        <f t="shared" si="70"/>
        <v>0</v>
      </c>
      <c r="FB28" s="5">
        <f t="shared" si="70"/>
        <v>0</v>
      </c>
      <c r="FC28" s="5">
        <f t="shared" si="70"/>
        <v>0</v>
      </c>
      <c r="FD28" s="5" t="str">
        <f t="shared" si="70"/>
        <v xml:space="preserve"> Identifica las expresiones motrices relacionadas con el juego del voleibol,  como una oportunidad para mejorar la salud, la estética y las relaciones con los demás.</v>
      </c>
      <c r="FE28" s="5" t="str">
        <f t="shared" si="70"/>
        <v>Pone en práctica los fundamentos básicos del voleibol.</v>
      </c>
      <c r="FF28" s="5" t="str">
        <f t="shared" si="70"/>
        <v>Muestra  responsabilidad y buena actitud al realizar el juego de voleibol.</v>
      </c>
      <c r="FG28" s="5" t="str">
        <f t="shared" si="70"/>
        <v>Comprende el concepto de variable como espacio de almacenamiento de datos y reconoce el uso de estructuras condicionales (si, si-no) para la toma de decisiones en un programa.</v>
      </c>
      <c r="FH28" s="5" t="str">
        <f t="shared" si="70"/>
        <v>Diseña y desarrolla programas que utilizan variables y estructuras condicionales para resolver problemas, evaluando condiciones y generando respuestas según diferentes situaciones.</v>
      </c>
      <c r="FI28" s="5" t="str">
        <f t="shared" si="70"/>
        <v>Muestra pensamiento lógico, perseverancia y actitud crítica al analizar errores y proponer soluciones en la construcción de programas con variables y condicionales.</v>
      </c>
      <c r="FJ28" s="5" t="str">
        <f t="shared" si="70"/>
        <v>Identifica y reconoce sus pricipales deberes y derechos dentro y fuera  de la Institución educativa.</v>
      </c>
    </row>
    <row r="29" spans="1:166" ht="15.75" customHeight="1">
      <c r="A29" s="5">
        <v>28</v>
      </c>
      <c r="B29" s="5" t="s">
        <v>204</v>
      </c>
      <c r="C29" s="6">
        <v>1044648171</v>
      </c>
      <c r="D29" s="5" t="s">
        <v>176</v>
      </c>
      <c r="E29" s="5" t="s">
        <v>177</v>
      </c>
      <c r="F29" s="5" t="s">
        <v>70</v>
      </c>
      <c r="G29" s="5" t="s">
        <v>71</v>
      </c>
      <c r="H29" s="5">
        <v>2026</v>
      </c>
      <c r="I29" s="5">
        <v>4</v>
      </c>
      <c r="J29" s="7">
        <v>3</v>
      </c>
      <c r="K29" s="7">
        <v>3</v>
      </c>
      <c r="L29" s="7">
        <v>3</v>
      </c>
      <c r="M29" s="5">
        <f t="shared" si="41"/>
        <v>3</v>
      </c>
      <c r="N29" s="5" t="str">
        <f t="shared" si="1"/>
        <v>BASICO</v>
      </c>
      <c r="O29" s="5">
        <v>1</v>
      </c>
      <c r="P29" s="7">
        <v>3</v>
      </c>
      <c r="Q29" s="7">
        <v>3</v>
      </c>
      <c r="R29" s="7">
        <v>3</v>
      </c>
      <c r="S29" s="5">
        <f t="shared" si="48"/>
        <v>3</v>
      </c>
      <c r="T29" s="5" t="str">
        <f t="shared" si="3"/>
        <v>BASICO</v>
      </c>
      <c r="U29" s="5">
        <v>4</v>
      </c>
      <c r="V29" s="7">
        <v>3</v>
      </c>
      <c r="W29" s="7">
        <v>4</v>
      </c>
      <c r="X29" s="7">
        <v>4</v>
      </c>
      <c r="Y29" s="5">
        <f t="shared" si="4"/>
        <v>3.7</v>
      </c>
      <c r="Z29" s="5" t="str">
        <f t="shared" si="5"/>
        <v>BASICO</v>
      </c>
      <c r="AA29" s="5">
        <v>1</v>
      </c>
      <c r="AB29" s="7">
        <v>4</v>
      </c>
      <c r="AC29" s="7">
        <v>4</v>
      </c>
      <c r="AD29" s="7">
        <v>4</v>
      </c>
      <c r="AE29" s="5">
        <f t="shared" si="6"/>
        <v>4</v>
      </c>
      <c r="AF29" s="5" t="str">
        <f t="shared" si="7"/>
        <v>ALTO</v>
      </c>
      <c r="AG29" s="5">
        <v>2</v>
      </c>
      <c r="AH29" s="8">
        <v>4</v>
      </c>
      <c r="AI29" s="8">
        <v>4</v>
      </c>
      <c r="AJ29" s="8">
        <v>4</v>
      </c>
      <c r="AK29" s="5">
        <f t="shared" si="8"/>
        <v>4</v>
      </c>
      <c r="AL29" s="5" t="str">
        <f t="shared" si="9"/>
        <v>ALTO</v>
      </c>
      <c r="AM29" s="5">
        <v>1</v>
      </c>
      <c r="AN29" s="8">
        <v>4</v>
      </c>
      <c r="AO29" s="8">
        <v>4</v>
      </c>
      <c r="AP29" s="8">
        <v>4</v>
      </c>
      <c r="AQ29" s="5">
        <f t="shared" si="10"/>
        <v>4</v>
      </c>
      <c r="AR29" s="5" t="str">
        <f t="shared" si="11"/>
        <v>ALTO</v>
      </c>
      <c r="AS29" s="5">
        <v>4</v>
      </c>
      <c r="AT29" s="7">
        <v>3.5</v>
      </c>
      <c r="AU29" s="7">
        <v>3.5</v>
      </c>
      <c r="AV29" s="7">
        <v>3.5</v>
      </c>
      <c r="AW29" s="5">
        <f t="shared" si="12"/>
        <v>3.5</v>
      </c>
      <c r="AX29" s="5" t="str">
        <f t="shared" si="56"/>
        <v>BASICO</v>
      </c>
      <c r="AY29" s="5">
        <v>1</v>
      </c>
      <c r="AZ29" s="7">
        <v>3</v>
      </c>
      <c r="BA29" s="7">
        <v>3</v>
      </c>
      <c r="BB29" s="7">
        <v>3</v>
      </c>
      <c r="BC29" s="5">
        <f t="shared" si="14"/>
        <v>3</v>
      </c>
      <c r="BD29" s="5" t="str">
        <f t="shared" si="15"/>
        <v>BASICO</v>
      </c>
      <c r="BE29" s="7">
        <v>2</v>
      </c>
      <c r="BF29" s="7">
        <v>3.3</v>
      </c>
      <c r="BG29" s="7">
        <v>3.4</v>
      </c>
      <c r="BH29" s="7">
        <v>3.6</v>
      </c>
      <c r="BI29" s="7">
        <v>3.4</v>
      </c>
      <c r="BJ29" s="5" t="str">
        <f t="shared" si="17"/>
        <v>BASICO</v>
      </c>
      <c r="BK29" s="5">
        <v>1</v>
      </c>
      <c r="BL29" s="7">
        <v>3.2</v>
      </c>
      <c r="BM29" s="7">
        <v>3.3</v>
      </c>
      <c r="BN29" s="7">
        <v>3.6</v>
      </c>
      <c r="BO29" s="5">
        <f t="shared" si="58"/>
        <v>3.3600000000000003</v>
      </c>
      <c r="BP29" s="5" t="str">
        <f t="shared" si="19"/>
        <v>BASICO</v>
      </c>
      <c r="BQ29" s="5">
        <v>1</v>
      </c>
      <c r="BR29" s="7">
        <v>3.3</v>
      </c>
      <c r="BS29" s="7">
        <v>3.8</v>
      </c>
      <c r="BT29" s="7">
        <v>3.5</v>
      </c>
      <c r="BU29" s="5">
        <f t="shared" si="20"/>
        <v>3.5599999999999996</v>
      </c>
      <c r="BV29" s="5" t="str">
        <f t="shared" si="21"/>
        <v>BASICO</v>
      </c>
      <c r="BW29" s="5">
        <v>1</v>
      </c>
      <c r="BX29" s="7">
        <v>3.3</v>
      </c>
      <c r="BY29" s="7">
        <v>3.6</v>
      </c>
      <c r="BZ29" s="7">
        <v>3.9</v>
      </c>
      <c r="CA29" s="5">
        <f t="shared" si="22"/>
        <v>3.6</v>
      </c>
      <c r="CB29" s="5" t="str">
        <f t="shared" si="23"/>
        <v>BASICO</v>
      </c>
      <c r="CC29" s="5">
        <v>1</v>
      </c>
      <c r="CD29" s="7">
        <v>3.7</v>
      </c>
      <c r="CE29" s="7">
        <v>3.5</v>
      </c>
      <c r="CF29" s="7">
        <v>3.5</v>
      </c>
      <c r="CG29" s="5">
        <f t="shared" si="24"/>
        <v>3.5600000000000005</v>
      </c>
      <c r="CH29" s="5" t="str">
        <f t="shared" si="25"/>
        <v>BASICO</v>
      </c>
      <c r="CI29" s="5">
        <v>1</v>
      </c>
      <c r="CJ29" s="7">
        <v>4.3</v>
      </c>
      <c r="CK29" s="7">
        <v>4.3</v>
      </c>
      <c r="CL29" s="7">
        <v>4.4000000000000004</v>
      </c>
      <c r="CM29" s="5">
        <f t="shared" si="26"/>
        <v>4.33</v>
      </c>
      <c r="CN29" s="5" t="str">
        <f t="shared" si="27"/>
        <v>ALTO</v>
      </c>
      <c r="CO29" s="5">
        <v>1</v>
      </c>
      <c r="CP29" s="7">
        <v>5</v>
      </c>
      <c r="CQ29" s="7">
        <v>5</v>
      </c>
      <c r="CR29" s="7">
        <v>5</v>
      </c>
      <c r="CS29" s="5">
        <f t="shared" si="28"/>
        <v>5</v>
      </c>
      <c r="CT29" s="5" t="str">
        <f t="shared" si="29"/>
        <v>SUPERIOR</v>
      </c>
      <c r="CU29" s="5">
        <v>2</v>
      </c>
      <c r="CV29" s="7">
        <v>4</v>
      </c>
      <c r="CW29" s="7">
        <v>4</v>
      </c>
      <c r="CX29" s="7">
        <v>4</v>
      </c>
      <c r="CY29" s="5">
        <f t="shared" si="30"/>
        <v>4</v>
      </c>
      <c r="CZ29" s="5" t="str">
        <f t="shared" si="31"/>
        <v>ALTO</v>
      </c>
      <c r="DA29" s="5">
        <v>2</v>
      </c>
      <c r="DB29" s="7">
        <v>4</v>
      </c>
      <c r="DC29" s="7">
        <v>4.2</v>
      </c>
      <c r="DD29" s="7">
        <v>4</v>
      </c>
      <c r="DE29" s="5">
        <f t="shared" si="32"/>
        <v>4.08</v>
      </c>
      <c r="DF29" s="5" t="str">
        <f t="shared" si="33"/>
        <v>ALTO</v>
      </c>
      <c r="DG29" s="5">
        <v>0</v>
      </c>
      <c r="DH29" s="7">
        <v>4</v>
      </c>
      <c r="DI29" s="5" t="str">
        <f t="shared" si="34"/>
        <v>ALTO</v>
      </c>
      <c r="DJ29" s="5">
        <f t="shared" si="35"/>
        <v>3.737058823529412</v>
      </c>
      <c r="DK29" s="5" t="str">
        <f t="shared" si="36"/>
        <v>Comprende el concepto de números reales, su relación de orden y las propiedades de sus operaciones, así como las relaciones de semejanza y congruencia de distintas figuras geométricas.</v>
      </c>
      <c r="DL29" s="5" t="str">
        <f t="shared" ref="DL29:FJ29" si="71">DL28</f>
        <v>Aplica correctamente las propiedades de las operaciones de números reales y expresiones algebraicas en la resolución de problemas.</v>
      </c>
      <c r="DM29" s="5" t="str">
        <f t="shared" si="71"/>
        <v>Valora el uso del pensamiento lógico a la hora de plantear y resolver problemas de las matemáticas y de la vida cotidiana.</v>
      </c>
      <c r="DN29" s="5" t="str">
        <f t="shared" si="7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29" s="5" t="str">
        <f t="shared" si="71"/>
        <v>Organiza y analiza datos mediante la construcción de tablas de frecuencias y diagramas estadísticos, identificando variables aleatorias y utilizando estas representaciones para resolver situaciones problema.</v>
      </c>
      <c r="DP29" s="5" t="str">
        <f t="shared" si="71"/>
        <v>Muestra disposición y responsabilidad en el manejo y análisis de datos, participando activamente en actividades individuales y colaborativas, y comunicando información estadística con claridad y sentido crítico.</v>
      </c>
      <c r="DQ29" s="5" t="str">
        <f t="shared" si="71"/>
        <v>Analiza las características de la literatura prehispánica y la literatura del descubrimiento y la conquista en Colombia identificando sus elementos fundamentales y su impacto en la cultura y el lenguaje actual.</v>
      </c>
      <c r="DR29" s="5" t="str">
        <f t="shared" si="71"/>
        <v>Realiza comprensión lectora cuando analiza un texto desde el discurso de la Enunciación e identifica la función de cada uno de sus componentes.
Responde preguntas en los tres niveles de lectura a una leyenda del Caribe.</v>
      </c>
      <c r="DS29" s="5" t="str">
        <f t="shared" si="71"/>
        <v>Muestra disposición para participar activamente en las clases, promoviendo el respeto por las ideas ajenas y reconociendo la importancia de la precisión como una herramienta clave para una comunicación</v>
      </c>
      <c r="DT29" s="5" t="str">
        <f t="shared" si="71"/>
        <v>Comprende el contenido del cuento A la deriva, identificando su tema central, la secuencia de los hechos, los personajes y las ideas explícitas e implícitas del texto.</v>
      </c>
      <c r="DU29" s="5" t="str">
        <f t="shared" si="71"/>
        <v>Analiza críticamente el cuento A la deriva mediante la identificación de información literal, inferencial y crítica, sustentando sus respuestas de forma oral y escrita.</v>
      </c>
      <c r="DV29" s="5" t="str">
        <f t="shared" si="71"/>
        <v>Valora la lectura literaria como una oportunidad para reflexionar sobre la vida, la naturaleza y la condición humana, participando con interés, respeto y sentido crítico en las actividades propuestas.</v>
      </c>
      <c r="DW29" s="5" t="str">
        <f t="shared" si="71"/>
        <v>Comprende y reconoce vocabulario y estructuras basicas del ingles para interpretar textos cortos y conversaciones sobre temas cotidianos de la vida diaria.</v>
      </c>
      <c r="DX29" s="5" t="str">
        <f t="shared" si="71"/>
        <v>Produce de forma oral y escrita frases y parrafos cortos en Ingles, utilizando correctamente las estructuras conocidas para describir rutinas, narrar experiencias y participar en conversaciones.</v>
      </c>
      <c r="DY29" s="5" t="str">
        <f t="shared" si="71"/>
        <v>Muestra disposicion positiva hacia el aprendizaje del Ingles participando activamente en clase.</v>
      </c>
      <c r="DZ29" s="5" t="str">
        <f t="shared" si="71"/>
        <v>Identifica vocabulario en Ingles  de situaciones cotidianas.</v>
      </c>
      <c r="EA29" s="5" t="str">
        <f t="shared" si="71"/>
        <v>Participa en actividades utilizando vocabulario aprendido para expresar gustos,emociones y necesidades.</v>
      </c>
      <c r="EB29" s="5" t="str">
        <f t="shared" si="71"/>
        <v>Respeta la opinion de los demas, muestra disposicion para participar en actividades orales.</v>
      </c>
      <c r="EC29" s="5" t="str">
        <f t="shared" si="71"/>
        <v>Identifica la conformación y funcionamiento del sistema inmunolófico y diferencia las característics de los estados de la materia.</v>
      </c>
      <c r="ED29" s="5" t="str">
        <f t="shared" si="71"/>
        <v>Reconoce experimentalmente las características de materiales en los diferentes estados de la materia.</v>
      </c>
      <c r="EE29" s="5" t="str">
        <f t="shared" si="71"/>
        <v xml:space="preserve">Valora la importancia de tener habitos saludables, para lograr el mantenimiento saludable del sistema inmune. </v>
      </c>
      <c r="EF29" s="5" t="str">
        <f t="shared" si="71"/>
        <v>Describe correctamente la secuencia de eventos biologicos de la fecundacion,incluyendo las recciones acrosomicas,la funcion de gametos y la formacion de gametos.</v>
      </c>
      <c r="EG29" s="5" t="str">
        <f t="shared" si="71"/>
        <v>Mide la capacidad del labolatrio para lograr la fecundacion exitosa de los ovulos con el espermatozoide.</v>
      </c>
      <c r="EH29" s="5" t="str">
        <f t="shared" si="71"/>
        <v>Valora la importancia del cuidado del cuerpo y de la salud reproductiva como la base para una fecundacion saludable.</v>
      </c>
      <c r="EI29" s="5" t="str">
        <f t="shared" si="71"/>
        <v>Explico las principales caracteristicas de algunas revoluciones de los siglos XVIII y XIX (Revolucion francesa, Industrial...)</v>
      </c>
      <c r="EJ29" s="5" t="str">
        <f t="shared" si="71"/>
        <v>Analiza las causas y consecuencias de procesos historicos como la Revolucion Industrial y Francesa.</v>
      </c>
      <c r="EK29" s="5" t="str">
        <f t="shared" si="71"/>
        <v>Muestra interes y curiosidad por comprender los procesos historicos y su impacto en la sociedad.</v>
      </c>
      <c r="EL29" s="5" t="str">
        <f t="shared" si="71"/>
        <v xml:space="preserve">Identifica los procesos historicos de algunas revoluciones de los siglos XVIII y XIX </v>
      </c>
      <c r="EM29" s="5">
        <f t="shared" si="71"/>
        <v>0</v>
      </c>
      <c r="EN29" s="5">
        <f t="shared" si="71"/>
        <v>0</v>
      </c>
      <c r="EO29" s="5" t="str">
        <f t="shared" si="71"/>
        <v xml:space="preserve">Comprende la distribucion espacial de la poblacion antes y despues de las revoluciones </v>
      </c>
      <c r="EP29" s="5" t="str">
        <f t="shared" si="71"/>
        <v xml:space="preserve">Ubica en mapas las regiones donde se desarrollaron las principales revoluciones y explica sus caracteristicas geograficas </v>
      </c>
      <c r="EQ29" s="5" t="str">
        <f t="shared" si="71"/>
        <v>Muestra interes por comprender la relacion entre sociedad, economia y territorio</v>
      </c>
      <c r="ER29" s="5" t="str">
        <f t="shared" si="71"/>
        <v>Comprende el concepto de cultura de paz y su importancia en la sociedad</v>
      </c>
      <c r="ES29" s="5" t="str">
        <f t="shared" si="71"/>
        <v>Practica normas de convivencia en diferentes espacios( aula, hogar, comunidad)</v>
      </c>
      <c r="ET29" s="5" t="str">
        <f t="shared" si="71"/>
        <v>Muestra actitud de respeto hacia la diversidad cuktural, social y de pensamiento</v>
      </c>
      <c r="EU29" s="5">
        <f t="shared" si="71"/>
        <v>0</v>
      </c>
      <c r="EV29" s="5">
        <f t="shared" si="71"/>
        <v>0</v>
      </c>
      <c r="EW29" s="5">
        <f t="shared" si="71"/>
        <v>0</v>
      </c>
      <c r="EX29" s="5">
        <f t="shared" si="71"/>
        <v>0</v>
      </c>
      <c r="EY29" s="5">
        <f t="shared" si="71"/>
        <v>0</v>
      </c>
      <c r="EZ29" s="5">
        <f t="shared" si="71"/>
        <v>0</v>
      </c>
      <c r="FA29" s="5">
        <f t="shared" si="71"/>
        <v>0</v>
      </c>
      <c r="FB29" s="5">
        <f t="shared" si="71"/>
        <v>0</v>
      </c>
      <c r="FC29" s="5">
        <f t="shared" si="71"/>
        <v>0</v>
      </c>
      <c r="FD29" s="5" t="str">
        <f t="shared" si="71"/>
        <v xml:space="preserve"> Identifica las expresiones motrices relacionadas con el juego del voleibol,  como una oportunidad para mejorar la salud, la estética y las relaciones con los demás.</v>
      </c>
      <c r="FE29" s="5" t="str">
        <f t="shared" si="71"/>
        <v>Pone en práctica los fundamentos básicos del voleibol.</v>
      </c>
      <c r="FF29" s="5" t="str">
        <f t="shared" si="71"/>
        <v>Muestra  responsabilidad y buena actitud al realizar el juego de voleibol.</v>
      </c>
      <c r="FG29" s="5" t="str">
        <f t="shared" si="71"/>
        <v>Comprende el concepto de variable como espacio de almacenamiento de datos y reconoce el uso de estructuras condicionales (si, si-no) para la toma de decisiones en un programa.</v>
      </c>
      <c r="FH29" s="5" t="str">
        <f t="shared" si="71"/>
        <v>Diseña y desarrolla programas que utilizan variables y estructuras condicionales para resolver problemas, evaluando condiciones y generando respuestas según diferentes situaciones.</v>
      </c>
      <c r="FI29" s="5" t="str">
        <f t="shared" si="71"/>
        <v>Muestra pensamiento lógico, perseverancia y actitud crítica al analizar errores y proponer soluciones en la construcción de programas con variables y condicionales.</v>
      </c>
      <c r="FJ29" s="5" t="str">
        <f t="shared" si="71"/>
        <v>Identifica y reconoce sus pricipales deberes y derechos dentro y fuera  de la Institución educativa.</v>
      </c>
    </row>
    <row r="30" spans="1:166" ht="15.75" customHeight="1">
      <c r="A30" s="5">
        <v>29</v>
      </c>
      <c r="B30" s="5" t="s">
        <v>205</v>
      </c>
      <c r="C30" s="6">
        <v>4979473</v>
      </c>
      <c r="D30" s="5" t="s">
        <v>176</v>
      </c>
      <c r="E30" s="5" t="s">
        <v>177</v>
      </c>
      <c r="F30" s="5" t="s">
        <v>70</v>
      </c>
      <c r="G30" s="5" t="s">
        <v>71</v>
      </c>
      <c r="H30" s="5">
        <v>2026</v>
      </c>
      <c r="I30" s="5">
        <v>4</v>
      </c>
      <c r="J30" s="7">
        <v>2.6</v>
      </c>
      <c r="K30" s="7">
        <v>3</v>
      </c>
      <c r="L30" s="7">
        <v>3.4</v>
      </c>
      <c r="M30" s="5">
        <f t="shared" si="41"/>
        <v>3</v>
      </c>
      <c r="N30" s="5" t="str">
        <f t="shared" si="1"/>
        <v>BASICO</v>
      </c>
      <c r="O30" s="5">
        <v>1</v>
      </c>
      <c r="P30" s="7">
        <v>4</v>
      </c>
      <c r="Q30" s="7">
        <v>4</v>
      </c>
      <c r="R30" s="7">
        <v>4</v>
      </c>
      <c r="S30" s="5">
        <f t="shared" si="48"/>
        <v>4</v>
      </c>
      <c r="T30" s="5" t="str">
        <f t="shared" si="3"/>
        <v>ALTO</v>
      </c>
      <c r="U30" s="5">
        <v>4</v>
      </c>
      <c r="V30" s="7">
        <v>4</v>
      </c>
      <c r="W30" s="7">
        <v>3.2</v>
      </c>
      <c r="X30" s="7">
        <v>4</v>
      </c>
      <c r="Y30" s="5">
        <f t="shared" si="4"/>
        <v>3.6800000000000006</v>
      </c>
      <c r="Z30" s="5" t="str">
        <f t="shared" si="5"/>
        <v>BASICO</v>
      </c>
      <c r="AA30" s="5">
        <v>1</v>
      </c>
      <c r="AB30" s="7"/>
      <c r="AC30" s="7"/>
      <c r="AD30" s="7"/>
      <c r="AE30" s="5">
        <f t="shared" si="6"/>
        <v>0</v>
      </c>
      <c r="AF30" s="5" t="str">
        <f t="shared" si="7"/>
        <v>BAJO</v>
      </c>
      <c r="AG30" s="5">
        <v>2</v>
      </c>
      <c r="AH30" s="8">
        <v>4</v>
      </c>
      <c r="AI30" s="8">
        <v>4</v>
      </c>
      <c r="AJ30" s="8">
        <v>4</v>
      </c>
      <c r="AK30" s="5">
        <f t="shared" si="8"/>
        <v>4</v>
      </c>
      <c r="AL30" s="5" t="str">
        <f t="shared" si="9"/>
        <v>ALTO</v>
      </c>
      <c r="AM30" s="5">
        <v>1</v>
      </c>
      <c r="AN30" s="8">
        <v>4</v>
      </c>
      <c r="AO30" s="8">
        <v>4</v>
      </c>
      <c r="AP30" s="8">
        <v>4</v>
      </c>
      <c r="AQ30" s="5">
        <f t="shared" si="10"/>
        <v>4</v>
      </c>
      <c r="AR30" s="5" t="str">
        <f t="shared" si="11"/>
        <v>ALTO</v>
      </c>
      <c r="AS30" s="5">
        <v>4</v>
      </c>
      <c r="AT30" s="7">
        <v>3.5</v>
      </c>
      <c r="AU30" s="7">
        <v>3.5</v>
      </c>
      <c r="AV30" s="7">
        <v>3.5</v>
      </c>
      <c r="AW30" s="5">
        <f t="shared" si="12"/>
        <v>3.5</v>
      </c>
      <c r="AX30" s="5" t="str">
        <f t="shared" si="56"/>
        <v>BASICO</v>
      </c>
      <c r="AY30" s="5">
        <v>1</v>
      </c>
      <c r="AZ30" s="7">
        <v>4</v>
      </c>
      <c r="BA30" s="7">
        <v>4</v>
      </c>
      <c r="BB30" s="7">
        <v>4</v>
      </c>
      <c r="BC30" s="5">
        <f t="shared" si="14"/>
        <v>4</v>
      </c>
      <c r="BD30" s="5" t="str">
        <f t="shared" si="15"/>
        <v>ALTO</v>
      </c>
      <c r="BE30" s="7">
        <v>2</v>
      </c>
      <c r="BF30" s="7">
        <v>2</v>
      </c>
      <c r="BG30" s="7">
        <v>2.2000000000000002</v>
      </c>
      <c r="BH30" s="7">
        <v>2.6</v>
      </c>
      <c r="BI30" s="5">
        <f t="shared" ref="BI30:BI42" si="72">((BF30*0.3)+(BG30*0.4)+(BH30*0.3))</f>
        <v>2.2599999999999998</v>
      </c>
      <c r="BJ30" s="5" t="str">
        <f t="shared" si="17"/>
        <v>BAJO</v>
      </c>
      <c r="BK30" s="5">
        <v>1</v>
      </c>
      <c r="BL30" s="7">
        <v>2.5</v>
      </c>
      <c r="BM30" s="7">
        <v>2.7</v>
      </c>
      <c r="BN30" s="7">
        <v>2.5</v>
      </c>
      <c r="BO30" s="5">
        <f t="shared" si="58"/>
        <v>2.58</v>
      </c>
      <c r="BP30" s="5" t="str">
        <f t="shared" si="19"/>
        <v>BAJO</v>
      </c>
      <c r="BQ30" s="5">
        <v>1</v>
      </c>
      <c r="BR30" s="7">
        <v>2.2000000000000002</v>
      </c>
      <c r="BS30" s="7"/>
      <c r="BT30" s="7"/>
      <c r="BU30" s="5">
        <f t="shared" si="20"/>
        <v>0.66</v>
      </c>
      <c r="BV30" s="5" t="str">
        <f t="shared" si="21"/>
        <v>BAJO</v>
      </c>
      <c r="BW30" s="5">
        <v>1</v>
      </c>
      <c r="BX30" s="7"/>
      <c r="BY30" s="7"/>
      <c r="BZ30" s="7"/>
      <c r="CA30" s="5">
        <f t="shared" si="22"/>
        <v>0</v>
      </c>
      <c r="CB30" s="5" t="str">
        <f t="shared" si="23"/>
        <v>BAJO</v>
      </c>
      <c r="CC30" s="5">
        <v>1</v>
      </c>
      <c r="CD30" s="7"/>
      <c r="CE30" s="7"/>
      <c r="CF30" s="7"/>
      <c r="CG30" s="5">
        <f t="shared" si="24"/>
        <v>0</v>
      </c>
      <c r="CH30" s="5" t="str">
        <f t="shared" si="25"/>
        <v>BAJO</v>
      </c>
      <c r="CI30" s="5">
        <v>1</v>
      </c>
      <c r="CJ30" s="7">
        <v>3.8</v>
      </c>
      <c r="CK30" s="7">
        <v>3.8</v>
      </c>
      <c r="CL30" s="7">
        <v>3.8</v>
      </c>
      <c r="CM30" s="5">
        <f t="shared" si="26"/>
        <v>3.8</v>
      </c>
      <c r="CN30" s="5" t="str">
        <f t="shared" si="27"/>
        <v>BASICO</v>
      </c>
      <c r="CO30" s="5">
        <v>1</v>
      </c>
      <c r="CP30" s="7">
        <v>4</v>
      </c>
      <c r="CQ30" s="7">
        <v>4</v>
      </c>
      <c r="CR30" s="7">
        <v>4</v>
      </c>
      <c r="CS30" s="5">
        <f t="shared" si="28"/>
        <v>4</v>
      </c>
      <c r="CT30" s="5" t="str">
        <f t="shared" si="29"/>
        <v>ALTO</v>
      </c>
      <c r="CU30" s="5">
        <v>2</v>
      </c>
      <c r="CV30" s="7">
        <v>3</v>
      </c>
      <c r="CW30" s="7">
        <v>3</v>
      </c>
      <c r="CX30" s="7">
        <v>3</v>
      </c>
      <c r="CY30" s="5">
        <f t="shared" si="30"/>
        <v>3</v>
      </c>
      <c r="CZ30" s="5" t="str">
        <f t="shared" si="31"/>
        <v>BASICO</v>
      </c>
      <c r="DA30" s="5">
        <v>2</v>
      </c>
      <c r="DB30" s="7">
        <v>2.5</v>
      </c>
      <c r="DC30" s="7">
        <v>2.8</v>
      </c>
      <c r="DD30" s="7">
        <v>3.8</v>
      </c>
      <c r="DE30" s="5">
        <f t="shared" si="32"/>
        <v>3.01</v>
      </c>
      <c r="DF30" s="5" t="str">
        <f t="shared" si="33"/>
        <v>BASICO</v>
      </c>
      <c r="DG30" s="5">
        <v>0</v>
      </c>
      <c r="DH30" s="7">
        <v>4</v>
      </c>
      <c r="DI30" s="5" t="str">
        <f t="shared" si="34"/>
        <v>ALTO</v>
      </c>
      <c r="DJ30" s="5">
        <f t="shared" si="35"/>
        <v>2.8723529411764699</v>
      </c>
      <c r="DK30" s="5" t="str">
        <f t="shared" si="36"/>
        <v>Comprende el concepto de números reales, su relación de orden y las propiedades de sus operaciones, así como las relaciones de semejanza y congruencia de distintas figuras geométricas.</v>
      </c>
      <c r="DL30" s="5" t="str">
        <f t="shared" ref="DL30:FJ30" si="73">DL29</f>
        <v>Aplica correctamente las propiedades de las operaciones de números reales y expresiones algebraicas en la resolución de problemas.</v>
      </c>
      <c r="DM30" s="5" t="str">
        <f t="shared" si="73"/>
        <v>Valora el uso del pensamiento lógico a la hora de plantear y resolver problemas de las matemáticas y de la vida cotidiana.</v>
      </c>
      <c r="DN30" s="5" t="str">
        <f t="shared" si="7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0" s="5" t="str">
        <f t="shared" si="73"/>
        <v>Organiza y analiza datos mediante la construcción de tablas de frecuencias y diagramas estadísticos, identificando variables aleatorias y utilizando estas representaciones para resolver situaciones problema.</v>
      </c>
      <c r="DP30" s="5" t="str">
        <f t="shared" si="73"/>
        <v>Muestra disposición y responsabilidad en el manejo y análisis de datos, participando activamente en actividades individuales y colaborativas, y comunicando información estadística con claridad y sentido crítico.</v>
      </c>
      <c r="DQ30" s="5" t="str">
        <f t="shared" si="73"/>
        <v>Analiza las características de la literatura prehispánica y la literatura del descubrimiento y la conquista en Colombia identificando sus elementos fundamentales y su impacto en la cultura y el lenguaje actual.</v>
      </c>
      <c r="DR30" s="5" t="str">
        <f t="shared" si="73"/>
        <v>Realiza comprensión lectora cuando analiza un texto desde el discurso de la Enunciación e identifica la función de cada uno de sus componentes.
Responde preguntas en los tres niveles de lectura a una leyenda del Caribe.</v>
      </c>
      <c r="DS30" s="5" t="str">
        <f t="shared" si="73"/>
        <v>Muestra disposición para participar activamente en las clases, promoviendo el respeto por las ideas ajenas y reconociendo la importancia de la precisión como una herramienta clave para una comunicación</v>
      </c>
      <c r="DT30" s="5" t="str">
        <f t="shared" si="73"/>
        <v>Comprende el contenido del cuento A la deriva, identificando su tema central, la secuencia de los hechos, los personajes y las ideas explícitas e implícitas del texto.</v>
      </c>
      <c r="DU30" s="5" t="str">
        <f t="shared" si="73"/>
        <v>Analiza críticamente el cuento A la deriva mediante la identificación de información literal, inferencial y crítica, sustentando sus respuestas de forma oral y escrita.</v>
      </c>
      <c r="DV30" s="5" t="str">
        <f t="shared" si="73"/>
        <v>Valora la lectura literaria como una oportunidad para reflexionar sobre la vida, la naturaleza y la condición humana, participando con interés, respeto y sentido crítico en las actividades propuestas.</v>
      </c>
      <c r="DW30" s="5" t="str">
        <f t="shared" si="73"/>
        <v>Comprende y reconoce vocabulario y estructuras basicas del ingles para interpretar textos cortos y conversaciones sobre temas cotidianos de la vida diaria.</v>
      </c>
      <c r="DX30" s="5" t="str">
        <f t="shared" si="73"/>
        <v>Produce de forma oral y escrita frases y parrafos cortos en Ingles, utilizando correctamente las estructuras conocidas para describir rutinas, narrar experiencias y participar en conversaciones.</v>
      </c>
      <c r="DY30" s="5" t="str">
        <f t="shared" si="73"/>
        <v>Muestra disposicion positiva hacia el aprendizaje del Ingles participando activamente en clase.</v>
      </c>
      <c r="DZ30" s="5" t="str">
        <f t="shared" si="73"/>
        <v>Identifica vocabulario en Ingles  de situaciones cotidianas.</v>
      </c>
      <c r="EA30" s="5" t="str">
        <f t="shared" si="73"/>
        <v>Participa en actividades utilizando vocabulario aprendido para expresar gustos,emociones y necesidades.</v>
      </c>
      <c r="EB30" s="5" t="str">
        <f t="shared" si="73"/>
        <v>Respeta la opinion de los demas, muestra disposicion para participar en actividades orales.</v>
      </c>
      <c r="EC30" s="5" t="str">
        <f t="shared" si="73"/>
        <v>Identifica la conformación y funcionamiento del sistema inmunolófico y diferencia las característics de los estados de la materia.</v>
      </c>
      <c r="ED30" s="5" t="str">
        <f t="shared" si="73"/>
        <v>Reconoce experimentalmente las características de materiales en los diferentes estados de la materia.</v>
      </c>
      <c r="EE30" s="5" t="str">
        <f t="shared" si="73"/>
        <v xml:space="preserve">Valora la importancia de tener habitos saludables, para lograr el mantenimiento saludable del sistema inmune. </v>
      </c>
      <c r="EF30" s="5" t="str">
        <f t="shared" si="73"/>
        <v>Describe correctamente la secuencia de eventos biologicos de la fecundacion,incluyendo las recciones acrosomicas,la funcion de gametos y la formacion de gametos.</v>
      </c>
      <c r="EG30" s="5" t="str">
        <f t="shared" si="73"/>
        <v>Mide la capacidad del labolatrio para lograr la fecundacion exitosa de los ovulos con el espermatozoide.</v>
      </c>
      <c r="EH30" s="5" t="str">
        <f t="shared" si="73"/>
        <v>Valora la importancia del cuidado del cuerpo y de la salud reproductiva como la base para una fecundacion saludable.</v>
      </c>
      <c r="EI30" s="5" t="str">
        <f t="shared" si="73"/>
        <v>Explico las principales caracteristicas de algunas revoluciones de los siglos XVIII y XIX (Revolucion francesa, Industrial...)</v>
      </c>
      <c r="EJ30" s="5" t="str">
        <f t="shared" si="73"/>
        <v>Analiza las causas y consecuencias de procesos historicos como la Revolucion Industrial y Francesa.</v>
      </c>
      <c r="EK30" s="5" t="str">
        <f t="shared" si="73"/>
        <v>Muestra interes y curiosidad por comprender los procesos historicos y su impacto en la sociedad.</v>
      </c>
      <c r="EL30" s="5" t="str">
        <f t="shared" si="73"/>
        <v xml:space="preserve">Identifica los procesos historicos de algunas revoluciones de los siglos XVIII y XIX </v>
      </c>
      <c r="EM30" s="5">
        <f t="shared" si="73"/>
        <v>0</v>
      </c>
      <c r="EN30" s="5">
        <f t="shared" si="73"/>
        <v>0</v>
      </c>
      <c r="EO30" s="5" t="str">
        <f t="shared" si="73"/>
        <v xml:space="preserve">Comprende la distribucion espacial de la poblacion antes y despues de las revoluciones </v>
      </c>
      <c r="EP30" s="5" t="str">
        <f t="shared" si="73"/>
        <v xml:space="preserve">Ubica en mapas las regiones donde se desarrollaron las principales revoluciones y explica sus caracteristicas geograficas </v>
      </c>
      <c r="EQ30" s="5" t="str">
        <f t="shared" si="73"/>
        <v>Muestra interes por comprender la relacion entre sociedad, economia y territorio</v>
      </c>
      <c r="ER30" s="5" t="str">
        <f t="shared" si="73"/>
        <v>Comprende el concepto de cultura de paz y su importancia en la sociedad</v>
      </c>
      <c r="ES30" s="5" t="str">
        <f t="shared" si="73"/>
        <v>Practica normas de convivencia en diferentes espacios( aula, hogar, comunidad)</v>
      </c>
      <c r="ET30" s="5" t="str">
        <f t="shared" si="73"/>
        <v>Muestra actitud de respeto hacia la diversidad cuktural, social y de pensamiento</v>
      </c>
      <c r="EU30" s="5">
        <f t="shared" si="73"/>
        <v>0</v>
      </c>
      <c r="EV30" s="5">
        <f t="shared" si="73"/>
        <v>0</v>
      </c>
      <c r="EW30" s="5">
        <f t="shared" si="73"/>
        <v>0</v>
      </c>
      <c r="EX30" s="5">
        <f t="shared" si="73"/>
        <v>0</v>
      </c>
      <c r="EY30" s="5">
        <f t="shared" si="73"/>
        <v>0</v>
      </c>
      <c r="EZ30" s="5">
        <f t="shared" si="73"/>
        <v>0</v>
      </c>
      <c r="FA30" s="5">
        <f t="shared" si="73"/>
        <v>0</v>
      </c>
      <c r="FB30" s="5">
        <f t="shared" si="73"/>
        <v>0</v>
      </c>
      <c r="FC30" s="5">
        <f t="shared" si="73"/>
        <v>0</v>
      </c>
      <c r="FD30" s="5" t="str">
        <f t="shared" si="73"/>
        <v xml:space="preserve"> Identifica las expresiones motrices relacionadas con el juego del voleibol,  como una oportunidad para mejorar la salud, la estética y las relaciones con los demás.</v>
      </c>
      <c r="FE30" s="5" t="str">
        <f t="shared" si="73"/>
        <v>Pone en práctica los fundamentos básicos del voleibol.</v>
      </c>
      <c r="FF30" s="5" t="str">
        <f t="shared" si="73"/>
        <v>Muestra  responsabilidad y buena actitud al realizar el juego de voleibol.</v>
      </c>
      <c r="FG30" s="5" t="str">
        <f t="shared" si="73"/>
        <v>Comprende el concepto de variable como espacio de almacenamiento de datos y reconoce el uso de estructuras condicionales (si, si-no) para la toma de decisiones en un programa.</v>
      </c>
      <c r="FH30" s="5" t="str">
        <f t="shared" si="73"/>
        <v>Diseña y desarrolla programas que utilizan variables y estructuras condicionales para resolver problemas, evaluando condiciones y generando respuestas según diferentes situaciones.</v>
      </c>
      <c r="FI30" s="5" t="str">
        <f t="shared" si="73"/>
        <v>Muestra pensamiento lógico, perseverancia y actitud crítica al analizar errores y proponer soluciones en la construcción de programas con variables y condicionales.</v>
      </c>
      <c r="FJ30" s="5" t="str">
        <f t="shared" si="73"/>
        <v>Identifica y reconoce sus pricipales deberes y derechos dentro y fuera  de la Institución educativa.</v>
      </c>
    </row>
    <row r="31" spans="1:166" ht="15.75" customHeight="1">
      <c r="A31" s="5">
        <v>30</v>
      </c>
      <c r="B31" s="9" t="s">
        <v>206</v>
      </c>
      <c r="C31" s="10">
        <v>7788283</v>
      </c>
      <c r="D31" s="5" t="s">
        <v>176</v>
      </c>
      <c r="E31" s="5" t="s">
        <v>177</v>
      </c>
      <c r="F31" s="5" t="s">
        <v>70</v>
      </c>
      <c r="G31" s="5" t="s">
        <v>71</v>
      </c>
      <c r="H31" s="5">
        <v>2026</v>
      </c>
      <c r="I31" s="5">
        <v>4</v>
      </c>
      <c r="J31" s="7"/>
      <c r="K31" s="7"/>
      <c r="L31" s="7"/>
      <c r="M31" s="5">
        <f t="shared" si="41"/>
        <v>0</v>
      </c>
      <c r="N31" s="5" t="str">
        <f t="shared" si="1"/>
        <v>BAJO</v>
      </c>
      <c r="O31" s="5">
        <v>1</v>
      </c>
      <c r="P31" s="7"/>
      <c r="Q31" s="7"/>
      <c r="R31" s="7"/>
      <c r="S31" s="5">
        <f t="shared" si="48"/>
        <v>0</v>
      </c>
      <c r="T31" s="5" t="str">
        <f t="shared" si="3"/>
        <v>BAJO</v>
      </c>
      <c r="U31" s="5">
        <v>4</v>
      </c>
      <c r="V31" s="7"/>
      <c r="W31" s="7"/>
      <c r="X31" s="7"/>
      <c r="Y31" s="5">
        <f t="shared" si="4"/>
        <v>0</v>
      </c>
      <c r="Z31" s="5" t="str">
        <f t="shared" si="5"/>
        <v>BAJO</v>
      </c>
      <c r="AA31" s="5">
        <v>1</v>
      </c>
      <c r="AB31" s="7"/>
      <c r="AC31" s="7"/>
      <c r="AD31" s="7"/>
      <c r="AE31" s="5">
        <f t="shared" si="6"/>
        <v>0</v>
      </c>
      <c r="AF31" s="5" t="str">
        <f t="shared" si="7"/>
        <v>BAJO</v>
      </c>
      <c r="AG31" s="5">
        <v>2</v>
      </c>
      <c r="AH31" s="11"/>
      <c r="AI31" s="11"/>
      <c r="AJ31" s="11"/>
      <c r="AK31" s="5">
        <f t="shared" si="8"/>
        <v>0</v>
      </c>
      <c r="AL31" s="5" t="str">
        <f t="shared" si="9"/>
        <v>BAJO</v>
      </c>
      <c r="AM31" s="5">
        <v>1</v>
      </c>
      <c r="AN31" s="11"/>
      <c r="AO31" s="11"/>
      <c r="AP31" s="11"/>
      <c r="AQ31" s="5">
        <f t="shared" si="10"/>
        <v>0</v>
      </c>
      <c r="AR31" s="5" t="str">
        <f t="shared" si="11"/>
        <v>BAJO</v>
      </c>
      <c r="AS31" s="5">
        <v>4</v>
      </c>
      <c r="AT31" s="7"/>
      <c r="AU31" s="7"/>
      <c r="AV31" s="7"/>
      <c r="AW31" s="5">
        <f t="shared" si="12"/>
        <v>0</v>
      </c>
      <c r="AX31" s="5" t="str">
        <f t="shared" si="56"/>
        <v>BAJO</v>
      </c>
      <c r="AY31" s="5">
        <v>1</v>
      </c>
      <c r="AZ31" s="7"/>
      <c r="BA31" s="7"/>
      <c r="BB31" s="7"/>
      <c r="BC31" s="5">
        <f t="shared" si="14"/>
        <v>0</v>
      </c>
      <c r="BD31" s="5" t="str">
        <f t="shared" si="15"/>
        <v>BAJO</v>
      </c>
      <c r="BE31" s="7">
        <v>2</v>
      </c>
      <c r="BF31" s="7"/>
      <c r="BG31" s="7"/>
      <c r="BH31" s="7"/>
      <c r="BI31" s="5">
        <f t="shared" si="72"/>
        <v>0</v>
      </c>
      <c r="BJ31" s="5" t="str">
        <f t="shared" si="17"/>
        <v>BAJO</v>
      </c>
      <c r="BK31" s="5">
        <v>1</v>
      </c>
      <c r="BL31" s="7"/>
      <c r="BM31" s="7"/>
      <c r="BN31" s="7"/>
      <c r="BO31" s="5">
        <f t="shared" si="58"/>
        <v>0</v>
      </c>
      <c r="BP31" s="5" t="str">
        <f t="shared" si="19"/>
        <v>BAJO</v>
      </c>
      <c r="BQ31" s="5">
        <v>1</v>
      </c>
      <c r="BR31" s="7"/>
      <c r="BS31" s="7"/>
      <c r="BT31" s="7"/>
      <c r="BU31" s="5">
        <f t="shared" si="20"/>
        <v>0</v>
      </c>
      <c r="BV31" s="5" t="str">
        <f t="shared" si="21"/>
        <v>BAJO</v>
      </c>
      <c r="BW31" s="5">
        <v>1</v>
      </c>
      <c r="BX31" s="7"/>
      <c r="BY31" s="7"/>
      <c r="BZ31" s="7"/>
      <c r="CA31" s="5">
        <f t="shared" si="22"/>
        <v>0</v>
      </c>
      <c r="CB31" s="5" t="str">
        <f t="shared" si="23"/>
        <v>BAJO</v>
      </c>
      <c r="CC31" s="5">
        <v>1</v>
      </c>
      <c r="CD31" s="7"/>
      <c r="CE31" s="7"/>
      <c r="CF31" s="7"/>
      <c r="CG31" s="5">
        <f t="shared" si="24"/>
        <v>0</v>
      </c>
      <c r="CH31" s="5" t="str">
        <f t="shared" si="25"/>
        <v>BAJO</v>
      </c>
      <c r="CI31" s="5">
        <v>1</v>
      </c>
      <c r="CJ31" s="7"/>
      <c r="CK31" s="7"/>
      <c r="CL31" s="7"/>
      <c r="CM31" s="5">
        <f t="shared" si="26"/>
        <v>0</v>
      </c>
      <c r="CN31" s="5" t="str">
        <f t="shared" si="27"/>
        <v>BAJO</v>
      </c>
      <c r="CO31" s="5">
        <v>1</v>
      </c>
      <c r="CP31" s="7"/>
      <c r="CQ31" s="7"/>
      <c r="CR31" s="7"/>
      <c r="CS31" s="5">
        <f t="shared" si="28"/>
        <v>0</v>
      </c>
      <c r="CT31" s="5" t="str">
        <f t="shared" si="29"/>
        <v>BAJO</v>
      </c>
      <c r="CU31" s="5">
        <v>2</v>
      </c>
      <c r="CV31" s="7">
        <v>2</v>
      </c>
      <c r="CW31" s="7">
        <v>2</v>
      </c>
      <c r="CX31" s="7">
        <v>2</v>
      </c>
      <c r="CY31" s="5">
        <f t="shared" si="30"/>
        <v>2</v>
      </c>
      <c r="CZ31" s="5" t="str">
        <f t="shared" si="31"/>
        <v>BAJO</v>
      </c>
      <c r="DA31" s="5">
        <v>2</v>
      </c>
      <c r="DB31" s="5"/>
      <c r="DC31" s="5"/>
      <c r="DD31" s="5"/>
      <c r="DE31" s="5">
        <f t="shared" si="32"/>
        <v>0</v>
      </c>
      <c r="DF31" s="5" t="str">
        <f t="shared" si="33"/>
        <v>BAJO</v>
      </c>
      <c r="DG31" s="5">
        <v>0</v>
      </c>
      <c r="DH31" s="7"/>
      <c r="DI31" s="5" t="str">
        <f t="shared" si="34"/>
        <v>BAJO</v>
      </c>
      <c r="DJ31" s="5">
        <f t="shared" si="35"/>
        <v>0.125</v>
      </c>
      <c r="DK31" s="5" t="str">
        <f t="shared" si="36"/>
        <v>Comprende el concepto de números reales, su relación de orden y las propiedades de sus operaciones, así como las relaciones de semejanza y congruencia de distintas figuras geométricas.</v>
      </c>
      <c r="DL31" s="5" t="str">
        <f t="shared" ref="DL31:FJ31" si="74">DL30</f>
        <v>Aplica correctamente las propiedades de las operaciones de números reales y expresiones algebraicas en la resolución de problemas.</v>
      </c>
      <c r="DM31" s="5" t="str">
        <f t="shared" si="74"/>
        <v>Valora el uso del pensamiento lógico a la hora de plantear y resolver problemas de las matemáticas y de la vida cotidiana.</v>
      </c>
      <c r="DN31" s="5" t="str">
        <f t="shared" si="7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1" s="5" t="str">
        <f t="shared" si="74"/>
        <v>Organiza y analiza datos mediante la construcción de tablas de frecuencias y diagramas estadísticos, identificando variables aleatorias y utilizando estas representaciones para resolver situaciones problema.</v>
      </c>
      <c r="DP31" s="5" t="str">
        <f t="shared" si="74"/>
        <v>Muestra disposición y responsabilidad en el manejo y análisis de datos, participando activamente en actividades individuales y colaborativas, y comunicando información estadística con claridad y sentido crítico.</v>
      </c>
      <c r="DQ31" s="5" t="str">
        <f t="shared" si="74"/>
        <v>Analiza las características de la literatura prehispánica y la literatura del descubrimiento y la conquista en Colombia identificando sus elementos fundamentales y su impacto en la cultura y el lenguaje actual.</v>
      </c>
      <c r="DR31" s="5" t="str">
        <f t="shared" si="74"/>
        <v>Realiza comprensión lectora cuando analiza un texto desde el discurso de la Enunciación e identifica la función de cada uno de sus componentes.
Responde preguntas en los tres niveles de lectura a una leyenda del Caribe.</v>
      </c>
      <c r="DS31" s="5" t="str">
        <f t="shared" si="74"/>
        <v>Muestra disposición para participar activamente en las clases, promoviendo el respeto por las ideas ajenas y reconociendo la importancia de la precisión como una herramienta clave para una comunicación</v>
      </c>
      <c r="DT31" s="5" t="str">
        <f t="shared" si="74"/>
        <v>Comprende el contenido del cuento A la deriva, identificando su tema central, la secuencia de los hechos, los personajes y las ideas explícitas e implícitas del texto.</v>
      </c>
      <c r="DU31" s="5" t="str">
        <f t="shared" si="74"/>
        <v>Analiza críticamente el cuento A la deriva mediante la identificación de información literal, inferencial y crítica, sustentando sus respuestas de forma oral y escrita.</v>
      </c>
      <c r="DV31" s="5" t="str">
        <f t="shared" si="74"/>
        <v>Valora la lectura literaria como una oportunidad para reflexionar sobre la vida, la naturaleza y la condición humana, participando con interés, respeto y sentido crítico en las actividades propuestas.</v>
      </c>
      <c r="DW31" s="5" t="str">
        <f t="shared" si="74"/>
        <v>Comprende y reconoce vocabulario y estructuras basicas del ingles para interpretar textos cortos y conversaciones sobre temas cotidianos de la vida diaria.</v>
      </c>
      <c r="DX31" s="5" t="str">
        <f t="shared" si="74"/>
        <v>Produce de forma oral y escrita frases y parrafos cortos en Ingles, utilizando correctamente las estructuras conocidas para describir rutinas, narrar experiencias y participar en conversaciones.</v>
      </c>
      <c r="DY31" s="5" t="str">
        <f t="shared" si="74"/>
        <v>Muestra disposicion positiva hacia el aprendizaje del Ingles participando activamente en clase.</v>
      </c>
      <c r="DZ31" s="5" t="str">
        <f t="shared" si="74"/>
        <v>Identifica vocabulario en Ingles  de situaciones cotidianas.</v>
      </c>
      <c r="EA31" s="5" t="str">
        <f t="shared" si="74"/>
        <v>Participa en actividades utilizando vocabulario aprendido para expresar gustos,emociones y necesidades.</v>
      </c>
      <c r="EB31" s="5" t="str">
        <f t="shared" si="74"/>
        <v>Respeta la opinion de los demas, muestra disposicion para participar en actividades orales.</v>
      </c>
      <c r="EC31" s="5" t="str">
        <f t="shared" si="74"/>
        <v>Identifica la conformación y funcionamiento del sistema inmunolófico y diferencia las característics de los estados de la materia.</v>
      </c>
      <c r="ED31" s="5" t="str">
        <f t="shared" si="74"/>
        <v>Reconoce experimentalmente las características de materiales en los diferentes estados de la materia.</v>
      </c>
      <c r="EE31" s="5" t="str">
        <f t="shared" si="74"/>
        <v xml:space="preserve">Valora la importancia de tener habitos saludables, para lograr el mantenimiento saludable del sistema inmune. </v>
      </c>
      <c r="EF31" s="5" t="str">
        <f t="shared" si="74"/>
        <v>Describe correctamente la secuencia de eventos biologicos de la fecundacion,incluyendo las recciones acrosomicas,la funcion de gametos y la formacion de gametos.</v>
      </c>
      <c r="EG31" s="5" t="str">
        <f t="shared" si="74"/>
        <v>Mide la capacidad del labolatrio para lograr la fecundacion exitosa de los ovulos con el espermatozoide.</v>
      </c>
      <c r="EH31" s="5" t="str">
        <f t="shared" si="74"/>
        <v>Valora la importancia del cuidado del cuerpo y de la salud reproductiva como la base para una fecundacion saludable.</v>
      </c>
      <c r="EI31" s="5" t="str">
        <f t="shared" si="74"/>
        <v>Explico las principales caracteristicas de algunas revoluciones de los siglos XVIII y XIX (Revolucion francesa, Industrial...)</v>
      </c>
      <c r="EJ31" s="5" t="str">
        <f t="shared" si="74"/>
        <v>Analiza las causas y consecuencias de procesos historicos como la Revolucion Industrial y Francesa.</v>
      </c>
      <c r="EK31" s="5" t="str">
        <f t="shared" si="74"/>
        <v>Muestra interes y curiosidad por comprender los procesos historicos y su impacto en la sociedad.</v>
      </c>
      <c r="EL31" s="5" t="str">
        <f t="shared" si="74"/>
        <v xml:space="preserve">Identifica los procesos historicos de algunas revoluciones de los siglos XVIII y XIX </v>
      </c>
      <c r="EM31" s="5">
        <f t="shared" si="74"/>
        <v>0</v>
      </c>
      <c r="EN31" s="5">
        <f t="shared" si="74"/>
        <v>0</v>
      </c>
      <c r="EO31" s="5" t="str">
        <f t="shared" si="74"/>
        <v xml:space="preserve">Comprende la distribucion espacial de la poblacion antes y despues de las revoluciones </v>
      </c>
      <c r="EP31" s="5" t="str">
        <f t="shared" si="74"/>
        <v xml:space="preserve">Ubica en mapas las regiones donde se desarrollaron las principales revoluciones y explica sus caracteristicas geograficas </v>
      </c>
      <c r="EQ31" s="5" t="str">
        <f t="shared" si="74"/>
        <v>Muestra interes por comprender la relacion entre sociedad, economia y territorio</v>
      </c>
      <c r="ER31" s="5" t="str">
        <f t="shared" si="74"/>
        <v>Comprende el concepto de cultura de paz y su importancia en la sociedad</v>
      </c>
      <c r="ES31" s="5" t="str">
        <f t="shared" si="74"/>
        <v>Practica normas de convivencia en diferentes espacios( aula, hogar, comunidad)</v>
      </c>
      <c r="ET31" s="5" t="str">
        <f t="shared" si="74"/>
        <v>Muestra actitud de respeto hacia la diversidad cuktural, social y de pensamiento</v>
      </c>
      <c r="EU31" s="5">
        <f t="shared" si="74"/>
        <v>0</v>
      </c>
      <c r="EV31" s="5">
        <f t="shared" si="74"/>
        <v>0</v>
      </c>
      <c r="EW31" s="5">
        <f t="shared" si="74"/>
        <v>0</v>
      </c>
      <c r="EX31" s="5">
        <f t="shared" si="74"/>
        <v>0</v>
      </c>
      <c r="EY31" s="5">
        <f t="shared" si="74"/>
        <v>0</v>
      </c>
      <c r="EZ31" s="5">
        <f t="shared" si="74"/>
        <v>0</v>
      </c>
      <c r="FA31" s="5">
        <f t="shared" si="74"/>
        <v>0</v>
      </c>
      <c r="FB31" s="5">
        <f t="shared" si="74"/>
        <v>0</v>
      </c>
      <c r="FC31" s="5">
        <f t="shared" si="74"/>
        <v>0</v>
      </c>
      <c r="FD31" s="5" t="str">
        <f t="shared" si="74"/>
        <v xml:space="preserve"> Identifica las expresiones motrices relacionadas con el juego del voleibol,  como una oportunidad para mejorar la salud, la estética y las relaciones con los demás.</v>
      </c>
      <c r="FE31" s="5" t="str">
        <f t="shared" si="74"/>
        <v>Pone en práctica los fundamentos básicos del voleibol.</v>
      </c>
      <c r="FF31" s="5" t="str">
        <f t="shared" si="74"/>
        <v>Muestra  responsabilidad y buena actitud al realizar el juego de voleibol.</v>
      </c>
      <c r="FG31" s="5" t="str">
        <f t="shared" si="74"/>
        <v>Comprende el concepto de variable como espacio de almacenamiento de datos y reconoce el uso de estructuras condicionales (si, si-no) para la toma de decisiones en un programa.</v>
      </c>
      <c r="FH31" s="5" t="str">
        <f t="shared" si="74"/>
        <v>Diseña y desarrolla programas que utilizan variables y estructuras condicionales para resolver problemas, evaluando condiciones y generando respuestas según diferentes situaciones.</v>
      </c>
      <c r="FI31" s="5" t="str">
        <f t="shared" si="74"/>
        <v>Muestra pensamiento lógico, perseverancia y actitud crítica al analizar errores y proponer soluciones en la construcción de programas con variables y condicionales.</v>
      </c>
      <c r="FJ31" s="5" t="str">
        <f t="shared" si="74"/>
        <v>Identifica y reconoce sus pricipales deberes y derechos dentro y fuera  de la Institución educativa.</v>
      </c>
    </row>
    <row r="32" spans="1:166" ht="15.75" customHeight="1">
      <c r="A32" s="5">
        <v>31</v>
      </c>
      <c r="B32" s="5" t="s">
        <v>207</v>
      </c>
      <c r="C32" s="6">
        <v>1042266001</v>
      </c>
      <c r="D32" s="5" t="s">
        <v>176</v>
      </c>
      <c r="E32" s="5" t="s">
        <v>177</v>
      </c>
      <c r="F32" s="5" t="s">
        <v>70</v>
      </c>
      <c r="G32" s="5" t="s">
        <v>71</v>
      </c>
      <c r="H32" s="5">
        <v>2026</v>
      </c>
      <c r="I32" s="5">
        <v>4</v>
      </c>
      <c r="J32" s="7">
        <v>3</v>
      </c>
      <c r="K32" s="7">
        <v>3.5</v>
      </c>
      <c r="L32" s="7">
        <v>4</v>
      </c>
      <c r="M32" s="5">
        <f t="shared" si="41"/>
        <v>3.5</v>
      </c>
      <c r="N32" s="5" t="str">
        <f t="shared" si="1"/>
        <v>BASICO</v>
      </c>
      <c r="O32" s="5">
        <v>1</v>
      </c>
      <c r="P32" s="7">
        <v>5</v>
      </c>
      <c r="Q32" s="7">
        <v>5</v>
      </c>
      <c r="R32" s="7">
        <v>5</v>
      </c>
      <c r="S32" s="5">
        <f t="shared" si="48"/>
        <v>5</v>
      </c>
      <c r="T32" s="5" t="str">
        <f t="shared" si="3"/>
        <v>SUPERIOR</v>
      </c>
      <c r="U32" s="5">
        <v>4</v>
      </c>
      <c r="V32" s="7">
        <v>4</v>
      </c>
      <c r="W32" s="7">
        <v>5</v>
      </c>
      <c r="X32" s="7">
        <v>5</v>
      </c>
      <c r="Y32" s="5">
        <f t="shared" si="4"/>
        <v>4.7</v>
      </c>
      <c r="Z32" s="5" t="str">
        <f t="shared" si="5"/>
        <v>SUPERIOR</v>
      </c>
      <c r="AA32" s="5">
        <v>1</v>
      </c>
      <c r="AB32" s="7">
        <v>3.9</v>
      </c>
      <c r="AC32" s="7">
        <v>3.9</v>
      </c>
      <c r="AD32" s="7">
        <v>3.9</v>
      </c>
      <c r="AE32" s="5">
        <f t="shared" si="6"/>
        <v>3.9</v>
      </c>
      <c r="AF32" s="5" t="str">
        <f t="shared" si="7"/>
        <v>BASICO</v>
      </c>
      <c r="AG32" s="5">
        <v>2</v>
      </c>
      <c r="AH32" s="8">
        <v>4.5</v>
      </c>
      <c r="AI32" s="8">
        <v>4.5</v>
      </c>
      <c r="AJ32" s="8">
        <v>4.5</v>
      </c>
      <c r="AK32" s="5">
        <f t="shared" si="8"/>
        <v>4.5</v>
      </c>
      <c r="AL32" s="5" t="str">
        <f t="shared" si="9"/>
        <v>SUPERIOR</v>
      </c>
      <c r="AM32" s="5">
        <v>1</v>
      </c>
      <c r="AN32" s="8">
        <v>4.5</v>
      </c>
      <c r="AO32" s="8">
        <v>4.5</v>
      </c>
      <c r="AP32" s="8">
        <v>4.5</v>
      </c>
      <c r="AQ32" s="5">
        <f t="shared" si="10"/>
        <v>4.5</v>
      </c>
      <c r="AR32" s="5" t="str">
        <f t="shared" si="11"/>
        <v>SUPERIOR</v>
      </c>
      <c r="AS32" s="5">
        <v>4</v>
      </c>
      <c r="AT32" s="7">
        <v>4.0999999999999996</v>
      </c>
      <c r="AU32" s="7">
        <v>4.0999999999999996</v>
      </c>
      <c r="AV32" s="7">
        <v>4.0999999999999996</v>
      </c>
      <c r="AW32" s="5">
        <f t="shared" si="12"/>
        <v>4.0999999999999996</v>
      </c>
      <c r="AX32" s="5" t="str">
        <f t="shared" si="56"/>
        <v>ALTO</v>
      </c>
      <c r="AY32" s="5">
        <v>1</v>
      </c>
      <c r="AZ32" s="7">
        <v>5</v>
      </c>
      <c r="BA32" s="7">
        <v>5</v>
      </c>
      <c r="BB32" s="7">
        <v>5</v>
      </c>
      <c r="BC32" s="5">
        <f t="shared" si="14"/>
        <v>5</v>
      </c>
      <c r="BD32" s="5" t="str">
        <f t="shared" si="15"/>
        <v>SUPERIOR</v>
      </c>
      <c r="BE32" s="7">
        <v>2</v>
      </c>
      <c r="BF32" s="7"/>
      <c r="BG32" s="7"/>
      <c r="BH32" s="7"/>
      <c r="BI32" s="5">
        <f t="shared" si="72"/>
        <v>0</v>
      </c>
      <c r="BJ32" s="5" t="str">
        <f t="shared" si="17"/>
        <v>BAJO</v>
      </c>
      <c r="BK32" s="5">
        <v>1</v>
      </c>
      <c r="BL32" s="7"/>
      <c r="BM32" s="7"/>
      <c r="BN32" s="7"/>
      <c r="BO32" s="5">
        <f t="shared" si="58"/>
        <v>0</v>
      </c>
      <c r="BP32" s="5" t="str">
        <f t="shared" si="19"/>
        <v>BAJO</v>
      </c>
      <c r="BQ32" s="5">
        <v>1</v>
      </c>
      <c r="BR32" s="7"/>
      <c r="BS32" s="7"/>
      <c r="BT32" s="7"/>
      <c r="BU32" s="5">
        <f t="shared" si="20"/>
        <v>0</v>
      </c>
      <c r="BV32" s="5" t="str">
        <f t="shared" si="21"/>
        <v>BAJO</v>
      </c>
      <c r="BW32" s="5">
        <v>1</v>
      </c>
      <c r="BX32" s="7"/>
      <c r="BY32" s="7"/>
      <c r="BZ32" s="7"/>
      <c r="CA32" s="5">
        <f t="shared" si="22"/>
        <v>0</v>
      </c>
      <c r="CB32" s="5" t="str">
        <f t="shared" si="23"/>
        <v>BAJO</v>
      </c>
      <c r="CC32" s="5">
        <v>1</v>
      </c>
      <c r="CD32" s="7">
        <v>3.8</v>
      </c>
      <c r="CE32" s="7">
        <v>4</v>
      </c>
      <c r="CF32" s="7">
        <v>4</v>
      </c>
      <c r="CG32" s="5">
        <f t="shared" si="24"/>
        <v>3.9400000000000004</v>
      </c>
      <c r="CH32" s="5" t="str">
        <f t="shared" si="25"/>
        <v>BASICO</v>
      </c>
      <c r="CI32" s="5">
        <v>1</v>
      </c>
      <c r="CJ32" s="7">
        <v>4.5999999999999996</v>
      </c>
      <c r="CK32" s="7">
        <v>4.5999999999999996</v>
      </c>
      <c r="CL32" s="7">
        <v>4.5999999999999996</v>
      </c>
      <c r="CM32" s="5">
        <f t="shared" si="26"/>
        <v>4.5999999999999996</v>
      </c>
      <c r="CN32" s="5" t="str">
        <f t="shared" si="27"/>
        <v>SUPERIOR</v>
      </c>
      <c r="CO32" s="5">
        <v>1</v>
      </c>
      <c r="CP32" s="7">
        <v>5</v>
      </c>
      <c r="CQ32" s="7">
        <v>5</v>
      </c>
      <c r="CR32" s="7">
        <v>5</v>
      </c>
      <c r="CS32" s="5">
        <f t="shared" si="28"/>
        <v>5</v>
      </c>
      <c r="CT32" s="5" t="str">
        <f t="shared" si="29"/>
        <v>SUPERIOR</v>
      </c>
      <c r="CU32" s="5">
        <v>2</v>
      </c>
      <c r="CV32" s="7">
        <v>4.5</v>
      </c>
      <c r="CW32" s="7">
        <v>4.5</v>
      </c>
      <c r="CX32" s="7">
        <v>4.5</v>
      </c>
      <c r="CY32" s="5">
        <f t="shared" si="30"/>
        <v>4.5</v>
      </c>
      <c r="CZ32" s="5" t="str">
        <f t="shared" si="31"/>
        <v>SUPERIOR</v>
      </c>
      <c r="DA32" s="5">
        <v>2</v>
      </c>
      <c r="DB32" s="7">
        <v>4</v>
      </c>
      <c r="DC32" s="7">
        <v>4</v>
      </c>
      <c r="DD32" s="7">
        <v>4</v>
      </c>
      <c r="DE32" s="5">
        <f t="shared" si="32"/>
        <v>4</v>
      </c>
      <c r="DF32" s="5" t="str">
        <f t="shared" si="33"/>
        <v>ALTO</v>
      </c>
      <c r="DG32" s="5">
        <v>0</v>
      </c>
      <c r="DH32" s="7">
        <v>5</v>
      </c>
      <c r="DI32" s="5" t="str">
        <f t="shared" si="34"/>
        <v>SUPERIOR</v>
      </c>
      <c r="DJ32" s="5">
        <f t="shared" si="35"/>
        <v>3.6611764705882353</v>
      </c>
      <c r="DK32" s="5" t="str">
        <f t="shared" si="36"/>
        <v>Comprende el concepto de números reales, su relación de orden y las propiedades de sus operaciones, así como las relaciones de semejanza y congruencia de distintas figuras geométricas.</v>
      </c>
      <c r="DL32" s="5" t="str">
        <f t="shared" ref="DL32:FJ32" si="75">DL31</f>
        <v>Aplica correctamente las propiedades de las operaciones de números reales y expresiones algebraicas en la resolución de problemas.</v>
      </c>
      <c r="DM32" s="5" t="str">
        <f t="shared" si="75"/>
        <v>Valora el uso del pensamiento lógico a la hora de plantear y resolver problemas de las matemáticas y de la vida cotidiana.</v>
      </c>
      <c r="DN32" s="5" t="str">
        <f t="shared" si="7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2" s="5" t="str">
        <f t="shared" si="75"/>
        <v>Organiza y analiza datos mediante la construcción de tablas de frecuencias y diagramas estadísticos, identificando variables aleatorias y utilizando estas representaciones para resolver situaciones problema.</v>
      </c>
      <c r="DP32" s="5" t="str">
        <f t="shared" si="75"/>
        <v>Muestra disposición y responsabilidad en el manejo y análisis de datos, participando activamente en actividades individuales y colaborativas, y comunicando información estadística con claridad y sentido crítico.</v>
      </c>
      <c r="DQ32" s="5" t="str">
        <f t="shared" si="75"/>
        <v>Analiza las características de la literatura prehispánica y la literatura del descubrimiento y la conquista en Colombia identificando sus elementos fundamentales y su impacto en la cultura y el lenguaje actual.</v>
      </c>
      <c r="DR32" s="5" t="str">
        <f t="shared" si="75"/>
        <v>Realiza comprensión lectora cuando analiza un texto desde el discurso de la Enunciación e identifica la función de cada uno de sus componentes.
Responde preguntas en los tres niveles de lectura a una leyenda del Caribe.</v>
      </c>
      <c r="DS32" s="5" t="str">
        <f t="shared" si="75"/>
        <v>Muestra disposición para participar activamente en las clases, promoviendo el respeto por las ideas ajenas y reconociendo la importancia de la precisión como una herramienta clave para una comunicación</v>
      </c>
      <c r="DT32" s="5" t="str">
        <f t="shared" si="75"/>
        <v>Comprende el contenido del cuento A la deriva, identificando su tema central, la secuencia de los hechos, los personajes y las ideas explícitas e implícitas del texto.</v>
      </c>
      <c r="DU32" s="5" t="str">
        <f t="shared" si="75"/>
        <v>Analiza críticamente el cuento A la deriva mediante la identificación de información literal, inferencial y crítica, sustentando sus respuestas de forma oral y escrita.</v>
      </c>
      <c r="DV32" s="5" t="str">
        <f t="shared" si="75"/>
        <v>Valora la lectura literaria como una oportunidad para reflexionar sobre la vida, la naturaleza y la condición humana, participando con interés, respeto y sentido crítico en las actividades propuestas.</v>
      </c>
      <c r="DW32" s="5" t="str">
        <f t="shared" si="75"/>
        <v>Comprende y reconoce vocabulario y estructuras basicas del ingles para interpretar textos cortos y conversaciones sobre temas cotidianos de la vida diaria.</v>
      </c>
      <c r="DX32" s="5" t="str">
        <f t="shared" si="75"/>
        <v>Produce de forma oral y escrita frases y parrafos cortos en Ingles, utilizando correctamente las estructuras conocidas para describir rutinas, narrar experiencias y participar en conversaciones.</v>
      </c>
      <c r="DY32" s="5" t="str">
        <f t="shared" si="75"/>
        <v>Muestra disposicion positiva hacia el aprendizaje del Ingles participando activamente en clase.</v>
      </c>
      <c r="DZ32" s="5" t="str">
        <f t="shared" si="75"/>
        <v>Identifica vocabulario en Ingles  de situaciones cotidianas.</v>
      </c>
      <c r="EA32" s="5" t="str">
        <f t="shared" si="75"/>
        <v>Participa en actividades utilizando vocabulario aprendido para expresar gustos,emociones y necesidades.</v>
      </c>
      <c r="EB32" s="5" t="str">
        <f t="shared" si="75"/>
        <v>Respeta la opinion de los demas, muestra disposicion para participar en actividades orales.</v>
      </c>
      <c r="EC32" s="5" t="str">
        <f t="shared" si="75"/>
        <v>Identifica la conformación y funcionamiento del sistema inmunolófico y diferencia las característics de los estados de la materia.</v>
      </c>
      <c r="ED32" s="5" t="str">
        <f t="shared" si="75"/>
        <v>Reconoce experimentalmente las características de materiales en los diferentes estados de la materia.</v>
      </c>
      <c r="EE32" s="5" t="str">
        <f t="shared" si="75"/>
        <v xml:space="preserve">Valora la importancia de tener habitos saludables, para lograr el mantenimiento saludable del sistema inmune. </v>
      </c>
      <c r="EF32" s="5" t="str">
        <f t="shared" si="75"/>
        <v>Describe correctamente la secuencia de eventos biologicos de la fecundacion,incluyendo las recciones acrosomicas,la funcion de gametos y la formacion de gametos.</v>
      </c>
      <c r="EG32" s="5" t="str">
        <f t="shared" si="75"/>
        <v>Mide la capacidad del labolatrio para lograr la fecundacion exitosa de los ovulos con el espermatozoide.</v>
      </c>
      <c r="EH32" s="5" t="str">
        <f t="shared" si="75"/>
        <v>Valora la importancia del cuidado del cuerpo y de la salud reproductiva como la base para una fecundacion saludable.</v>
      </c>
      <c r="EI32" s="5" t="str">
        <f t="shared" si="75"/>
        <v>Explico las principales caracteristicas de algunas revoluciones de los siglos XVIII y XIX (Revolucion francesa, Industrial...)</v>
      </c>
      <c r="EJ32" s="5" t="str">
        <f t="shared" si="75"/>
        <v>Analiza las causas y consecuencias de procesos historicos como la Revolucion Industrial y Francesa.</v>
      </c>
      <c r="EK32" s="5" t="str">
        <f t="shared" si="75"/>
        <v>Muestra interes y curiosidad por comprender los procesos historicos y su impacto en la sociedad.</v>
      </c>
      <c r="EL32" s="5" t="str">
        <f t="shared" si="75"/>
        <v xml:space="preserve">Identifica los procesos historicos de algunas revoluciones de los siglos XVIII y XIX </v>
      </c>
      <c r="EM32" s="5">
        <f t="shared" si="75"/>
        <v>0</v>
      </c>
      <c r="EN32" s="5">
        <f t="shared" si="75"/>
        <v>0</v>
      </c>
      <c r="EO32" s="5" t="str">
        <f t="shared" si="75"/>
        <v xml:space="preserve">Comprende la distribucion espacial de la poblacion antes y despues de las revoluciones </v>
      </c>
      <c r="EP32" s="5" t="str">
        <f t="shared" si="75"/>
        <v xml:space="preserve">Ubica en mapas las regiones donde se desarrollaron las principales revoluciones y explica sus caracteristicas geograficas </v>
      </c>
      <c r="EQ32" s="5" t="str">
        <f t="shared" si="75"/>
        <v>Muestra interes por comprender la relacion entre sociedad, economia y territorio</v>
      </c>
      <c r="ER32" s="5" t="str">
        <f t="shared" si="75"/>
        <v>Comprende el concepto de cultura de paz y su importancia en la sociedad</v>
      </c>
      <c r="ES32" s="5" t="str">
        <f t="shared" si="75"/>
        <v>Practica normas de convivencia en diferentes espacios( aula, hogar, comunidad)</v>
      </c>
      <c r="ET32" s="5" t="str">
        <f t="shared" si="75"/>
        <v>Muestra actitud de respeto hacia la diversidad cuktural, social y de pensamiento</v>
      </c>
      <c r="EU32" s="5">
        <f t="shared" si="75"/>
        <v>0</v>
      </c>
      <c r="EV32" s="5">
        <f t="shared" si="75"/>
        <v>0</v>
      </c>
      <c r="EW32" s="5">
        <f t="shared" si="75"/>
        <v>0</v>
      </c>
      <c r="EX32" s="5">
        <f t="shared" si="75"/>
        <v>0</v>
      </c>
      <c r="EY32" s="5">
        <f t="shared" si="75"/>
        <v>0</v>
      </c>
      <c r="EZ32" s="5">
        <f t="shared" si="75"/>
        <v>0</v>
      </c>
      <c r="FA32" s="5">
        <f t="shared" si="75"/>
        <v>0</v>
      </c>
      <c r="FB32" s="5">
        <f t="shared" si="75"/>
        <v>0</v>
      </c>
      <c r="FC32" s="5">
        <f t="shared" si="75"/>
        <v>0</v>
      </c>
      <c r="FD32" s="5" t="str">
        <f t="shared" si="75"/>
        <v xml:space="preserve"> Identifica las expresiones motrices relacionadas con el juego del voleibol,  como una oportunidad para mejorar la salud, la estética y las relaciones con los demás.</v>
      </c>
      <c r="FE32" s="5" t="str">
        <f t="shared" si="75"/>
        <v>Pone en práctica los fundamentos básicos del voleibol.</v>
      </c>
      <c r="FF32" s="5" t="str">
        <f t="shared" si="75"/>
        <v>Muestra  responsabilidad y buena actitud al realizar el juego de voleibol.</v>
      </c>
      <c r="FG32" s="5" t="str">
        <f t="shared" si="75"/>
        <v>Comprende el concepto de variable como espacio de almacenamiento de datos y reconoce el uso de estructuras condicionales (si, si-no) para la toma de decisiones en un programa.</v>
      </c>
      <c r="FH32" s="5" t="str">
        <f t="shared" si="75"/>
        <v>Diseña y desarrolla programas que utilizan variables y estructuras condicionales para resolver problemas, evaluando condiciones y generando respuestas según diferentes situaciones.</v>
      </c>
      <c r="FI32" s="5" t="str">
        <f t="shared" si="75"/>
        <v>Muestra pensamiento lógico, perseverancia y actitud crítica al analizar errores y proponer soluciones en la construcción de programas con variables y condicionales.</v>
      </c>
      <c r="FJ32" s="5" t="str">
        <f t="shared" si="75"/>
        <v>Identifica y reconoce sus pricipales deberes y derechos dentro y fuera  de la Institución educativa.</v>
      </c>
    </row>
    <row r="33" spans="1:166" ht="15.75" customHeight="1">
      <c r="A33" s="5">
        <v>32</v>
      </c>
      <c r="B33" s="5" t="s">
        <v>208</v>
      </c>
      <c r="C33" s="6">
        <v>1042860947</v>
      </c>
      <c r="D33" s="5" t="s">
        <v>176</v>
      </c>
      <c r="E33" s="5" t="s">
        <v>177</v>
      </c>
      <c r="F33" s="5" t="s">
        <v>70</v>
      </c>
      <c r="G33" s="5" t="s">
        <v>71</v>
      </c>
      <c r="H33" s="5">
        <v>2026</v>
      </c>
      <c r="I33" s="5">
        <v>4</v>
      </c>
      <c r="J33" s="7">
        <v>2.8</v>
      </c>
      <c r="K33" s="7">
        <v>3</v>
      </c>
      <c r="L33" s="7">
        <v>3.2</v>
      </c>
      <c r="M33" s="5">
        <f t="shared" si="41"/>
        <v>3</v>
      </c>
      <c r="N33" s="5" t="str">
        <f t="shared" si="1"/>
        <v>BASICO</v>
      </c>
      <c r="O33" s="5">
        <v>1</v>
      </c>
      <c r="P33" s="7">
        <v>2.6</v>
      </c>
      <c r="Q33" s="7">
        <v>2.5</v>
      </c>
      <c r="R33" s="7">
        <v>2.5</v>
      </c>
      <c r="S33" s="5">
        <f t="shared" si="48"/>
        <v>2.5300000000000002</v>
      </c>
      <c r="T33" s="5" t="str">
        <f t="shared" si="3"/>
        <v>BAJO</v>
      </c>
      <c r="U33" s="5">
        <v>4</v>
      </c>
      <c r="V33" s="7">
        <v>5</v>
      </c>
      <c r="W33" s="7">
        <v>3</v>
      </c>
      <c r="X33" s="7">
        <v>4.2</v>
      </c>
      <c r="Y33" s="5">
        <f t="shared" si="4"/>
        <v>3.96</v>
      </c>
      <c r="Z33" s="5" t="str">
        <f t="shared" si="5"/>
        <v>BASICO</v>
      </c>
      <c r="AA33" s="5">
        <v>1</v>
      </c>
      <c r="AB33" s="7">
        <v>2.8</v>
      </c>
      <c r="AC33" s="7">
        <v>2.8</v>
      </c>
      <c r="AD33" s="7">
        <v>2.8</v>
      </c>
      <c r="AE33" s="5">
        <f t="shared" si="6"/>
        <v>2.8</v>
      </c>
      <c r="AF33" s="5" t="str">
        <f t="shared" si="7"/>
        <v>BAJO</v>
      </c>
      <c r="AG33" s="5">
        <v>2</v>
      </c>
      <c r="AH33" s="8">
        <v>2</v>
      </c>
      <c r="AI33" s="8">
        <v>3</v>
      </c>
      <c r="AJ33" s="8">
        <v>3</v>
      </c>
      <c r="AK33" s="5">
        <f t="shared" si="8"/>
        <v>2.7</v>
      </c>
      <c r="AL33" s="5" t="str">
        <f t="shared" si="9"/>
        <v>BAJO</v>
      </c>
      <c r="AM33" s="5">
        <v>1</v>
      </c>
      <c r="AN33" s="8">
        <v>2</v>
      </c>
      <c r="AO33" s="8">
        <v>3</v>
      </c>
      <c r="AP33" s="8">
        <v>3</v>
      </c>
      <c r="AQ33" s="5">
        <f t="shared" si="10"/>
        <v>2.7</v>
      </c>
      <c r="AR33" s="5" t="str">
        <f t="shared" si="11"/>
        <v>BAJO</v>
      </c>
      <c r="AS33" s="5">
        <v>4</v>
      </c>
      <c r="AT33" s="7">
        <v>2</v>
      </c>
      <c r="AU33" s="7">
        <v>2</v>
      </c>
      <c r="AV33" s="7">
        <v>2</v>
      </c>
      <c r="AW33" s="5">
        <f t="shared" si="12"/>
        <v>2</v>
      </c>
      <c r="AX33" s="5" t="str">
        <f t="shared" si="56"/>
        <v>BAJO</v>
      </c>
      <c r="AY33" s="5">
        <v>1</v>
      </c>
      <c r="AZ33" s="7">
        <v>3</v>
      </c>
      <c r="BA33" s="7">
        <v>3</v>
      </c>
      <c r="BB33" s="7">
        <v>3</v>
      </c>
      <c r="BC33" s="5">
        <f t="shared" si="14"/>
        <v>3</v>
      </c>
      <c r="BD33" s="5" t="str">
        <f t="shared" si="15"/>
        <v>BASICO</v>
      </c>
      <c r="BE33" s="7">
        <v>2</v>
      </c>
      <c r="BF33" s="7"/>
      <c r="BG33" s="7"/>
      <c r="BH33" s="7"/>
      <c r="BI33" s="5">
        <f t="shared" si="72"/>
        <v>0</v>
      </c>
      <c r="BJ33" s="5" t="str">
        <f t="shared" si="17"/>
        <v>BAJO</v>
      </c>
      <c r="BK33" s="5">
        <v>1</v>
      </c>
      <c r="BL33" s="7"/>
      <c r="BM33" s="7"/>
      <c r="BN33" s="7"/>
      <c r="BO33" s="5">
        <f t="shared" si="58"/>
        <v>0</v>
      </c>
      <c r="BP33" s="5" t="str">
        <f t="shared" si="19"/>
        <v>BAJO</v>
      </c>
      <c r="BQ33" s="5">
        <v>1</v>
      </c>
      <c r="BR33" s="7"/>
      <c r="BS33" s="7"/>
      <c r="BT33" s="7"/>
      <c r="BU33" s="5">
        <f t="shared" si="20"/>
        <v>0</v>
      </c>
      <c r="BV33" s="5" t="str">
        <f t="shared" si="21"/>
        <v>BAJO</v>
      </c>
      <c r="BW33" s="5">
        <v>1</v>
      </c>
      <c r="BX33" s="7"/>
      <c r="BY33" s="7"/>
      <c r="BZ33" s="7"/>
      <c r="CA33" s="5">
        <f t="shared" si="22"/>
        <v>0</v>
      </c>
      <c r="CB33" s="5" t="str">
        <f t="shared" si="23"/>
        <v>BAJO</v>
      </c>
      <c r="CC33" s="5">
        <v>1</v>
      </c>
      <c r="CD33" s="7">
        <v>2</v>
      </c>
      <c r="CE33" s="7">
        <v>2</v>
      </c>
      <c r="CF33" s="7">
        <v>2</v>
      </c>
      <c r="CG33" s="5">
        <f t="shared" si="24"/>
        <v>2</v>
      </c>
      <c r="CH33" s="5" t="str">
        <f t="shared" si="25"/>
        <v>BAJO</v>
      </c>
      <c r="CI33" s="5">
        <v>1</v>
      </c>
      <c r="CJ33" s="7">
        <v>4.2</v>
      </c>
      <c r="CK33" s="7">
        <v>4.2</v>
      </c>
      <c r="CL33" s="7">
        <v>4</v>
      </c>
      <c r="CM33" s="5">
        <f t="shared" si="26"/>
        <v>4.1400000000000006</v>
      </c>
      <c r="CN33" s="5" t="str">
        <f t="shared" si="27"/>
        <v>ALTO</v>
      </c>
      <c r="CO33" s="5">
        <v>1</v>
      </c>
      <c r="CP33" s="7">
        <v>4</v>
      </c>
      <c r="CQ33" s="7">
        <v>4</v>
      </c>
      <c r="CR33" s="7">
        <v>4</v>
      </c>
      <c r="CS33" s="5">
        <f t="shared" si="28"/>
        <v>4</v>
      </c>
      <c r="CT33" s="5" t="str">
        <f t="shared" si="29"/>
        <v>ALTO</v>
      </c>
      <c r="CU33" s="5">
        <v>2</v>
      </c>
      <c r="CV33" s="7">
        <v>4</v>
      </c>
      <c r="CW33" s="7">
        <v>4</v>
      </c>
      <c r="CX33" s="7">
        <v>4</v>
      </c>
      <c r="CY33" s="5">
        <f t="shared" si="30"/>
        <v>4</v>
      </c>
      <c r="CZ33" s="5" t="str">
        <f t="shared" si="31"/>
        <v>ALTO</v>
      </c>
      <c r="DA33" s="5">
        <v>2</v>
      </c>
      <c r="DB33" s="7">
        <v>2.6</v>
      </c>
      <c r="DC33" s="7">
        <v>2.8</v>
      </c>
      <c r="DD33" s="7">
        <v>3.7</v>
      </c>
      <c r="DE33" s="5">
        <f t="shared" si="32"/>
        <v>3.01</v>
      </c>
      <c r="DF33" s="5" t="str">
        <f t="shared" si="33"/>
        <v>BASICO</v>
      </c>
      <c r="DG33" s="5">
        <v>0</v>
      </c>
      <c r="DH33" s="7">
        <v>4</v>
      </c>
      <c r="DI33" s="5" t="str">
        <f t="shared" si="34"/>
        <v>ALTO</v>
      </c>
      <c r="DJ33" s="5">
        <f t="shared" si="35"/>
        <v>2.578823529411765</v>
      </c>
      <c r="DK33" s="5" t="str">
        <f t="shared" si="36"/>
        <v>Comprende el concepto de números reales, su relación de orden y las propiedades de sus operaciones, así como las relaciones de semejanza y congruencia de distintas figuras geométricas.</v>
      </c>
      <c r="DL33" s="5" t="str">
        <f t="shared" ref="DL33:FJ33" si="76">DL32</f>
        <v>Aplica correctamente las propiedades de las operaciones de números reales y expresiones algebraicas en la resolución de problemas.</v>
      </c>
      <c r="DM33" s="5" t="str">
        <f t="shared" si="76"/>
        <v>Valora el uso del pensamiento lógico a la hora de plantear y resolver problemas de las matemáticas y de la vida cotidiana.</v>
      </c>
      <c r="DN33" s="5" t="str">
        <f t="shared" si="76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3" s="5" t="str">
        <f t="shared" si="76"/>
        <v>Organiza y analiza datos mediante la construcción de tablas de frecuencias y diagramas estadísticos, identificando variables aleatorias y utilizando estas representaciones para resolver situaciones problema.</v>
      </c>
      <c r="DP33" s="5" t="str">
        <f t="shared" si="76"/>
        <v>Muestra disposición y responsabilidad en el manejo y análisis de datos, participando activamente en actividades individuales y colaborativas, y comunicando información estadística con claridad y sentido crítico.</v>
      </c>
      <c r="DQ33" s="5" t="str">
        <f t="shared" si="76"/>
        <v>Analiza las características de la literatura prehispánica y la literatura del descubrimiento y la conquista en Colombia identificando sus elementos fundamentales y su impacto en la cultura y el lenguaje actual.</v>
      </c>
      <c r="DR33" s="5" t="str">
        <f t="shared" si="76"/>
        <v>Realiza comprensión lectora cuando analiza un texto desde el discurso de la Enunciación e identifica la función de cada uno de sus componentes.
Responde preguntas en los tres niveles de lectura a una leyenda del Caribe.</v>
      </c>
      <c r="DS33" s="5" t="str">
        <f t="shared" si="76"/>
        <v>Muestra disposición para participar activamente en las clases, promoviendo el respeto por las ideas ajenas y reconociendo la importancia de la precisión como una herramienta clave para una comunicación</v>
      </c>
      <c r="DT33" s="5" t="str">
        <f t="shared" si="76"/>
        <v>Comprende el contenido del cuento A la deriva, identificando su tema central, la secuencia de los hechos, los personajes y las ideas explícitas e implícitas del texto.</v>
      </c>
      <c r="DU33" s="5" t="str">
        <f t="shared" si="76"/>
        <v>Analiza críticamente el cuento A la deriva mediante la identificación de información literal, inferencial y crítica, sustentando sus respuestas de forma oral y escrita.</v>
      </c>
      <c r="DV33" s="5" t="str">
        <f t="shared" si="76"/>
        <v>Valora la lectura literaria como una oportunidad para reflexionar sobre la vida, la naturaleza y la condición humana, participando con interés, respeto y sentido crítico en las actividades propuestas.</v>
      </c>
      <c r="DW33" s="5" t="str">
        <f t="shared" si="76"/>
        <v>Comprende y reconoce vocabulario y estructuras basicas del ingles para interpretar textos cortos y conversaciones sobre temas cotidianos de la vida diaria.</v>
      </c>
      <c r="DX33" s="5" t="str">
        <f t="shared" si="76"/>
        <v>Produce de forma oral y escrita frases y parrafos cortos en Ingles, utilizando correctamente las estructuras conocidas para describir rutinas, narrar experiencias y participar en conversaciones.</v>
      </c>
      <c r="DY33" s="5" t="str">
        <f t="shared" si="76"/>
        <v>Muestra disposicion positiva hacia el aprendizaje del Ingles participando activamente en clase.</v>
      </c>
      <c r="DZ33" s="5" t="str">
        <f t="shared" si="76"/>
        <v>Identifica vocabulario en Ingles  de situaciones cotidianas.</v>
      </c>
      <c r="EA33" s="5" t="str">
        <f t="shared" si="76"/>
        <v>Participa en actividades utilizando vocabulario aprendido para expresar gustos,emociones y necesidades.</v>
      </c>
      <c r="EB33" s="5" t="str">
        <f t="shared" si="76"/>
        <v>Respeta la opinion de los demas, muestra disposicion para participar en actividades orales.</v>
      </c>
      <c r="EC33" s="5" t="str">
        <f t="shared" si="76"/>
        <v>Identifica la conformación y funcionamiento del sistema inmunolófico y diferencia las característics de los estados de la materia.</v>
      </c>
      <c r="ED33" s="5" t="str">
        <f t="shared" si="76"/>
        <v>Reconoce experimentalmente las características de materiales en los diferentes estados de la materia.</v>
      </c>
      <c r="EE33" s="5" t="str">
        <f t="shared" si="76"/>
        <v xml:space="preserve">Valora la importancia de tener habitos saludables, para lograr el mantenimiento saludable del sistema inmune. </v>
      </c>
      <c r="EF33" s="5" t="str">
        <f t="shared" si="76"/>
        <v>Describe correctamente la secuencia de eventos biologicos de la fecundacion,incluyendo las recciones acrosomicas,la funcion de gametos y la formacion de gametos.</v>
      </c>
      <c r="EG33" s="5" t="str">
        <f t="shared" si="76"/>
        <v>Mide la capacidad del labolatrio para lograr la fecundacion exitosa de los ovulos con el espermatozoide.</v>
      </c>
      <c r="EH33" s="5" t="str">
        <f t="shared" si="76"/>
        <v>Valora la importancia del cuidado del cuerpo y de la salud reproductiva como la base para una fecundacion saludable.</v>
      </c>
      <c r="EI33" s="5" t="str">
        <f t="shared" si="76"/>
        <v>Explico las principales caracteristicas de algunas revoluciones de los siglos XVIII y XIX (Revolucion francesa, Industrial...)</v>
      </c>
      <c r="EJ33" s="5" t="str">
        <f t="shared" si="76"/>
        <v>Analiza las causas y consecuencias de procesos historicos como la Revolucion Industrial y Francesa.</v>
      </c>
      <c r="EK33" s="5" t="str">
        <f t="shared" si="76"/>
        <v>Muestra interes y curiosidad por comprender los procesos historicos y su impacto en la sociedad.</v>
      </c>
      <c r="EL33" s="5" t="str">
        <f t="shared" si="76"/>
        <v xml:space="preserve">Identifica los procesos historicos de algunas revoluciones de los siglos XVIII y XIX </v>
      </c>
      <c r="EM33" s="5">
        <f t="shared" si="76"/>
        <v>0</v>
      </c>
      <c r="EN33" s="5">
        <f t="shared" si="76"/>
        <v>0</v>
      </c>
      <c r="EO33" s="5" t="str">
        <f t="shared" si="76"/>
        <v xml:space="preserve">Comprende la distribucion espacial de la poblacion antes y despues de las revoluciones </v>
      </c>
      <c r="EP33" s="5" t="str">
        <f t="shared" si="76"/>
        <v xml:space="preserve">Ubica en mapas las regiones donde se desarrollaron las principales revoluciones y explica sus caracteristicas geograficas </v>
      </c>
      <c r="EQ33" s="5" t="str">
        <f t="shared" si="76"/>
        <v>Muestra interes por comprender la relacion entre sociedad, economia y territorio</v>
      </c>
      <c r="ER33" s="5" t="str">
        <f t="shared" si="76"/>
        <v>Comprende el concepto de cultura de paz y su importancia en la sociedad</v>
      </c>
      <c r="ES33" s="5" t="str">
        <f t="shared" si="76"/>
        <v>Practica normas de convivencia en diferentes espacios( aula, hogar, comunidad)</v>
      </c>
      <c r="ET33" s="5" t="str">
        <f t="shared" si="76"/>
        <v>Muestra actitud de respeto hacia la diversidad cuktural, social y de pensamiento</v>
      </c>
      <c r="EU33" s="5">
        <f t="shared" si="76"/>
        <v>0</v>
      </c>
      <c r="EV33" s="5">
        <f t="shared" si="76"/>
        <v>0</v>
      </c>
      <c r="EW33" s="5">
        <f t="shared" si="76"/>
        <v>0</v>
      </c>
      <c r="EX33" s="5">
        <f t="shared" si="76"/>
        <v>0</v>
      </c>
      <c r="EY33" s="5">
        <f t="shared" si="76"/>
        <v>0</v>
      </c>
      <c r="EZ33" s="5">
        <f t="shared" si="76"/>
        <v>0</v>
      </c>
      <c r="FA33" s="5">
        <f t="shared" si="76"/>
        <v>0</v>
      </c>
      <c r="FB33" s="5">
        <f t="shared" si="76"/>
        <v>0</v>
      </c>
      <c r="FC33" s="5">
        <f t="shared" si="76"/>
        <v>0</v>
      </c>
      <c r="FD33" s="5" t="str">
        <f t="shared" si="76"/>
        <v xml:space="preserve"> Identifica las expresiones motrices relacionadas con el juego del voleibol,  como una oportunidad para mejorar la salud, la estética y las relaciones con los demás.</v>
      </c>
      <c r="FE33" s="5" t="str">
        <f t="shared" si="76"/>
        <v>Pone en práctica los fundamentos básicos del voleibol.</v>
      </c>
      <c r="FF33" s="5" t="str">
        <f t="shared" si="76"/>
        <v>Muestra  responsabilidad y buena actitud al realizar el juego de voleibol.</v>
      </c>
      <c r="FG33" s="5" t="str">
        <f t="shared" si="76"/>
        <v>Comprende el concepto de variable como espacio de almacenamiento de datos y reconoce el uso de estructuras condicionales (si, si-no) para la toma de decisiones en un programa.</v>
      </c>
      <c r="FH33" s="5" t="str">
        <f t="shared" si="76"/>
        <v>Diseña y desarrolla programas que utilizan variables y estructuras condicionales para resolver problemas, evaluando condiciones y generando respuestas según diferentes situaciones.</v>
      </c>
      <c r="FI33" s="5" t="str">
        <f t="shared" si="76"/>
        <v>Muestra pensamiento lógico, perseverancia y actitud crítica al analizar errores y proponer soluciones en la construcción de programas con variables y condicionales.</v>
      </c>
      <c r="FJ33" s="5" t="str">
        <f t="shared" si="76"/>
        <v>Identifica y reconoce sus pricipales deberes y derechos dentro y fuera  de la Institución educativa.</v>
      </c>
    </row>
    <row r="34" spans="1:166" ht="15.75" customHeight="1">
      <c r="A34" s="5">
        <v>33</v>
      </c>
      <c r="B34" s="5" t="s">
        <v>209</v>
      </c>
      <c r="C34" s="6">
        <v>1044642646</v>
      </c>
      <c r="D34" s="5" t="s">
        <v>176</v>
      </c>
      <c r="E34" s="5" t="s">
        <v>177</v>
      </c>
      <c r="F34" s="5" t="s">
        <v>70</v>
      </c>
      <c r="G34" s="5" t="s">
        <v>71</v>
      </c>
      <c r="H34" s="5">
        <v>2026</v>
      </c>
      <c r="I34" s="5">
        <v>4</v>
      </c>
      <c r="J34" s="7">
        <v>3</v>
      </c>
      <c r="K34" s="7">
        <v>3.2</v>
      </c>
      <c r="L34" s="7">
        <v>3.4</v>
      </c>
      <c r="M34" s="5">
        <f t="shared" si="41"/>
        <v>3.2</v>
      </c>
      <c r="N34" s="5" t="str">
        <f t="shared" si="1"/>
        <v>BASICO</v>
      </c>
      <c r="O34" s="5">
        <v>1</v>
      </c>
      <c r="P34" s="7">
        <v>4</v>
      </c>
      <c r="Q34" s="7">
        <v>4</v>
      </c>
      <c r="R34" s="7">
        <v>4</v>
      </c>
      <c r="S34" s="5">
        <f t="shared" si="48"/>
        <v>4</v>
      </c>
      <c r="T34" s="5" t="str">
        <f t="shared" si="3"/>
        <v>ALTO</v>
      </c>
      <c r="U34" s="5">
        <v>4</v>
      </c>
      <c r="V34" s="7">
        <v>5</v>
      </c>
      <c r="W34" s="7">
        <v>4</v>
      </c>
      <c r="X34" s="7">
        <v>4</v>
      </c>
      <c r="Y34" s="5">
        <f t="shared" si="4"/>
        <v>4.3</v>
      </c>
      <c r="Z34" s="5" t="str">
        <f t="shared" si="5"/>
        <v>ALTO</v>
      </c>
      <c r="AA34" s="5">
        <v>1</v>
      </c>
      <c r="AB34" s="7">
        <v>4.4000000000000004</v>
      </c>
      <c r="AC34" s="7">
        <v>4.4000000000000004</v>
      </c>
      <c r="AD34" s="7">
        <v>4.4000000000000004</v>
      </c>
      <c r="AE34" s="5">
        <f t="shared" si="6"/>
        <v>4.4000000000000004</v>
      </c>
      <c r="AF34" s="5" t="str">
        <f t="shared" si="7"/>
        <v>ALTO</v>
      </c>
      <c r="AG34" s="5">
        <v>2</v>
      </c>
      <c r="AH34" s="8">
        <v>4</v>
      </c>
      <c r="AI34" s="8">
        <v>4</v>
      </c>
      <c r="AJ34" s="8">
        <v>4</v>
      </c>
      <c r="AK34" s="5">
        <f t="shared" si="8"/>
        <v>4</v>
      </c>
      <c r="AL34" s="5" t="str">
        <f t="shared" si="9"/>
        <v>ALTO</v>
      </c>
      <c r="AM34" s="5">
        <v>1</v>
      </c>
      <c r="AN34" s="8">
        <v>4</v>
      </c>
      <c r="AO34" s="8">
        <v>4</v>
      </c>
      <c r="AP34" s="8">
        <v>4</v>
      </c>
      <c r="AQ34" s="5">
        <f t="shared" si="10"/>
        <v>4</v>
      </c>
      <c r="AR34" s="5" t="str">
        <f t="shared" si="11"/>
        <v>ALTO</v>
      </c>
      <c r="AS34" s="5">
        <v>4</v>
      </c>
      <c r="AT34" s="7">
        <v>3.8</v>
      </c>
      <c r="AU34" s="7">
        <v>3.8</v>
      </c>
      <c r="AV34" s="7">
        <v>3.8</v>
      </c>
      <c r="AW34" s="5">
        <f t="shared" si="12"/>
        <v>3.8</v>
      </c>
      <c r="AX34" s="5" t="str">
        <f t="shared" si="56"/>
        <v>BASICO</v>
      </c>
      <c r="AY34" s="5">
        <v>1</v>
      </c>
      <c r="AZ34" s="7">
        <v>4</v>
      </c>
      <c r="BA34" s="7">
        <v>4</v>
      </c>
      <c r="BB34" s="7">
        <v>4</v>
      </c>
      <c r="BC34" s="5">
        <f t="shared" si="14"/>
        <v>4</v>
      </c>
      <c r="BD34" s="5" t="str">
        <f t="shared" si="15"/>
        <v>ALTO</v>
      </c>
      <c r="BE34" s="7">
        <v>2</v>
      </c>
      <c r="BF34" s="7"/>
      <c r="BG34" s="7"/>
      <c r="BH34" s="7"/>
      <c r="BI34" s="5">
        <f t="shared" si="72"/>
        <v>0</v>
      </c>
      <c r="BJ34" s="5" t="str">
        <f t="shared" si="17"/>
        <v>BAJO</v>
      </c>
      <c r="BK34" s="5">
        <v>1</v>
      </c>
      <c r="BL34" s="7"/>
      <c r="BM34" s="7"/>
      <c r="BN34" s="7"/>
      <c r="BO34" s="5">
        <f t="shared" si="58"/>
        <v>0</v>
      </c>
      <c r="BP34" s="5" t="str">
        <f t="shared" si="19"/>
        <v>BAJO</v>
      </c>
      <c r="BQ34" s="5">
        <v>1</v>
      </c>
      <c r="BR34" s="7"/>
      <c r="BS34" s="7"/>
      <c r="BT34" s="7"/>
      <c r="BU34" s="5">
        <f t="shared" si="20"/>
        <v>0</v>
      </c>
      <c r="BV34" s="5" t="str">
        <f t="shared" si="21"/>
        <v>BAJO</v>
      </c>
      <c r="BW34" s="5">
        <v>1</v>
      </c>
      <c r="BX34" s="7"/>
      <c r="BY34" s="7"/>
      <c r="BZ34" s="7"/>
      <c r="CA34" s="5">
        <f t="shared" si="22"/>
        <v>0</v>
      </c>
      <c r="CB34" s="5" t="str">
        <f t="shared" si="23"/>
        <v>BAJO</v>
      </c>
      <c r="CC34" s="5">
        <v>1</v>
      </c>
      <c r="CD34" s="7">
        <v>4</v>
      </c>
      <c r="CE34" s="7">
        <v>4</v>
      </c>
      <c r="CF34" s="7">
        <v>4</v>
      </c>
      <c r="CG34" s="5">
        <f t="shared" si="24"/>
        <v>4</v>
      </c>
      <c r="CH34" s="5" t="str">
        <f t="shared" si="25"/>
        <v>ALTO</v>
      </c>
      <c r="CI34" s="5">
        <v>1</v>
      </c>
      <c r="CJ34" s="7">
        <v>4</v>
      </c>
      <c r="CK34" s="7">
        <v>4</v>
      </c>
      <c r="CL34" s="7">
        <v>4</v>
      </c>
      <c r="CM34" s="5">
        <f t="shared" si="26"/>
        <v>4</v>
      </c>
      <c r="CN34" s="5" t="str">
        <f t="shared" si="27"/>
        <v>ALTO</v>
      </c>
      <c r="CO34" s="5">
        <v>1</v>
      </c>
      <c r="CP34" s="7">
        <v>5</v>
      </c>
      <c r="CQ34" s="7">
        <v>5</v>
      </c>
      <c r="CR34" s="7">
        <v>5</v>
      </c>
      <c r="CS34" s="5">
        <f t="shared" si="28"/>
        <v>5</v>
      </c>
      <c r="CT34" s="5" t="str">
        <f t="shared" si="29"/>
        <v>SUPERIOR</v>
      </c>
      <c r="CU34" s="5">
        <v>2</v>
      </c>
      <c r="CV34" s="7">
        <v>5</v>
      </c>
      <c r="CW34" s="7">
        <v>5</v>
      </c>
      <c r="CX34" s="7">
        <v>5</v>
      </c>
      <c r="CY34" s="5">
        <f t="shared" si="30"/>
        <v>5</v>
      </c>
      <c r="CZ34" s="5" t="str">
        <f t="shared" si="31"/>
        <v>SUPERIOR</v>
      </c>
      <c r="DA34" s="5">
        <v>2</v>
      </c>
      <c r="DB34" s="7">
        <v>4</v>
      </c>
      <c r="DC34" s="7">
        <v>4</v>
      </c>
      <c r="DD34" s="7">
        <v>4</v>
      </c>
      <c r="DE34" s="5">
        <f t="shared" si="32"/>
        <v>4</v>
      </c>
      <c r="DF34" s="5" t="str">
        <f t="shared" si="33"/>
        <v>ALTO</v>
      </c>
      <c r="DG34" s="5">
        <v>0</v>
      </c>
      <c r="DH34" s="7">
        <v>4</v>
      </c>
      <c r="DI34" s="5" t="str">
        <f t="shared" si="34"/>
        <v>ALTO</v>
      </c>
      <c r="DJ34" s="5">
        <f t="shared" si="35"/>
        <v>3.3941176470588239</v>
      </c>
      <c r="DK34" s="5" t="str">
        <f t="shared" si="36"/>
        <v>Comprende el concepto de números reales, su relación de orden y las propiedades de sus operaciones, así como las relaciones de semejanza y congruencia de distintas figuras geométricas.</v>
      </c>
      <c r="DL34" s="5" t="str">
        <f t="shared" ref="DL34:FJ34" si="77">DL33</f>
        <v>Aplica correctamente las propiedades de las operaciones de números reales y expresiones algebraicas en la resolución de problemas.</v>
      </c>
      <c r="DM34" s="5" t="str">
        <f t="shared" si="77"/>
        <v>Valora el uso del pensamiento lógico a la hora de plantear y resolver problemas de las matemáticas y de la vida cotidiana.</v>
      </c>
      <c r="DN34" s="5" t="str">
        <f t="shared" si="77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4" s="5" t="str">
        <f t="shared" si="77"/>
        <v>Organiza y analiza datos mediante la construcción de tablas de frecuencias y diagramas estadísticos, identificando variables aleatorias y utilizando estas representaciones para resolver situaciones problema.</v>
      </c>
      <c r="DP34" s="5" t="str">
        <f t="shared" si="77"/>
        <v>Muestra disposición y responsabilidad en el manejo y análisis de datos, participando activamente en actividades individuales y colaborativas, y comunicando información estadística con claridad y sentido crítico.</v>
      </c>
      <c r="DQ34" s="5" t="str">
        <f t="shared" si="77"/>
        <v>Analiza las características de la literatura prehispánica y la literatura del descubrimiento y la conquista en Colombia identificando sus elementos fundamentales y su impacto en la cultura y el lenguaje actual.</v>
      </c>
      <c r="DR34" s="5" t="str">
        <f t="shared" si="77"/>
        <v>Realiza comprensión lectora cuando analiza un texto desde el discurso de la Enunciación e identifica la función de cada uno de sus componentes.
Responde preguntas en los tres niveles de lectura a una leyenda del Caribe.</v>
      </c>
      <c r="DS34" s="5" t="str">
        <f t="shared" si="77"/>
        <v>Muestra disposición para participar activamente en las clases, promoviendo el respeto por las ideas ajenas y reconociendo la importancia de la precisión como una herramienta clave para una comunicación</v>
      </c>
      <c r="DT34" s="5" t="str">
        <f t="shared" si="77"/>
        <v>Comprende el contenido del cuento A la deriva, identificando su tema central, la secuencia de los hechos, los personajes y las ideas explícitas e implícitas del texto.</v>
      </c>
      <c r="DU34" s="5" t="str">
        <f t="shared" si="77"/>
        <v>Analiza críticamente el cuento A la deriva mediante la identificación de información literal, inferencial y crítica, sustentando sus respuestas de forma oral y escrita.</v>
      </c>
      <c r="DV34" s="5" t="str">
        <f t="shared" si="77"/>
        <v>Valora la lectura literaria como una oportunidad para reflexionar sobre la vida, la naturaleza y la condición humana, participando con interés, respeto y sentido crítico en las actividades propuestas.</v>
      </c>
      <c r="DW34" s="5" t="str">
        <f t="shared" si="77"/>
        <v>Comprende y reconoce vocabulario y estructuras basicas del ingles para interpretar textos cortos y conversaciones sobre temas cotidianos de la vida diaria.</v>
      </c>
      <c r="DX34" s="5" t="str">
        <f t="shared" si="77"/>
        <v>Produce de forma oral y escrita frases y parrafos cortos en Ingles, utilizando correctamente las estructuras conocidas para describir rutinas, narrar experiencias y participar en conversaciones.</v>
      </c>
      <c r="DY34" s="5" t="str">
        <f t="shared" si="77"/>
        <v>Muestra disposicion positiva hacia el aprendizaje del Ingles participando activamente en clase.</v>
      </c>
      <c r="DZ34" s="5" t="str">
        <f t="shared" si="77"/>
        <v>Identifica vocabulario en Ingles  de situaciones cotidianas.</v>
      </c>
      <c r="EA34" s="5" t="str">
        <f t="shared" si="77"/>
        <v>Participa en actividades utilizando vocabulario aprendido para expresar gustos,emociones y necesidades.</v>
      </c>
      <c r="EB34" s="5" t="str">
        <f t="shared" si="77"/>
        <v>Respeta la opinion de los demas, muestra disposicion para participar en actividades orales.</v>
      </c>
      <c r="EC34" s="5" t="str">
        <f t="shared" si="77"/>
        <v>Identifica la conformación y funcionamiento del sistema inmunolófico y diferencia las característics de los estados de la materia.</v>
      </c>
      <c r="ED34" s="5" t="str">
        <f t="shared" si="77"/>
        <v>Reconoce experimentalmente las características de materiales en los diferentes estados de la materia.</v>
      </c>
      <c r="EE34" s="5" t="str">
        <f t="shared" si="77"/>
        <v xml:space="preserve">Valora la importancia de tener habitos saludables, para lograr el mantenimiento saludable del sistema inmune. </v>
      </c>
      <c r="EF34" s="5" t="str">
        <f t="shared" si="77"/>
        <v>Describe correctamente la secuencia de eventos biologicos de la fecundacion,incluyendo las recciones acrosomicas,la funcion de gametos y la formacion de gametos.</v>
      </c>
      <c r="EG34" s="5" t="str">
        <f t="shared" si="77"/>
        <v>Mide la capacidad del labolatrio para lograr la fecundacion exitosa de los ovulos con el espermatozoide.</v>
      </c>
      <c r="EH34" s="5" t="str">
        <f t="shared" si="77"/>
        <v>Valora la importancia del cuidado del cuerpo y de la salud reproductiva como la base para una fecundacion saludable.</v>
      </c>
      <c r="EI34" s="5" t="str">
        <f t="shared" si="77"/>
        <v>Explico las principales caracteristicas de algunas revoluciones de los siglos XVIII y XIX (Revolucion francesa, Industrial...)</v>
      </c>
      <c r="EJ34" s="5" t="str">
        <f t="shared" si="77"/>
        <v>Analiza las causas y consecuencias de procesos historicos como la Revolucion Industrial y Francesa.</v>
      </c>
      <c r="EK34" s="5" t="str">
        <f t="shared" si="77"/>
        <v>Muestra interes y curiosidad por comprender los procesos historicos y su impacto en la sociedad.</v>
      </c>
      <c r="EL34" s="5" t="str">
        <f t="shared" si="77"/>
        <v xml:space="preserve">Identifica los procesos historicos de algunas revoluciones de los siglos XVIII y XIX </v>
      </c>
      <c r="EM34" s="5">
        <f t="shared" si="77"/>
        <v>0</v>
      </c>
      <c r="EN34" s="5">
        <f t="shared" si="77"/>
        <v>0</v>
      </c>
      <c r="EO34" s="5" t="str">
        <f t="shared" si="77"/>
        <v xml:space="preserve">Comprende la distribucion espacial de la poblacion antes y despues de las revoluciones </v>
      </c>
      <c r="EP34" s="5" t="str">
        <f t="shared" si="77"/>
        <v xml:space="preserve">Ubica en mapas las regiones donde se desarrollaron las principales revoluciones y explica sus caracteristicas geograficas </v>
      </c>
      <c r="EQ34" s="5" t="str">
        <f t="shared" si="77"/>
        <v>Muestra interes por comprender la relacion entre sociedad, economia y territorio</v>
      </c>
      <c r="ER34" s="5" t="str">
        <f t="shared" si="77"/>
        <v>Comprende el concepto de cultura de paz y su importancia en la sociedad</v>
      </c>
      <c r="ES34" s="5" t="str">
        <f t="shared" si="77"/>
        <v>Practica normas de convivencia en diferentes espacios( aula, hogar, comunidad)</v>
      </c>
      <c r="ET34" s="5" t="str">
        <f t="shared" si="77"/>
        <v>Muestra actitud de respeto hacia la diversidad cuktural, social y de pensamiento</v>
      </c>
      <c r="EU34" s="5">
        <f t="shared" si="77"/>
        <v>0</v>
      </c>
      <c r="EV34" s="5">
        <f t="shared" si="77"/>
        <v>0</v>
      </c>
      <c r="EW34" s="5">
        <f t="shared" si="77"/>
        <v>0</v>
      </c>
      <c r="EX34" s="5">
        <f t="shared" si="77"/>
        <v>0</v>
      </c>
      <c r="EY34" s="5">
        <f t="shared" si="77"/>
        <v>0</v>
      </c>
      <c r="EZ34" s="5">
        <f t="shared" si="77"/>
        <v>0</v>
      </c>
      <c r="FA34" s="5">
        <f t="shared" si="77"/>
        <v>0</v>
      </c>
      <c r="FB34" s="5">
        <f t="shared" si="77"/>
        <v>0</v>
      </c>
      <c r="FC34" s="5">
        <f t="shared" si="77"/>
        <v>0</v>
      </c>
      <c r="FD34" s="5" t="str">
        <f t="shared" si="77"/>
        <v xml:space="preserve"> Identifica las expresiones motrices relacionadas con el juego del voleibol,  como una oportunidad para mejorar la salud, la estética y las relaciones con los demás.</v>
      </c>
      <c r="FE34" s="5" t="str">
        <f t="shared" si="77"/>
        <v>Pone en práctica los fundamentos básicos del voleibol.</v>
      </c>
      <c r="FF34" s="5" t="str">
        <f t="shared" si="77"/>
        <v>Muestra  responsabilidad y buena actitud al realizar el juego de voleibol.</v>
      </c>
      <c r="FG34" s="5" t="str">
        <f t="shared" si="77"/>
        <v>Comprende el concepto de variable como espacio de almacenamiento de datos y reconoce el uso de estructuras condicionales (si, si-no) para la toma de decisiones en un programa.</v>
      </c>
      <c r="FH34" s="5" t="str">
        <f t="shared" si="77"/>
        <v>Diseña y desarrolla programas que utilizan variables y estructuras condicionales para resolver problemas, evaluando condiciones y generando respuestas según diferentes situaciones.</v>
      </c>
      <c r="FI34" s="5" t="str">
        <f t="shared" si="77"/>
        <v>Muestra pensamiento lógico, perseverancia y actitud crítica al analizar errores y proponer soluciones en la construcción de programas con variables y condicionales.</v>
      </c>
      <c r="FJ34" s="5" t="str">
        <f t="shared" si="77"/>
        <v>Identifica y reconoce sus pricipales deberes y derechos dentro y fuera  de la Institución educativa.</v>
      </c>
    </row>
    <row r="35" spans="1:166" ht="15.75" customHeight="1">
      <c r="A35" s="5">
        <v>34</v>
      </c>
      <c r="B35" s="5" t="s">
        <v>210</v>
      </c>
      <c r="C35" s="6">
        <v>1043459834</v>
      </c>
      <c r="D35" s="5" t="s">
        <v>176</v>
      </c>
      <c r="E35" s="5" t="s">
        <v>177</v>
      </c>
      <c r="F35" s="5" t="s">
        <v>70</v>
      </c>
      <c r="G35" s="5" t="s">
        <v>71</v>
      </c>
      <c r="H35" s="5">
        <v>2026</v>
      </c>
      <c r="I35" s="5">
        <v>4</v>
      </c>
      <c r="J35" s="7">
        <v>4.4000000000000004</v>
      </c>
      <c r="K35" s="7">
        <v>4.5</v>
      </c>
      <c r="L35" s="7">
        <v>4.5999999999999996</v>
      </c>
      <c r="M35" s="5">
        <f t="shared" si="41"/>
        <v>4.5</v>
      </c>
      <c r="N35" s="5" t="str">
        <f t="shared" si="1"/>
        <v>SUPERIOR</v>
      </c>
      <c r="O35" s="5">
        <v>1</v>
      </c>
      <c r="P35" s="7">
        <v>5</v>
      </c>
      <c r="Q35" s="7">
        <v>5</v>
      </c>
      <c r="R35" s="7">
        <v>5</v>
      </c>
      <c r="S35" s="5">
        <f t="shared" si="48"/>
        <v>5</v>
      </c>
      <c r="T35" s="5" t="str">
        <f t="shared" si="3"/>
        <v>SUPERIOR</v>
      </c>
      <c r="U35" s="5">
        <v>4</v>
      </c>
      <c r="V35" s="7">
        <v>4</v>
      </c>
      <c r="W35" s="7">
        <v>5</v>
      </c>
      <c r="X35" s="7">
        <v>5</v>
      </c>
      <c r="Y35" s="5">
        <f t="shared" si="4"/>
        <v>4.7</v>
      </c>
      <c r="Z35" s="5" t="str">
        <f t="shared" si="5"/>
        <v>SUPERIOR</v>
      </c>
      <c r="AA35" s="5">
        <v>1</v>
      </c>
      <c r="AB35" s="7">
        <v>4.7</v>
      </c>
      <c r="AC35" s="7">
        <v>4.7</v>
      </c>
      <c r="AD35" s="7">
        <v>4.7</v>
      </c>
      <c r="AE35" s="5">
        <f t="shared" si="6"/>
        <v>4.7</v>
      </c>
      <c r="AF35" s="5" t="str">
        <f t="shared" si="7"/>
        <v>SUPERIOR</v>
      </c>
      <c r="AG35" s="5">
        <v>2</v>
      </c>
      <c r="AH35" s="8">
        <v>4.5</v>
      </c>
      <c r="AI35" s="8">
        <v>4.5</v>
      </c>
      <c r="AJ35" s="8">
        <v>4.5</v>
      </c>
      <c r="AK35" s="5">
        <f t="shared" si="8"/>
        <v>4.5</v>
      </c>
      <c r="AL35" s="5" t="str">
        <f t="shared" si="9"/>
        <v>SUPERIOR</v>
      </c>
      <c r="AM35" s="5">
        <v>1</v>
      </c>
      <c r="AN35" s="8">
        <v>4.5</v>
      </c>
      <c r="AO35" s="8">
        <v>4.5</v>
      </c>
      <c r="AP35" s="8">
        <v>4.5</v>
      </c>
      <c r="AQ35" s="5">
        <f t="shared" si="10"/>
        <v>4.5</v>
      </c>
      <c r="AR35" s="5" t="str">
        <f t="shared" si="11"/>
        <v>SUPERIOR</v>
      </c>
      <c r="AS35" s="5">
        <v>4</v>
      </c>
      <c r="AT35" s="7">
        <v>4</v>
      </c>
      <c r="AU35" s="7">
        <v>4</v>
      </c>
      <c r="AV35" s="7">
        <v>4</v>
      </c>
      <c r="AW35" s="5">
        <f t="shared" si="12"/>
        <v>4</v>
      </c>
      <c r="AX35" s="5" t="str">
        <f t="shared" si="56"/>
        <v>ALTO</v>
      </c>
      <c r="AY35" s="5">
        <v>1</v>
      </c>
      <c r="AZ35" s="7">
        <v>5</v>
      </c>
      <c r="BA35" s="7">
        <v>5</v>
      </c>
      <c r="BB35" s="7">
        <v>5</v>
      </c>
      <c r="BC35" s="5">
        <f t="shared" si="14"/>
        <v>5</v>
      </c>
      <c r="BD35" s="5" t="str">
        <f t="shared" si="15"/>
        <v>SUPERIOR</v>
      </c>
      <c r="BE35" s="7">
        <v>2</v>
      </c>
      <c r="BF35" s="7"/>
      <c r="BG35" s="7"/>
      <c r="BH35" s="7"/>
      <c r="BI35" s="5">
        <f t="shared" si="72"/>
        <v>0</v>
      </c>
      <c r="BJ35" s="5" t="str">
        <f t="shared" si="17"/>
        <v>BAJO</v>
      </c>
      <c r="BK35" s="5">
        <v>1</v>
      </c>
      <c r="BL35" s="7"/>
      <c r="BM35" s="7"/>
      <c r="BN35" s="7"/>
      <c r="BO35" s="5">
        <f t="shared" si="58"/>
        <v>0</v>
      </c>
      <c r="BP35" s="5" t="str">
        <f t="shared" si="19"/>
        <v>BAJO</v>
      </c>
      <c r="BQ35" s="5">
        <v>1</v>
      </c>
      <c r="BR35" s="7"/>
      <c r="BS35" s="7"/>
      <c r="BT35" s="7"/>
      <c r="BU35" s="5">
        <f t="shared" si="20"/>
        <v>0</v>
      </c>
      <c r="BV35" s="5" t="str">
        <f t="shared" si="21"/>
        <v>BAJO</v>
      </c>
      <c r="BW35" s="5">
        <v>1</v>
      </c>
      <c r="BX35" s="7"/>
      <c r="BY35" s="7"/>
      <c r="BZ35" s="7"/>
      <c r="CA35" s="5">
        <f t="shared" si="22"/>
        <v>0</v>
      </c>
      <c r="CB35" s="5" t="str">
        <f t="shared" si="23"/>
        <v>BAJO</v>
      </c>
      <c r="CC35" s="5">
        <v>1</v>
      </c>
      <c r="CD35" s="7">
        <v>4</v>
      </c>
      <c r="CE35" s="7">
        <v>4</v>
      </c>
      <c r="CF35" s="7">
        <v>4</v>
      </c>
      <c r="CG35" s="5">
        <f t="shared" si="24"/>
        <v>4</v>
      </c>
      <c r="CH35" s="5" t="str">
        <f t="shared" si="25"/>
        <v>ALTO</v>
      </c>
      <c r="CI35" s="5">
        <v>1</v>
      </c>
      <c r="CJ35" s="7">
        <v>4.5999999999999996</v>
      </c>
      <c r="CK35" s="7">
        <v>4.5999999999999996</v>
      </c>
      <c r="CL35" s="7">
        <v>4.5999999999999996</v>
      </c>
      <c r="CM35" s="5">
        <f t="shared" si="26"/>
        <v>4.5999999999999996</v>
      </c>
      <c r="CN35" s="5" t="str">
        <f t="shared" si="27"/>
        <v>SUPERIOR</v>
      </c>
      <c r="CO35" s="5">
        <v>1</v>
      </c>
      <c r="CP35" s="7">
        <v>5</v>
      </c>
      <c r="CQ35" s="7">
        <v>5</v>
      </c>
      <c r="CR35" s="7">
        <v>5</v>
      </c>
      <c r="CS35" s="5">
        <f t="shared" si="28"/>
        <v>5</v>
      </c>
      <c r="CT35" s="5" t="str">
        <f t="shared" si="29"/>
        <v>SUPERIOR</v>
      </c>
      <c r="CU35" s="5">
        <v>2</v>
      </c>
      <c r="CV35" s="7">
        <v>5</v>
      </c>
      <c r="CW35" s="7">
        <v>5</v>
      </c>
      <c r="CX35" s="7">
        <v>5</v>
      </c>
      <c r="CY35" s="5">
        <f t="shared" si="30"/>
        <v>5</v>
      </c>
      <c r="CZ35" s="5" t="str">
        <f t="shared" si="31"/>
        <v>SUPERIOR</v>
      </c>
      <c r="DA35" s="5">
        <v>2</v>
      </c>
      <c r="DB35" s="7">
        <v>4</v>
      </c>
      <c r="DC35" s="7">
        <v>4</v>
      </c>
      <c r="DD35" s="7">
        <v>4.2</v>
      </c>
      <c r="DE35" s="5">
        <f t="shared" si="32"/>
        <v>4.0599999999999996</v>
      </c>
      <c r="DF35" s="5" t="str">
        <f t="shared" si="33"/>
        <v>ALTO</v>
      </c>
      <c r="DG35" s="5">
        <v>0</v>
      </c>
      <c r="DH35" s="7">
        <v>5</v>
      </c>
      <c r="DI35" s="5" t="str">
        <f t="shared" si="34"/>
        <v>SUPERIOR</v>
      </c>
      <c r="DJ35" s="5">
        <f t="shared" si="35"/>
        <v>3.7976470588235296</v>
      </c>
      <c r="DK35" s="5" t="str">
        <f t="shared" si="36"/>
        <v>Comprende el concepto de números reales, su relación de orden y las propiedades de sus operaciones, así como las relaciones de semejanza y congruencia de distintas figuras geométricas.</v>
      </c>
      <c r="DL35" s="5" t="str">
        <f t="shared" ref="DL35:FJ35" si="78">DL34</f>
        <v>Aplica correctamente las propiedades de las operaciones de números reales y expresiones algebraicas en la resolución de problemas.</v>
      </c>
      <c r="DM35" s="5" t="str">
        <f t="shared" si="78"/>
        <v>Valora el uso del pensamiento lógico a la hora de plantear y resolver problemas de las matemáticas y de la vida cotidiana.</v>
      </c>
      <c r="DN35" s="5" t="str">
        <f t="shared" si="78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5" s="5" t="str">
        <f t="shared" si="78"/>
        <v>Organiza y analiza datos mediante la construcción de tablas de frecuencias y diagramas estadísticos, identificando variables aleatorias y utilizando estas representaciones para resolver situaciones problema.</v>
      </c>
      <c r="DP35" s="5" t="str">
        <f t="shared" si="78"/>
        <v>Muestra disposición y responsabilidad en el manejo y análisis de datos, participando activamente en actividades individuales y colaborativas, y comunicando información estadística con claridad y sentido crítico.</v>
      </c>
      <c r="DQ35" s="5" t="str">
        <f t="shared" si="78"/>
        <v>Analiza las características de la literatura prehispánica y la literatura del descubrimiento y la conquista en Colombia identificando sus elementos fundamentales y su impacto en la cultura y el lenguaje actual.</v>
      </c>
      <c r="DR35" s="5" t="str">
        <f t="shared" si="78"/>
        <v>Realiza comprensión lectora cuando analiza un texto desde el discurso de la Enunciación e identifica la función de cada uno de sus componentes.
Responde preguntas en los tres niveles de lectura a una leyenda del Caribe.</v>
      </c>
      <c r="DS35" s="5" t="str">
        <f t="shared" si="78"/>
        <v>Muestra disposición para participar activamente en las clases, promoviendo el respeto por las ideas ajenas y reconociendo la importancia de la precisión como una herramienta clave para una comunicación</v>
      </c>
      <c r="DT35" s="5" t="str">
        <f t="shared" si="78"/>
        <v>Comprende el contenido del cuento A la deriva, identificando su tema central, la secuencia de los hechos, los personajes y las ideas explícitas e implícitas del texto.</v>
      </c>
      <c r="DU35" s="5" t="str">
        <f t="shared" si="78"/>
        <v>Analiza críticamente el cuento A la deriva mediante la identificación de información literal, inferencial y crítica, sustentando sus respuestas de forma oral y escrita.</v>
      </c>
      <c r="DV35" s="5" t="str">
        <f t="shared" si="78"/>
        <v>Valora la lectura literaria como una oportunidad para reflexionar sobre la vida, la naturaleza y la condición humana, participando con interés, respeto y sentido crítico en las actividades propuestas.</v>
      </c>
      <c r="DW35" s="5" t="str">
        <f t="shared" si="78"/>
        <v>Comprende y reconoce vocabulario y estructuras basicas del ingles para interpretar textos cortos y conversaciones sobre temas cotidianos de la vida diaria.</v>
      </c>
      <c r="DX35" s="5" t="str">
        <f t="shared" si="78"/>
        <v>Produce de forma oral y escrita frases y parrafos cortos en Ingles, utilizando correctamente las estructuras conocidas para describir rutinas, narrar experiencias y participar en conversaciones.</v>
      </c>
      <c r="DY35" s="5" t="str">
        <f t="shared" si="78"/>
        <v>Muestra disposicion positiva hacia el aprendizaje del Ingles participando activamente en clase.</v>
      </c>
      <c r="DZ35" s="5" t="str">
        <f t="shared" si="78"/>
        <v>Identifica vocabulario en Ingles  de situaciones cotidianas.</v>
      </c>
      <c r="EA35" s="5" t="str">
        <f t="shared" si="78"/>
        <v>Participa en actividades utilizando vocabulario aprendido para expresar gustos,emociones y necesidades.</v>
      </c>
      <c r="EB35" s="5" t="str">
        <f t="shared" si="78"/>
        <v>Respeta la opinion de los demas, muestra disposicion para participar en actividades orales.</v>
      </c>
      <c r="EC35" s="5" t="str">
        <f t="shared" si="78"/>
        <v>Identifica la conformación y funcionamiento del sistema inmunolófico y diferencia las característics de los estados de la materia.</v>
      </c>
      <c r="ED35" s="5" t="str">
        <f t="shared" si="78"/>
        <v>Reconoce experimentalmente las características de materiales en los diferentes estados de la materia.</v>
      </c>
      <c r="EE35" s="5" t="str">
        <f t="shared" si="78"/>
        <v xml:space="preserve">Valora la importancia de tener habitos saludables, para lograr el mantenimiento saludable del sistema inmune. </v>
      </c>
      <c r="EF35" s="5" t="str">
        <f t="shared" si="78"/>
        <v>Describe correctamente la secuencia de eventos biologicos de la fecundacion,incluyendo las recciones acrosomicas,la funcion de gametos y la formacion de gametos.</v>
      </c>
      <c r="EG35" s="5" t="str">
        <f t="shared" si="78"/>
        <v>Mide la capacidad del labolatrio para lograr la fecundacion exitosa de los ovulos con el espermatozoide.</v>
      </c>
      <c r="EH35" s="5" t="str">
        <f t="shared" si="78"/>
        <v>Valora la importancia del cuidado del cuerpo y de la salud reproductiva como la base para una fecundacion saludable.</v>
      </c>
      <c r="EI35" s="5" t="str">
        <f t="shared" si="78"/>
        <v>Explico las principales caracteristicas de algunas revoluciones de los siglos XVIII y XIX (Revolucion francesa, Industrial...)</v>
      </c>
      <c r="EJ35" s="5" t="str">
        <f t="shared" si="78"/>
        <v>Analiza las causas y consecuencias de procesos historicos como la Revolucion Industrial y Francesa.</v>
      </c>
      <c r="EK35" s="5" t="str">
        <f t="shared" si="78"/>
        <v>Muestra interes y curiosidad por comprender los procesos historicos y su impacto en la sociedad.</v>
      </c>
      <c r="EL35" s="5" t="str">
        <f t="shared" si="78"/>
        <v xml:space="preserve">Identifica los procesos historicos de algunas revoluciones de los siglos XVIII y XIX </v>
      </c>
      <c r="EM35" s="5">
        <f t="shared" si="78"/>
        <v>0</v>
      </c>
      <c r="EN35" s="5">
        <f t="shared" si="78"/>
        <v>0</v>
      </c>
      <c r="EO35" s="5" t="str">
        <f t="shared" si="78"/>
        <v xml:space="preserve">Comprende la distribucion espacial de la poblacion antes y despues de las revoluciones </v>
      </c>
      <c r="EP35" s="5" t="str">
        <f t="shared" si="78"/>
        <v xml:space="preserve">Ubica en mapas las regiones donde se desarrollaron las principales revoluciones y explica sus caracteristicas geograficas </v>
      </c>
      <c r="EQ35" s="5" t="str">
        <f t="shared" si="78"/>
        <v>Muestra interes por comprender la relacion entre sociedad, economia y territorio</v>
      </c>
      <c r="ER35" s="5" t="str">
        <f t="shared" si="78"/>
        <v>Comprende el concepto de cultura de paz y su importancia en la sociedad</v>
      </c>
      <c r="ES35" s="5" t="str">
        <f t="shared" si="78"/>
        <v>Practica normas de convivencia en diferentes espacios( aula, hogar, comunidad)</v>
      </c>
      <c r="ET35" s="5" t="str">
        <f t="shared" si="78"/>
        <v>Muestra actitud de respeto hacia la diversidad cuktural, social y de pensamiento</v>
      </c>
      <c r="EU35" s="5">
        <f t="shared" si="78"/>
        <v>0</v>
      </c>
      <c r="EV35" s="5">
        <f t="shared" si="78"/>
        <v>0</v>
      </c>
      <c r="EW35" s="5">
        <f t="shared" si="78"/>
        <v>0</v>
      </c>
      <c r="EX35" s="5">
        <f t="shared" si="78"/>
        <v>0</v>
      </c>
      <c r="EY35" s="5">
        <f t="shared" si="78"/>
        <v>0</v>
      </c>
      <c r="EZ35" s="5">
        <f t="shared" si="78"/>
        <v>0</v>
      </c>
      <c r="FA35" s="5">
        <f t="shared" si="78"/>
        <v>0</v>
      </c>
      <c r="FB35" s="5">
        <f t="shared" si="78"/>
        <v>0</v>
      </c>
      <c r="FC35" s="5">
        <f t="shared" si="78"/>
        <v>0</v>
      </c>
      <c r="FD35" s="5" t="str">
        <f t="shared" si="78"/>
        <v xml:space="preserve"> Identifica las expresiones motrices relacionadas con el juego del voleibol,  como una oportunidad para mejorar la salud, la estética y las relaciones con los demás.</v>
      </c>
      <c r="FE35" s="5" t="str">
        <f t="shared" si="78"/>
        <v>Pone en práctica los fundamentos básicos del voleibol.</v>
      </c>
      <c r="FF35" s="5" t="str">
        <f t="shared" si="78"/>
        <v>Muestra  responsabilidad y buena actitud al realizar el juego de voleibol.</v>
      </c>
      <c r="FG35" s="5" t="str">
        <f t="shared" si="78"/>
        <v>Comprende el concepto de variable como espacio de almacenamiento de datos y reconoce el uso de estructuras condicionales (si, si-no) para la toma de decisiones en un programa.</v>
      </c>
      <c r="FH35" s="5" t="str">
        <f t="shared" si="78"/>
        <v>Diseña y desarrolla programas que utilizan variables y estructuras condicionales para resolver problemas, evaluando condiciones y generando respuestas según diferentes situaciones.</v>
      </c>
      <c r="FI35" s="5" t="str">
        <f t="shared" si="78"/>
        <v>Muestra pensamiento lógico, perseverancia y actitud crítica al analizar errores y proponer soluciones en la construcción de programas con variables y condicionales.</v>
      </c>
      <c r="FJ35" s="5" t="str">
        <f t="shared" si="78"/>
        <v>Identifica y reconoce sus pricipales deberes y derechos dentro y fuera  de la Institución educativa.</v>
      </c>
    </row>
    <row r="36" spans="1:166" ht="15.75" customHeight="1">
      <c r="A36" s="5">
        <v>35</v>
      </c>
      <c r="B36" s="5" t="s">
        <v>211</v>
      </c>
      <c r="C36" s="6">
        <v>1112301914</v>
      </c>
      <c r="D36" s="5" t="s">
        <v>176</v>
      </c>
      <c r="E36" s="5" t="s">
        <v>177</v>
      </c>
      <c r="F36" s="5" t="s">
        <v>70</v>
      </c>
      <c r="G36" s="5" t="s">
        <v>71</v>
      </c>
      <c r="H36" s="5">
        <v>2026</v>
      </c>
      <c r="I36" s="5">
        <v>4</v>
      </c>
      <c r="J36" s="7">
        <v>2.4</v>
      </c>
      <c r="K36" s="7">
        <v>2.5</v>
      </c>
      <c r="L36" s="7">
        <v>2.6</v>
      </c>
      <c r="M36" s="5">
        <f t="shared" si="41"/>
        <v>2.5</v>
      </c>
      <c r="N36" s="5" t="str">
        <f t="shared" si="1"/>
        <v>BAJO</v>
      </c>
      <c r="O36" s="5">
        <v>1</v>
      </c>
      <c r="P36" s="7"/>
      <c r="Q36" s="7"/>
      <c r="R36" s="7"/>
      <c r="S36" s="5">
        <f t="shared" si="48"/>
        <v>0</v>
      </c>
      <c r="T36" s="5" t="str">
        <f t="shared" si="3"/>
        <v>BAJO</v>
      </c>
      <c r="U36" s="5">
        <v>4</v>
      </c>
      <c r="V36" s="7"/>
      <c r="W36" s="7"/>
      <c r="X36" s="7"/>
      <c r="Y36" s="5">
        <f t="shared" si="4"/>
        <v>0</v>
      </c>
      <c r="Z36" s="5" t="str">
        <f t="shared" si="5"/>
        <v>BAJO</v>
      </c>
      <c r="AA36" s="5">
        <v>1</v>
      </c>
      <c r="AB36" s="7">
        <v>2</v>
      </c>
      <c r="AC36" s="7">
        <v>2</v>
      </c>
      <c r="AD36" s="7">
        <v>2</v>
      </c>
      <c r="AE36" s="5">
        <f t="shared" si="6"/>
        <v>2</v>
      </c>
      <c r="AF36" s="5" t="str">
        <f t="shared" si="7"/>
        <v>BAJO</v>
      </c>
      <c r="AG36" s="5">
        <v>2</v>
      </c>
      <c r="AH36" s="8">
        <v>2</v>
      </c>
      <c r="AI36" s="8">
        <v>3</v>
      </c>
      <c r="AJ36" s="8">
        <v>3</v>
      </c>
      <c r="AK36" s="5">
        <f t="shared" si="8"/>
        <v>2.7</v>
      </c>
      <c r="AL36" s="5" t="str">
        <f t="shared" si="9"/>
        <v>BAJO</v>
      </c>
      <c r="AM36" s="5">
        <v>1</v>
      </c>
      <c r="AN36" s="8">
        <v>2</v>
      </c>
      <c r="AO36" s="8">
        <v>3</v>
      </c>
      <c r="AP36" s="8">
        <v>3</v>
      </c>
      <c r="AQ36" s="5">
        <f t="shared" si="10"/>
        <v>2.7</v>
      </c>
      <c r="AR36" s="5" t="str">
        <f t="shared" si="11"/>
        <v>BAJO</v>
      </c>
      <c r="AS36" s="5">
        <v>4</v>
      </c>
      <c r="AT36" s="7"/>
      <c r="AU36" s="7"/>
      <c r="AV36" s="7"/>
      <c r="AW36" s="5">
        <f t="shared" si="12"/>
        <v>0</v>
      </c>
      <c r="AX36" s="5" t="str">
        <f t="shared" si="56"/>
        <v>BAJO</v>
      </c>
      <c r="AY36" s="5">
        <v>1</v>
      </c>
      <c r="AZ36" s="7">
        <v>3.5</v>
      </c>
      <c r="BA36" s="7">
        <v>3.4</v>
      </c>
      <c r="BB36" s="7">
        <v>3.5</v>
      </c>
      <c r="BC36" s="5">
        <f t="shared" si="14"/>
        <v>3.46</v>
      </c>
      <c r="BD36" s="5" t="str">
        <f t="shared" si="15"/>
        <v>BASICO</v>
      </c>
      <c r="BE36" s="7">
        <v>2</v>
      </c>
      <c r="BF36" s="7"/>
      <c r="BG36" s="7"/>
      <c r="BH36" s="7"/>
      <c r="BI36" s="5">
        <f t="shared" si="72"/>
        <v>0</v>
      </c>
      <c r="BJ36" s="5" t="str">
        <f t="shared" si="17"/>
        <v>BAJO</v>
      </c>
      <c r="BK36" s="5">
        <v>1</v>
      </c>
      <c r="BL36" s="7"/>
      <c r="BM36" s="7"/>
      <c r="BN36" s="7"/>
      <c r="BO36" s="5">
        <f t="shared" si="58"/>
        <v>0</v>
      </c>
      <c r="BP36" s="5" t="str">
        <f t="shared" si="19"/>
        <v>BAJO</v>
      </c>
      <c r="BQ36" s="5">
        <v>1</v>
      </c>
      <c r="BR36" s="7"/>
      <c r="BS36" s="7"/>
      <c r="BT36" s="7"/>
      <c r="BU36" s="5">
        <f t="shared" si="20"/>
        <v>0</v>
      </c>
      <c r="BV36" s="5" t="str">
        <f t="shared" si="21"/>
        <v>BAJO</v>
      </c>
      <c r="BW36" s="5">
        <v>1</v>
      </c>
      <c r="BX36" s="7"/>
      <c r="BY36" s="7"/>
      <c r="BZ36" s="7"/>
      <c r="CA36" s="5">
        <f t="shared" si="22"/>
        <v>0</v>
      </c>
      <c r="CB36" s="5" t="str">
        <f t="shared" si="23"/>
        <v>BAJO</v>
      </c>
      <c r="CC36" s="5">
        <v>1</v>
      </c>
      <c r="CD36" s="7"/>
      <c r="CE36" s="7"/>
      <c r="CF36" s="7"/>
      <c r="CG36" s="5">
        <f t="shared" si="24"/>
        <v>0</v>
      </c>
      <c r="CH36" s="5" t="str">
        <f t="shared" si="25"/>
        <v>BAJO</v>
      </c>
      <c r="CI36" s="5">
        <v>1</v>
      </c>
      <c r="CJ36" s="7">
        <v>4.3</v>
      </c>
      <c r="CK36" s="7">
        <v>4.3</v>
      </c>
      <c r="CL36" s="7">
        <v>4.3</v>
      </c>
      <c r="CM36" s="5">
        <f t="shared" si="26"/>
        <v>4.3</v>
      </c>
      <c r="CN36" s="5" t="str">
        <f t="shared" si="27"/>
        <v>ALTO</v>
      </c>
      <c r="CO36" s="5">
        <v>1</v>
      </c>
      <c r="CP36" s="7">
        <v>3.5</v>
      </c>
      <c r="CQ36" s="7">
        <v>3.5</v>
      </c>
      <c r="CR36" s="7">
        <v>3.5</v>
      </c>
      <c r="CS36" s="5">
        <f t="shared" si="28"/>
        <v>3.5</v>
      </c>
      <c r="CT36" s="5" t="str">
        <f t="shared" si="29"/>
        <v>BASICO</v>
      </c>
      <c r="CU36" s="5">
        <v>2</v>
      </c>
      <c r="CV36" s="7">
        <v>4.8</v>
      </c>
      <c r="CW36" s="7">
        <v>4.8</v>
      </c>
      <c r="CX36" s="7">
        <v>4.8</v>
      </c>
      <c r="CY36" s="5">
        <f t="shared" si="30"/>
        <v>4.8</v>
      </c>
      <c r="CZ36" s="5" t="str">
        <f t="shared" si="31"/>
        <v>SUPERIOR</v>
      </c>
      <c r="DA36" s="5">
        <v>2</v>
      </c>
      <c r="DB36" s="7">
        <v>2</v>
      </c>
      <c r="DC36" s="7">
        <v>2</v>
      </c>
      <c r="DD36" s="7">
        <v>3.5</v>
      </c>
      <c r="DE36" s="5">
        <f t="shared" si="32"/>
        <v>2.4500000000000002</v>
      </c>
      <c r="DF36" s="5" t="str">
        <f t="shared" si="33"/>
        <v>BAJO</v>
      </c>
      <c r="DG36" s="5">
        <v>0</v>
      </c>
      <c r="DH36" s="7">
        <v>3.5</v>
      </c>
      <c r="DI36" s="5" t="str">
        <f t="shared" si="34"/>
        <v>BASICO</v>
      </c>
      <c r="DJ36" s="5">
        <f t="shared" si="35"/>
        <v>1.8770588235294117</v>
      </c>
      <c r="DK36" s="5" t="str">
        <f t="shared" si="36"/>
        <v>Comprende el concepto de números reales, su relación de orden y las propiedades de sus operaciones, así como las relaciones de semejanza y congruencia de distintas figuras geométricas.</v>
      </c>
      <c r="DL36" s="5" t="str">
        <f t="shared" ref="DL36:FJ36" si="79">DL35</f>
        <v>Aplica correctamente las propiedades de las operaciones de números reales y expresiones algebraicas en la resolución de problemas.</v>
      </c>
      <c r="DM36" s="5" t="str">
        <f t="shared" si="79"/>
        <v>Valora el uso del pensamiento lógico a la hora de plantear y resolver problemas de las matemáticas y de la vida cotidiana.</v>
      </c>
      <c r="DN36" s="5" t="str">
        <f t="shared" si="79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6" s="5" t="str">
        <f t="shared" si="79"/>
        <v>Organiza y analiza datos mediante la construcción de tablas de frecuencias y diagramas estadísticos, identificando variables aleatorias y utilizando estas representaciones para resolver situaciones problema.</v>
      </c>
      <c r="DP36" s="5" t="str">
        <f t="shared" si="79"/>
        <v>Muestra disposición y responsabilidad en el manejo y análisis de datos, participando activamente en actividades individuales y colaborativas, y comunicando información estadística con claridad y sentido crítico.</v>
      </c>
      <c r="DQ36" s="5" t="str">
        <f t="shared" si="79"/>
        <v>Analiza las características de la literatura prehispánica y la literatura del descubrimiento y la conquista en Colombia identificando sus elementos fundamentales y su impacto en la cultura y el lenguaje actual.</v>
      </c>
      <c r="DR36" s="5" t="str">
        <f t="shared" si="79"/>
        <v>Realiza comprensión lectora cuando analiza un texto desde el discurso de la Enunciación e identifica la función de cada uno de sus componentes.
Responde preguntas en los tres niveles de lectura a una leyenda del Caribe.</v>
      </c>
      <c r="DS36" s="5" t="str">
        <f t="shared" si="79"/>
        <v>Muestra disposición para participar activamente en las clases, promoviendo el respeto por las ideas ajenas y reconociendo la importancia de la precisión como una herramienta clave para una comunicación</v>
      </c>
      <c r="DT36" s="5" t="str">
        <f t="shared" si="79"/>
        <v>Comprende el contenido del cuento A la deriva, identificando su tema central, la secuencia de los hechos, los personajes y las ideas explícitas e implícitas del texto.</v>
      </c>
      <c r="DU36" s="5" t="str">
        <f t="shared" si="79"/>
        <v>Analiza críticamente el cuento A la deriva mediante la identificación de información literal, inferencial y crítica, sustentando sus respuestas de forma oral y escrita.</v>
      </c>
      <c r="DV36" s="5" t="str">
        <f t="shared" si="79"/>
        <v>Valora la lectura literaria como una oportunidad para reflexionar sobre la vida, la naturaleza y la condición humana, participando con interés, respeto y sentido crítico en las actividades propuestas.</v>
      </c>
      <c r="DW36" s="5" t="str">
        <f t="shared" si="79"/>
        <v>Comprende y reconoce vocabulario y estructuras basicas del ingles para interpretar textos cortos y conversaciones sobre temas cotidianos de la vida diaria.</v>
      </c>
      <c r="DX36" s="5" t="str">
        <f t="shared" si="79"/>
        <v>Produce de forma oral y escrita frases y parrafos cortos en Ingles, utilizando correctamente las estructuras conocidas para describir rutinas, narrar experiencias y participar en conversaciones.</v>
      </c>
      <c r="DY36" s="5" t="str">
        <f t="shared" si="79"/>
        <v>Muestra disposicion positiva hacia el aprendizaje del Ingles participando activamente en clase.</v>
      </c>
      <c r="DZ36" s="5" t="str">
        <f t="shared" si="79"/>
        <v>Identifica vocabulario en Ingles  de situaciones cotidianas.</v>
      </c>
      <c r="EA36" s="5" t="str">
        <f t="shared" si="79"/>
        <v>Participa en actividades utilizando vocabulario aprendido para expresar gustos,emociones y necesidades.</v>
      </c>
      <c r="EB36" s="5" t="str">
        <f t="shared" si="79"/>
        <v>Respeta la opinion de los demas, muestra disposicion para participar en actividades orales.</v>
      </c>
      <c r="EC36" s="5" t="str">
        <f t="shared" si="79"/>
        <v>Identifica la conformación y funcionamiento del sistema inmunolófico y diferencia las característics de los estados de la materia.</v>
      </c>
      <c r="ED36" s="5" t="str">
        <f t="shared" si="79"/>
        <v>Reconoce experimentalmente las características de materiales en los diferentes estados de la materia.</v>
      </c>
      <c r="EE36" s="5" t="str">
        <f t="shared" si="79"/>
        <v xml:space="preserve">Valora la importancia de tener habitos saludables, para lograr el mantenimiento saludable del sistema inmune. </v>
      </c>
      <c r="EF36" s="5" t="str">
        <f t="shared" si="79"/>
        <v>Describe correctamente la secuencia de eventos biologicos de la fecundacion,incluyendo las recciones acrosomicas,la funcion de gametos y la formacion de gametos.</v>
      </c>
      <c r="EG36" s="5" t="str">
        <f t="shared" si="79"/>
        <v>Mide la capacidad del labolatrio para lograr la fecundacion exitosa de los ovulos con el espermatozoide.</v>
      </c>
      <c r="EH36" s="5" t="str">
        <f t="shared" si="79"/>
        <v>Valora la importancia del cuidado del cuerpo y de la salud reproductiva como la base para una fecundacion saludable.</v>
      </c>
      <c r="EI36" s="5" t="str">
        <f t="shared" si="79"/>
        <v>Explico las principales caracteristicas de algunas revoluciones de los siglos XVIII y XIX (Revolucion francesa, Industrial...)</v>
      </c>
      <c r="EJ36" s="5" t="str">
        <f t="shared" si="79"/>
        <v>Analiza las causas y consecuencias de procesos historicos como la Revolucion Industrial y Francesa.</v>
      </c>
      <c r="EK36" s="5" t="str">
        <f t="shared" si="79"/>
        <v>Muestra interes y curiosidad por comprender los procesos historicos y su impacto en la sociedad.</v>
      </c>
      <c r="EL36" s="5" t="str">
        <f t="shared" si="79"/>
        <v xml:space="preserve">Identifica los procesos historicos de algunas revoluciones de los siglos XVIII y XIX </v>
      </c>
      <c r="EM36" s="5">
        <f t="shared" si="79"/>
        <v>0</v>
      </c>
      <c r="EN36" s="5">
        <f t="shared" si="79"/>
        <v>0</v>
      </c>
      <c r="EO36" s="5" t="str">
        <f t="shared" si="79"/>
        <v xml:space="preserve">Comprende la distribucion espacial de la poblacion antes y despues de las revoluciones </v>
      </c>
      <c r="EP36" s="5" t="str">
        <f t="shared" si="79"/>
        <v xml:space="preserve">Ubica en mapas las regiones donde se desarrollaron las principales revoluciones y explica sus caracteristicas geograficas </v>
      </c>
      <c r="EQ36" s="5" t="str">
        <f t="shared" si="79"/>
        <v>Muestra interes por comprender la relacion entre sociedad, economia y territorio</v>
      </c>
      <c r="ER36" s="5" t="str">
        <f t="shared" si="79"/>
        <v>Comprende el concepto de cultura de paz y su importancia en la sociedad</v>
      </c>
      <c r="ES36" s="5" t="str">
        <f t="shared" si="79"/>
        <v>Practica normas de convivencia en diferentes espacios( aula, hogar, comunidad)</v>
      </c>
      <c r="ET36" s="5" t="str">
        <f t="shared" si="79"/>
        <v>Muestra actitud de respeto hacia la diversidad cuktural, social y de pensamiento</v>
      </c>
      <c r="EU36" s="5">
        <f t="shared" si="79"/>
        <v>0</v>
      </c>
      <c r="EV36" s="5">
        <f t="shared" si="79"/>
        <v>0</v>
      </c>
      <c r="EW36" s="5">
        <f t="shared" si="79"/>
        <v>0</v>
      </c>
      <c r="EX36" s="5">
        <f t="shared" si="79"/>
        <v>0</v>
      </c>
      <c r="EY36" s="5">
        <f t="shared" si="79"/>
        <v>0</v>
      </c>
      <c r="EZ36" s="5">
        <f t="shared" si="79"/>
        <v>0</v>
      </c>
      <c r="FA36" s="5">
        <f t="shared" si="79"/>
        <v>0</v>
      </c>
      <c r="FB36" s="5">
        <f t="shared" si="79"/>
        <v>0</v>
      </c>
      <c r="FC36" s="5">
        <f t="shared" si="79"/>
        <v>0</v>
      </c>
      <c r="FD36" s="5" t="str">
        <f t="shared" si="79"/>
        <v xml:space="preserve"> Identifica las expresiones motrices relacionadas con el juego del voleibol,  como una oportunidad para mejorar la salud, la estética y las relaciones con los demás.</v>
      </c>
      <c r="FE36" s="5" t="str">
        <f t="shared" si="79"/>
        <v>Pone en práctica los fundamentos básicos del voleibol.</v>
      </c>
      <c r="FF36" s="5" t="str">
        <f t="shared" si="79"/>
        <v>Muestra  responsabilidad y buena actitud al realizar el juego de voleibol.</v>
      </c>
      <c r="FG36" s="5" t="str">
        <f t="shared" si="79"/>
        <v>Comprende el concepto de variable como espacio de almacenamiento de datos y reconoce el uso de estructuras condicionales (si, si-no) para la toma de decisiones en un programa.</v>
      </c>
      <c r="FH36" s="5" t="str">
        <f t="shared" si="79"/>
        <v>Diseña y desarrolla programas que utilizan variables y estructuras condicionales para resolver problemas, evaluando condiciones y generando respuestas según diferentes situaciones.</v>
      </c>
      <c r="FI36" s="5" t="str">
        <f t="shared" si="79"/>
        <v>Muestra pensamiento lógico, perseverancia y actitud crítica al analizar errores y proponer soluciones en la construcción de programas con variables y condicionales.</v>
      </c>
      <c r="FJ36" s="5" t="str">
        <f t="shared" si="79"/>
        <v>Identifica y reconoce sus pricipales deberes y derechos dentro y fuera  de la Institución educativa.</v>
      </c>
    </row>
    <row r="37" spans="1:166" ht="15.75" customHeight="1">
      <c r="A37" s="5">
        <v>36</v>
      </c>
      <c r="B37" s="5" t="s">
        <v>212</v>
      </c>
      <c r="C37" s="6">
        <v>1044649301</v>
      </c>
      <c r="D37" s="5" t="s">
        <v>176</v>
      </c>
      <c r="E37" s="5" t="s">
        <v>177</v>
      </c>
      <c r="F37" s="5" t="s">
        <v>70</v>
      </c>
      <c r="G37" s="5" t="s">
        <v>71</v>
      </c>
      <c r="H37" s="5">
        <v>2026</v>
      </c>
      <c r="I37" s="5">
        <v>4</v>
      </c>
      <c r="J37" s="7">
        <v>3</v>
      </c>
      <c r="K37" s="7">
        <v>3.2</v>
      </c>
      <c r="L37" s="7">
        <v>3.4</v>
      </c>
      <c r="M37" s="5">
        <f t="shared" si="41"/>
        <v>3.2</v>
      </c>
      <c r="N37" s="5" t="str">
        <f t="shared" si="1"/>
        <v>BASICO</v>
      </c>
      <c r="O37" s="5">
        <v>1</v>
      </c>
      <c r="P37" s="7">
        <v>3.5</v>
      </c>
      <c r="Q37" s="7">
        <v>3.5</v>
      </c>
      <c r="R37" s="7">
        <v>3.2</v>
      </c>
      <c r="S37" s="5">
        <f t="shared" si="48"/>
        <v>3.41</v>
      </c>
      <c r="T37" s="5" t="str">
        <f t="shared" si="3"/>
        <v>BASICO</v>
      </c>
      <c r="U37" s="5">
        <v>4</v>
      </c>
      <c r="V37" s="7">
        <v>3</v>
      </c>
      <c r="W37" s="7">
        <v>4</v>
      </c>
      <c r="X37" s="7">
        <v>4.5</v>
      </c>
      <c r="Y37" s="5">
        <f t="shared" si="4"/>
        <v>3.8499999999999996</v>
      </c>
      <c r="Z37" s="5" t="str">
        <f t="shared" si="5"/>
        <v>BASICO</v>
      </c>
      <c r="AA37" s="5">
        <v>1</v>
      </c>
      <c r="AB37" s="7">
        <v>4.7</v>
      </c>
      <c r="AC37" s="7">
        <v>4.7</v>
      </c>
      <c r="AD37" s="7">
        <v>4.7</v>
      </c>
      <c r="AE37" s="5">
        <f t="shared" si="6"/>
        <v>4.7</v>
      </c>
      <c r="AF37" s="5" t="str">
        <f t="shared" si="7"/>
        <v>SUPERIOR</v>
      </c>
      <c r="AG37" s="5">
        <v>2</v>
      </c>
      <c r="AH37" s="8">
        <v>4.5</v>
      </c>
      <c r="AI37" s="8">
        <v>4.5</v>
      </c>
      <c r="AJ37" s="8">
        <v>4.5</v>
      </c>
      <c r="AK37" s="5">
        <f t="shared" si="8"/>
        <v>4.5</v>
      </c>
      <c r="AL37" s="5" t="str">
        <f t="shared" si="9"/>
        <v>SUPERIOR</v>
      </c>
      <c r="AM37" s="5">
        <v>1</v>
      </c>
      <c r="AN37" s="8">
        <v>4.5</v>
      </c>
      <c r="AO37" s="8">
        <v>4.5</v>
      </c>
      <c r="AP37" s="8">
        <v>4.5</v>
      </c>
      <c r="AQ37" s="5">
        <f t="shared" si="10"/>
        <v>4.5</v>
      </c>
      <c r="AR37" s="5" t="str">
        <f t="shared" si="11"/>
        <v>SUPERIOR</v>
      </c>
      <c r="AS37" s="5">
        <v>4</v>
      </c>
      <c r="AT37" s="7">
        <v>4</v>
      </c>
      <c r="AU37" s="7">
        <v>4</v>
      </c>
      <c r="AV37" s="7">
        <v>4</v>
      </c>
      <c r="AW37" s="5">
        <f t="shared" si="12"/>
        <v>4</v>
      </c>
      <c r="AX37" s="5" t="str">
        <f t="shared" si="56"/>
        <v>ALTO</v>
      </c>
      <c r="AY37" s="5">
        <v>1</v>
      </c>
      <c r="AZ37" s="7">
        <v>4</v>
      </c>
      <c r="BA37" s="7">
        <v>4</v>
      </c>
      <c r="BB37" s="7"/>
      <c r="BC37" s="5">
        <f t="shared" si="14"/>
        <v>2.8</v>
      </c>
      <c r="BD37" s="5" t="str">
        <f t="shared" si="15"/>
        <v>BAJO</v>
      </c>
      <c r="BE37" s="7">
        <v>2</v>
      </c>
      <c r="BF37" s="7"/>
      <c r="BG37" s="7"/>
      <c r="BH37" s="7"/>
      <c r="BI37" s="5">
        <f t="shared" si="72"/>
        <v>0</v>
      </c>
      <c r="BJ37" s="5" t="str">
        <f t="shared" si="17"/>
        <v>BAJO</v>
      </c>
      <c r="BK37" s="5">
        <v>1</v>
      </c>
      <c r="BL37" s="7"/>
      <c r="BM37" s="7"/>
      <c r="BN37" s="7"/>
      <c r="BO37" s="5">
        <f t="shared" si="58"/>
        <v>0</v>
      </c>
      <c r="BP37" s="5" t="str">
        <f t="shared" si="19"/>
        <v>BAJO</v>
      </c>
      <c r="BQ37" s="5">
        <v>1</v>
      </c>
      <c r="BR37" s="7"/>
      <c r="BS37" s="7"/>
      <c r="BT37" s="7"/>
      <c r="BU37" s="5">
        <f t="shared" si="20"/>
        <v>0</v>
      </c>
      <c r="BV37" s="5" t="str">
        <f t="shared" si="21"/>
        <v>BAJO</v>
      </c>
      <c r="BW37" s="5">
        <v>1</v>
      </c>
      <c r="BX37" s="7"/>
      <c r="BY37" s="7"/>
      <c r="BZ37" s="7"/>
      <c r="CA37" s="5">
        <f t="shared" si="22"/>
        <v>0</v>
      </c>
      <c r="CB37" s="5" t="str">
        <f t="shared" si="23"/>
        <v>BAJO</v>
      </c>
      <c r="CC37" s="5">
        <v>1</v>
      </c>
      <c r="CD37" s="7">
        <v>4.7</v>
      </c>
      <c r="CE37" s="7">
        <v>4.5999999999999996</v>
      </c>
      <c r="CF37" s="7">
        <v>4.5999999999999996</v>
      </c>
      <c r="CG37" s="5">
        <f t="shared" si="24"/>
        <v>4.63</v>
      </c>
      <c r="CH37" s="5" t="str">
        <f t="shared" si="25"/>
        <v>SUPERIOR</v>
      </c>
      <c r="CI37" s="5">
        <v>1</v>
      </c>
      <c r="CJ37" s="7">
        <v>4.5999999999999996</v>
      </c>
      <c r="CK37" s="7">
        <v>4.5999999999999996</v>
      </c>
      <c r="CL37" s="7">
        <v>4.5999999999999996</v>
      </c>
      <c r="CM37" s="5">
        <f t="shared" si="26"/>
        <v>4.5999999999999996</v>
      </c>
      <c r="CN37" s="5" t="str">
        <f t="shared" si="27"/>
        <v>SUPERIOR</v>
      </c>
      <c r="CO37" s="5">
        <v>1</v>
      </c>
      <c r="CP37" s="7">
        <v>5</v>
      </c>
      <c r="CQ37" s="7">
        <v>5</v>
      </c>
      <c r="CR37" s="7">
        <v>5</v>
      </c>
      <c r="CS37" s="5">
        <f t="shared" si="28"/>
        <v>5</v>
      </c>
      <c r="CT37" s="5" t="str">
        <f t="shared" si="29"/>
        <v>SUPERIOR</v>
      </c>
      <c r="CU37" s="5">
        <v>2</v>
      </c>
      <c r="CV37" s="7">
        <v>5</v>
      </c>
      <c r="CW37" s="7">
        <v>5</v>
      </c>
      <c r="CX37" s="7">
        <v>5</v>
      </c>
      <c r="CY37" s="5">
        <f t="shared" si="30"/>
        <v>5</v>
      </c>
      <c r="CZ37" s="5" t="str">
        <f t="shared" si="31"/>
        <v>SUPERIOR</v>
      </c>
      <c r="DA37" s="5">
        <v>2</v>
      </c>
      <c r="DB37" s="7">
        <v>4</v>
      </c>
      <c r="DC37" s="7">
        <v>3.5</v>
      </c>
      <c r="DD37" s="7">
        <v>4</v>
      </c>
      <c r="DE37" s="5">
        <f t="shared" si="32"/>
        <v>3.8</v>
      </c>
      <c r="DF37" s="5" t="str">
        <f t="shared" si="33"/>
        <v>BASICO</v>
      </c>
      <c r="DG37" s="5">
        <v>0</v>
      </c>
      <c r="DH37" s="7">
        <v>4.5</v>
      </c>
      <c r="DI37" s="5" t="str">
        <f t="shared" si="34"/>
        <v>SUPERIOR</v>
      </c>
      <c r="DJ37" s="5">
        <f t="shared" si="35"/>
        <v>3.4405882352941184</v>
      </c>
      <c r="DK37" s="5" t="str">
        <f t="shared" si="36"/>
        <v>Comprende el concepto de números reales, su relación de orden y las propiedades de sus operaciones, así como las relaciones de semejanza y congruencia de distintas figuras geométricas.</v>
      </c>
      <c r="DL37" s="5" t="str">
        <f t="shared" ref="DL37:FJ37" si="80">DL36</f>
        <v>Aplica correctamente las propiedades de las operaciones de números reales y expresiones algebraicas en la resolución de problemas.</v>
      </c>
      <c r="DM37" s="5" t="str">
        <f t="shared" si="80"/>
        <v>Valora el uso del pensamiento lógico a la hora de plantear y resolver problemas de las matemáticas y de la vida cotidiana.</v>
      </c>
      <c r="DN37" s="5" t="str">
        <f t="shared" si="80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7" s="5" t="str">
        <f t="shared" si="80"/>
        <v>Organiza y analiza datos mediante la construcción de tablas de frecuencias y diagramas estadísticos, identificando variables aleatorias y utilizando estas representaciones para resolver situaciones problema.</v>
      </c>
      <c r="DP37" s="5" t="str">
        <f t="shared" si="80"/>
        <v>Muestra disposición y responsabilidad en el manejo y análisis de datos, participando activamente en actividades individuales y colaborativas, y comunicando información estadística con claridad y sentido crítico.</v>
      </c>
      <c r="DQ37" s="5" t="str">
        <f t="shared" si="80"/>
        <v>Analiza las características de la literatura prehispánica y la literatura del descubrimiento y la conquista en Colombia identificando sus elementos fundamentales y su impacto en la cultura y el lenguaje actual.</v>
      </c>
      <c r="DR37" s="5" t="str">
        <f t="shared" si="80"/>
        <v>Realiza comprensión lectora cuando analiza un texto desde el discurso de la Enunciación e identifica la función de cada uno de sus componentes.
Responde preguntas en los tres niveles de lectura a una leyenda del Caribe.</v>
      </c>
      <c r="DS37" s="5" t="str">
        <f t="shared" si="80"/>
        <v>Muestra disposición para participar activamente en las clases, promoviendo el respeto por las ideas ajenas y reconociendo la importancia de la precisión como una herramienta clave para una comunicación</v>
      </c>
      <c r="DT37" s="5" t="str">
        <f t="shared" si="80"/>
        <v>Comprende el contenido del cuento A la deriva, identificando su tema central, la secuencia de los hechos, los personajes y las ideas explícitas e implícitas del texto.</v>
      </c>
      <c r="DU37" s="5" t="str">
        <f t="shared" si="80"/>
        <v>Analiza críticamente el cuento A la deriva mediante la identificación de información literal, inferencial y crítica, sustentando sus respuestas de forma oral y escrita.</v>
      </c>
      <c r="DV37" s="5" t="str">
        <f t="shared" si="80"/>
        <v>Valora la lectura literaria como una oportunidad para reflexionar sobre la vida, la naturaleza y la condición humana, participando con interés, respeto y sentido crítico en las actividades propuestas.</v>
      </c>
      <c r="DW37" s="5" t="str">
        <f t="shared" si="80"/>
        <v>Comprende y reconoce vocabulario y estructuras basicas del ingles para interpretar textos cortos y conversaciones sobre temas cotidianos de la vida diaria.</v>
      </c>
      <c r="DX37" s="5" t="str">
        <f t="shared" si="80"/>
        <v>Produce de forma oral y escrita frases y parrafos cortos en Ingles, utilizando correctamente las estructuras conocidas para describir rutinas, narrar experiencias y participar en conversaciones.</v>
      </c>
      <c r="DY37" s="5" t="str">
        <f t="shared" si="80"/>
        <v>Muestra disposicion positiva hacia el aprendizaje del Ingles participando activamente en clase.</v>
      </c>
      <c r="DZ37" s="5" t="str">
        <f t="shared" si="80"/>
        <v>Identifica vocabulario en Ingles  de situaciones cotidianas.</v>
      </c>
      <c r="EA37" s="5" t="str">
        <f t="shared" si="80"/>
        <v>Participa en actividades utilizando vocabulario aprendido para expresar gustos,emociones y necesidades.</v>
      </c>
      <c r="EB37" s="5" t="str">
        <f t="shared" si="80"/>
        <v>Respeta la opinion de los demas, muestra disposicion para participar en actividades orales.</v>
      </c>
      <c r="EC37" s="5" t="str">
        <f t="shared" si="80"/>
        <v>Identifica la conformación y funcionamiento del sistema inmunolófico y diferencia las característics de los estados de la materia.</v>
      </c>
      <c r="ED37" s="5" t="str">
        <f t="shared" si="80"/>
        <v>Reconoce experimentalmente las características de materiales en los diferentes estados de la materia.</v>
      </c>
      <c r="EE37" s="5" t="str">
        <f t="shared" si="80"/>
        <v xml:space="preserve">Valora la importancia de tener habitos saludables, para lograr el mantenimiento saludable del sistema inmune. </v>
      </c>
      <c r="EF37" s="5" t="str">
        <f t="shared" si="80"/>
        <v>Describe correctamente la secuencia de eventos biologicos de la fecundacion,incluyendo las recciones acrosomicas,la funcion de gametos y la formacion de gametos.</v>
      </c>
      <c r="EG37" s="5" t="str">
        <f t="shared" si="80"/>
        <v>Mide la capacidad del labolatrio para lograr la fecundacion exitosa de los ovulos con el espermatozoide.</v>
      </c>
      <c r="EH37" s="5" t="str">
        <f t="shared" si="80"/>
        <v>Valora la importancia del cuidado del cuerpo y de la salud reproductiva como la base para una fecundacion saludable.</v>
      </c>
      <c r="EI37" s="5" t="str">
        <f t="shared" si="80"/>
        <v>Explico las principales caracteristicas de algunas revoluciones de los siglos XVIII y XIX (Revolucion francesa, Industrial...)</v>
      </c>
      <c r="EJ37" s="5" t="str">
        <f t="shared" si="80"/>
        <v>Analiza las causas y consecuencias de procesos historicos como la Revolucion Industrial y Francesa.</v>
      </c>
      <c r="EK37" s="5" t="str">
        <f t="shared" si="80"/>
        <v>Muestra interes y curiosidad por comprender los procesos historicos y su impacto en la sociedad.</v>
      </c>
      <c r="EL37" s="5" t="str">
        <f t="shared" si="80"/>
        <v xml:space="preserve">Identifica los procesos historicos de algunas revoluciones de los siglos XVIII y XIX </v>
      </c>
      <c r="EM37" s="5">
        <f t="shared" si="80"/>
        <v>0</v>
      </c>
      <c r="EN37" s="5">
        <f t="shared" si="80"/>
        <v>0</v>
      </c>
      <c r="EO37" s="5" t="str">
        <f t="shared" si="80"/>
        <v xml:space="preserve">Comprende la distribucion espacial de la poblacion antes y despues de las revoluciones </v>
      </c>
      <c r="EP37" s="5" t="str">
        <f t="shared" si="80"/>
        <v xml:space="preserve">Ubica en mapas las regiones donde se desarrollaron las principales revoluciones y explica sus caracteristicas geograficas </v>
      </c>
      <c r="EQ37" s="5" t="str">
        <f t="shared" si="80"/>
        <v>Muestra interes por comprender la relacion entre sociedad, economia y territorio</v>
      </c>
      <c r="ER37" s="5" t="str">
        <f t="shared" si="80"/>
        <v>Comprende el concepto de cultura de paz y su importancia en la sociedad</v>
      </c>
      <c r="ES37" s="5" t="str">
        <f t="shared" si="80"/>
        <v>Practica normas de convivencia en diferentes espacios( aula, hogar, comunidad)</v>
      </c>
      <c r="ET37" s="5" t="str">
        <f t="shared" si="80"/>
        <v>Muestra actitud de respeto hacia la diversidad cuktural, social y de pensamiento</v>
      </c>
      <c r="EU37" s="5">
        <f t="shared" si="80"/>
        <v>0</v>
      </c>
      <c r="EV37" s="5">
        <f t="shared" si="80"/>
        <v>0</v>
      </c>
      <c r="EW37" s="5">
        <f t="shared" si="80"/>
        <v>0</v>
      </c>
      <c r="EX37" s="5">
        <f t="shared" si="80"/>
        <v>0</v>
      </c>
      <c r="EY37" s="5">
        <f t="shared" si="80"/>
        <v>0</v>
      </c>
      <c r="EZ37" s="5">
        <f t="shared" si="80"/>
        <v>0</v>
      </c>
      <c r="FA37" s="5">
        <f t="shared" si="80"/>
        <v>0</v>
      </c>
      <c r="FB37" s="5">
        <f t="shared" si="80"/>
        <v>0</v>
      </c>
      <c r="FC37" s="5">
        <f t="shared" si="80"/>
        <v>0</v>
      </c>
      <c r="FD37" s="5" t="str">
        <f t="shared" si="80"/>
        <v xml:space="preserve"> Identifica las expresiones motrices relacionadas con el juego del voleibol,  como una oportunidad para mejorar la salud, la estética y las relaciones con los demás.</v>
      </c>
      <c r="FE37" s="5" t="str">
        <f t="shared" si="80"/>
        <v>Pone en práctica los fundamentos básicos del voleibol.</v>
      </c>
      <c r="FF37" s="5" t="str">
        <f t="shared" si="80"/>
        <v>Muestra  responsabilidad y buena actitud al realizar el juego de voleibol.</v>
      </c>
      <c r="FG37" s="5" t="str">
        <f t="shared" si="80"/>
        <v>Comprende el concepto de variable como espacio de almacenamiento de datos y reconoce el uso de estructuras condicionales (si, si-no) para la toma de decisiones en un programa.</v>
      </c>
      <c r="FH37" s="5" t="str">
        <f t="shared" si="80"/>
        <v>Diseña y desarrolla programas que utilizan variables y estructuras condicionales para resolver problemas, evaluando condiciones y generando respuestas según diferentes situaciones.</v>
      </c>
      <c r="FI37" s="5" t="str">
        <f t="shared" si="80"/>
        <v>Muestra pensamiento lógico, perseverancia y actitud crítica al analizar errores y proponer soluciones en la construcción de programas con variables y condicionales.</v>
      </c>
      <c r="FJ37" s="5" t="str">
        <f t="shared" si="80"/>
        <v>Identifica y reconoce sus pricipales deberes y derechos dentro y fuera  de la Institución educativa.</v>
      </c>
    </row>
    <row r="38" spans="1:166" ht="15.75" customHeight="1">
      <c r="A38" s="5">
        <v>37</v>
      </c>
      <c r="B38" s="9" t="s">
        <v>213</v>
      </c>
      <c r="C38" s="10">
        <v>1043456145</v>
      </c>
      <c r="D38" s="5" t="s">
        <v>176</v>
      </c>
      <c r="E38" s="5" t="s">
        <v>177</v>
      </c>
      <c r="F38" s="5" t="s">
        <v>70</v>
      </c>
      <c r="G38" s="5" t="s">
        <v>71</v>
      </c>
      <c r="H38" s="5">
        <v>2026</v>
      </c>
      <c r="I38" s="5">
        <v>4</v>
      </c>
      <c r="J38" s="7"/>
      <c r="K38" s="7"/>
      <c r="L38" s="7"/>
      <c r="M38" s="5">
        <f t="shared" si="41"/>
        <v>0</v>
      </c>
      <c r="N38" s="5" t="str">
        <f t="shared" si="1"/>
        <v>BAJO</v>
      </c>
      <c r="O38" s="5">
        <v>1</v>
      </c>
      <c r="P38" s="7"/>
      <c r="Q38" s="7"/>
      <c r="R38" s="7"/>
      <c r="S38" s="5">
        <f t="shared" si="48"/>
        <v>0</v>
      </c>
      <c r="T38" s="5" t="str">
        <f t="shared" si="3"/>
        <v>BAJO</v>
      </c>
      <c r="U38" s="5">
        <v>4</v>
      </c>
      <c r="V38" s="7"/>
      <c r="W38" s="7"/>
      <c r="X38" s="7"/>
      <c r="Y38" s="5">
        <f t="shared" si="4"/>
        <v>0</v>
      </c>
      <c r="Z38" s="5" t="str">
        <f t="shared" si="5"/>
        <v>BAJO</v>
      </c>
      <c r="AA38" s="5">
        <v>1</v>
      </c>
      <c r="AB38" s="7"/>
      <c r="AC38" s="7"/>
      <c r="AD38" s="7"/>
      <c r="AE38" s="5">
        <f t="shared" si="6"/>
        <v>0</v>
      </c>
      <c r="AF38" s="5" t="str">
        <f t="shared" si="7"/>
        <v>BAJO</v>
      </c>
      <c r="AG38" s="5">
        <v>2</v>
      </c>
      <c r="AH38" s="11"/>
      <c r="AI38" s="11"/>
      <c r="AJ38" s="11"/>
      <c r="AK38" s="5">
        <f t="shared" si="8"/>
        <v>0</v>
      </c>
      <c r="AL38" s="5" t="str">
        <f t="shared" si="9"/>
        <v>BAJO</v>
      </c>
      <c r="AM38" s="5">
        <v>1</v>
      </c>
      <c r="AN38" s="11"/>
      <c r="AO38" s="11"/>
      <c r="AP38" s="11"/>
      <c r="AQ38" s="5">
        <f t="shared" si="10"/>
        <v>0</v>
      </c>
      <c r="AR38" s="5" t="str">
        <f t="shared" si="11"/>
        <v>BAJO</v>
      </c>
      <c r="AS38" s="5">
        <v>4</v>
      </c>
      <c r="AT38" s="7"/>
      <c r="AU38" s="7"/>
      <c r="AV38" s="7"/>
      <c r="AW38" s="5">
        <f t="shared" si="12"/>
        <v>0</v>
      </c>
      <c r="AX38" s="5" t="str">
        <f t="shared" si="56"/>
        <v>BAJO</v>
      </c>
      <c r="AY38" s="5">
        <v>1</v>
      </c>
      <c r="AZ38" s="7"/>
      <c r="BA38" s="7"/>
      <c r="BB38" s="7"/>
      <c r="BC38" s="5">
        <f t="shared" si="14"/>
        <v>0</v>
      </c>
      <c r="BD38" s="5" t="str">
        <f t="shared" si="15"/>
        <v>BAJO</v>
      </c>
      <c r="BE38" s="7">
        <v>2</v>
      </c>
      <c r="BF38" s="7"/>
      <c r="BG38" s="7"/>
      <c r="BH38" s="7"/>
      <c r="BI38" s="5">
        <f t="shared" si="72"/>
        <v>0</v>
      </c>
      <c r="BJ38" s="5" t="str">
        <f t="shared" si="17"/>
        <v>BAJO</v>
      </c>
      <c r="BK38" s="5">
        <v>1</v>
      </c>
      <c r="BL38" s="7"/>
      <c r="BM38" s="7"/>
      <c r="BN38" s="7"/>
      <c r="BO38" s="5">
        <f t="shared" si="58"/>
        <v>0</v>
      </c>
      <c r="BP38" s="5" t="str">
        <f t="shared" si="19"/>
        <v>BAJO</v>
      </c>
      <c r="BQ38" s="5">
        <v>1</v>
      </c>
      <c r="BR38" s="7"/>
      <c r="BS38" s="7"/>
      <c r="BT38" s="7"/>
      <c r="BU38" s="5">
        <f t="shared" si="20"/>
        <v>0</v>
      </c>
      <c r="BV38" s="5" t="str">
        <f t="shared" si="21"/>
        <v>BAJO</v>
      </c>
      <c r="BW38" s="5">
        <v>1</v>
      </c>
      <c r="BX38" s="7"/>
      <c r="BY38" s="7"/>
      <c r="BZ38" s="7"/>
      <c r="CA38" s="5">
        <f t="shared" si="22"/>
        <v>0</v>
      </c>
      <c r="CB38" s="5" t="str">
        <f t="shared" si="23"/>
        <v>BAJO</v>
      </c>
      <c r="CC38" s="5">
        <v>1</v>
      </c>
      <c r="CD38" s="7"/>
      <c r="CE38" s="7"/>
      <c r="CF38" s="7"/>
      <c r="CG38" s="5">
        <f t="shared" si="24"/>
        <v>0</v>
      </c>
      <c r="CH38" s="5" t="str">
        <f t="shared" si="25"/>
        <v>BAJO</v>
      </c>
      <c r="CI38" s="5">
        <v>1</v>
      </c>
      <c r="CJ38" s="7"/>
      <c r="CK38" s="7"/>
      <c r="CL38" s="7"/>
      <c r="CM38" s="5">
        <f t="shared" si="26"/>
        <v>0</v>
      </c>
      <c r="CN38" s="5" t="str">
        <f t="shared" si="27"/>
        <v>BAJO</v>
      </c>
      <c r="CO38" s="5">
        <v>1</v>
      </c>
      <c r="CP38" s="7"/>
      <c r="CQ38" s="7"/>
      <c r="CR38" s="7"/>
      <c r="CS38" s="5">
        <f t="shared" si="28"/>
        <v>0</v>
      </c>
      <c r="CT38" s="5" t="str">
        <f t="shared" si="29"/>
        <v>BAJO</v>
      </c>
      <c r="CU38" s="5">
        <v>2</v>
      </c>
      <c r="CV38" s="7">
        <v>2</v>
      </c>
      <c r="CW38" s="7">
        <v>2</v>
      </c>
      <c r="CX38" s="7">
        <v>2</v>
      </c>
      <c r="CY38" s="5">
        <f t="shared" si="30"/>
        <v>2</v>
      </c>
      <c r="CZ38" s="5" t="str">
        <f t="shared" si="31"/>
        <v>BAJO</v>
      </c>
      <c r="DA38" s="5">
        <v>2</v>
      </c>
      <c r="DB38" s="5"/>
      <c r="DC38" s="5"/>
      <c r="DD38" s="5"/>
      <c r="DE38" s="5">
        <f t="shared" si="32"/>
        <v>0</v>
      </c>
      <c r="DF38" s="5" t="str">
        <f t="shared" si="33"/>
        <v>BAJO</v>
      </c>
      <c r="DG38" s="5">
        <v>0</v>
      </c>
      <c r="DH38" s="7"/>
      <c r="DI38" s="5" t="str">
        <f t="shared" si="34"/>
        <v>BAJO</v>
      </c>
      <c r="DJ38" s="5">
        <f t="shared" si="35"/>
        <v>0.125</v>
      </c>
      <c r="DK38" s="5" t="str">
        <f t="shared" si="36"/>
        <v>Comprende el concepto de números reales, su relación de orden y las propiedades de sus operaciones, así como las relaciones de semejanza y congruencia de distintas figuras geométricas.</v>
      </c>
      <c r="DL38" s="5" t="str">
        <f t="shared" ref="DL38:FJ38" si="81">DL37</f>
        <v>Aplica correctamente las propiedades de las operaciones de números reales y expresiones algebraicas en la resolución de problemas.</v>
      </c>
      <c r="DM38" s="5" t="str">
        <f t="shared" si="81"/>
        <v>Valora el uso del pensamiento lógico a la hora de plantear y resolver problemas de las matemáticas y de la vida cotidiana.</v>
      </c>
      <c r="DN38" s="5" t="str">
        <f t="shared" si="81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8" s="5" t="str">
        <f t="shared" si="81"/>
        <v>Organiza y analiza datos mediante la construcción de tablas de frecuencias y diagramas estadísticos, identificando variables aleatorias y utilizando estas representaciones para resolver situaciones problema.</v>
      </c>
      <c r="DP38" s="5" t="str">
        <f t="shared" si="81"/>
        <v>Muestra disposición y responsabilidad en el manejo y análisis de datos, participando activamente en actividades individuales y colaborativas, y comunicando información estadística con claridad y sentido crítico.</v>
      </c>
      <c r="DQ38" s="5" t="str">
        <f t="shared" si="81"/>
        <v>Analiza las características de la literatura prehispánica y la literatura del descubrimiento y la conquista en Colombia identificando sus elementos fundamentales y su impacto en la cultura y el lenguaje actual.</v>
      </c>
      <c r="DR38" s="5" t="str">
        <f t="shared" si="81"/>
        <v>Realiza comprensión lectora cuando analiza un texto desde el discurso de la Enunciación e identifica la función de cada uno de sus componentes.
Responde preguntas en los tres niveles de lectura a una leyenda del Caribe.</v>
      </c>
      <c r="DS38" s="5" t="str">
        <f t="shared" si="81"/>
        <v>Muestra disposición para participar activamente en las clases, promoviendo el respeto por las ideas ajenas y reconociendo la importancia de la precisión como una herramienta clave para una comunicación</v>
      </c>
      <c r="DT38" s="5" t="str">
        <f t="shared" si="81"/>
        <v>Comprende el contenido del cuento A la deriva, identificando su tema central, la secuencia de los hechos, los personajes y las ideas explícitas e implícitas del texto.</v>
      </c>
      <c r="DU38" s="5" t="str">
        <f t="shared" si="81"/>
        <v>Analiza críticamente el cuento A la deriva mediante la identificación de información literal, inferencial y crítica, sustentando sus respuestas de forma oral y escrita.</v>
      </c>
      <c r="DV38" s="5" t="str">
        <f t="shared" si="81"/>
        <v>Valora la lectura literaria como una oportunidad para reflexionar sobre la vida, la naturaleza y la condición humana, participando con interés, respeto y sentido crítico en las actividades propuestas.</v>
      </c>
      <c r="DW38" s="5" t="str">
        <f t="shared" si="81"/>
        <v>Comprende y reconoce vocabulario y estructuras basicas del ingles para interpretar textos cortos y conversaciones sobre temas cotidianos de la vida diaria.</v>
      </c>
      <c r="DX38" s="5" t="str">
        <f t="shared" si="81"/>
        <v>Produce de forma oral y escrita frases y parrafos cortos en Ingles, utilizando correctamente las estructuras conocidas para describir rutinas, narrar experiencias y participar en conversaciones.</v>
      </c>
      <c r="DY38" s="5" t="str">
        <f t="shared" si="81"/>
        <v>Muestra disposicion positiva hacia el aprendizaje del Ingles participando activamente en clase.</v>
      </c>
      <c r="DZ38" s="5" t="str">
        <f t="shared" si="81"/>
        <v>Identifica vocabulario en Ingles  de situaciones cotidianas.</v>
      </c>
      <c r="EA38" s="5" t="str">
        <f t="shared" si="81"/>
        <v>Participa en actividades utilizando vocabulario aprendido para expresar gustos,emociones y necesidades.</v>
      </c>
      <c r="EB38" s="5" t="str">
        <f t="shared" si="81"/>
        <v>Respeta la opinion de los demas, muestra disposicion para participar en actividades orales.</v>
      </c>
      <c r="EC38" s="5" t="str">
        <f t="shared" si="81"/>
        <v>Identifica la conformación y funcionamiento del sistema inmunolófico y diferencia las característics de los estados de la materia.</v>
      </c>
      <c r="ED38" s="5" t="str">
        <f t="shared" si="81"/>
        <v>Reconoce experimentalmente las características de materiales en los diferentes estados de la materia.</v>
      </c>
      <c r="EE38" s="5" t="str">
        <f t="shared" si="81"/>
        <v xml:space="preserve">Valora la importancia de tener habitos saludables, para lograr el mantenimiento saludable del sistema inmune. </v>
      </c>
      <c r="EF38" s="5" t="str">
        <f t="shared" si="81"/>
        <v>Describe correctamente la secuencia de eventos biologicos de la fecundacion,incluyendo las recciones acrosomicas,la funcion de gametos y la formacion de gametos.</v>
      </c>
      <c r="EG38" s="5" t="str">
        <f t="shared" si="81"/>
        <v>Mide la capacidad del labolatrio para lograr la fecundacion exitosa de los ovulos con el espermatozoide.</v>
      </c>
      <c r="EH38" s="5" t="str">
        <f t="shared" si="81"/>
        <v>Valora la importancia del cuidado del cuerpo y de la salud reproductiva como la base para una fecundacion saludable.</v>
      </c>
      <c r="EI38" s="5" t="str">
        <f t="shared" si="81"/>
        <v>Explico las principales caracteristicas de algunas revoluciones de los siglos XVIII y XIX (Revolucion francesa, Industrial...)</v>
      </c>
      <c r="EJ38" s="5" t="str">
        <f t="shared" si="81"/>
        <v>Analiza las causas y consecuencias de procesos historicos como la Revolucion Industrial y Francesa.</v>
      </c>
      <c r="EK38" s="5" t="str">
        <f t="shared" si="81"/>
        <v>Muestra interes y curiosidad por comprender los procesos historicos y su impacto en la sociedad.</v>
      </c>
      <c r="EL38" s="5" t="str">
        <f t="shared" si="81"/>
        <v xml:space="preserve">Identifica los procesos historicos de algunas revoluciones de los siglos XVIII y XIX </v>
      </c>
      <c r="EM38" s="5">
        <f t="shared" si="81"/>
        <v>0</v>
      </c>
      <c r="EN38" s="5">
        <f t="shared" si="81"/>
        <v>0</v>
      </c>
      <c r="EO38" s="5" t="str">
        <f t="shared" si="81"/>
        <v xml:space="preserve">Comprende la distribucion espacial de la poblacion antes y despues de las revoluciones </v>
      </c>
      <c r="EP38" s="5" t="str">
        <f t="shared" si="81"/>
        <v xml:space="preserve">Ubica en mapas las regiones donde se desarrollaron las principales revoluciones y explica sus caracteristicas geograficas </v>
      </c>
      <c r="EQ38" s="5" t="str">
        <f t="shared" si="81"/>
        <v>Muestra interes por comprender la relacion entre sociedad, economia y territorio</v>
      </c>
      <c r="ER38" s="5" t="str">
        <f t="shared" si="81"/>
        <v>Comprende el concepto de cultura de paz y su importancia en la sociedad</v>
      </c>
      <c r="ES38" s="5" t="str">
        <f t="shared" si="81"/>
        <v>Practica normas de convivencia en diferentes espacios( aula, hogar, comunidad)</v>
      </c>
      <c r="ET38" s="5" t="str">
        <f t="shared" si="81"/>
        <v>Muestra actitud de respeto hacia la diversidad cuktural, social y de pensamiento</v>
      </c>
      <c r="EU38" s="5">
        <f t="shared" si="81"/>
        <v>0</v>
      </c>
      <c r="EV38" s="5">
        <f t="shared" si="81"/>
        <v>0</v>
      </c>
      <c r="EW38" s="5">
        <f t="shared" si="81"/>
        <v>0</v>
      </c>
      <c r="EX38" s="5">
        <f t="shared" si="81"/>
        <v>0</v>
      </c>
      <c r="EY38" s="5">
        <f t="shared" si="81"/>
        <v>0</v>
      </c>
      <c r="EZ38" s="5">
        <f t="shared" si="81"/>
        <v>0</v>
      </c>
      <c r="FA38" s="5">
        <f t="shared" si="81"/>
        <v>0</v>
      </c>
      <c r="FB38" s="5">
        <f t="shared" si="81"/>
        <v>0</v>
      </c>
      <c r="FC38" s="5">
        <f t="shared" si="81"/>
        <v>0</v>
      </c>
      <c r="FD38" s="5" t="str">
        <f t="shared" si="81"/>
        <v xml:space="preserve"> Identifica las expresiones motrices relacionadas con el juego del voleibol,  como una oportunidad para mejorar la salud, la estética y las relaciones con los demás.</v>
      </c>
      <c r="FE38" s="5" t="str">
        <f t="shared" si="81"/>
        <v>Pone en práctica los fundamentos básicos del voleibol.</v>
      </c>
      <c r="FF38" s="5" t="str">
        <f t="shared" si="81"/>
        <v>Muestra  responsabilidad y buena actitud al realizar el juego de voleibol.</v>
      </c>
      <c r="FG38" s="5" t="str">
        <f t="shared" si="81"/>
        <v>Comprende el concepto de variable como espacio de almacenamiento de datos y reconoce el uso de estructuras condicionales (si, si-no) para la toma de decisiones en un programa.</v>
      </c>
      <c r="FH38" s="5" t="str">
        <f t="shared" si="81"/>
        <v>Diseña y desarrolla programas que utilizan variables y estructuras condicionales para resolver problemas, evaluando condiciones y generando respuestas según diferentes situaciones.</v>
      </c>
      <c r="FI38" s="5" t="str">
        <f t="shared" si="81"/>
        <v>Muestra pensamiento lógico, perseverancia y actitud crítica al analizar errores y proponer soluciones en la construcción de programas con variables y condicionales.</v>
      </c>
      <c r="FJ38" s="5" t="str">
        <f t="shared" si="81"/>
        <v>Identifica y reconoce sus pricipales deberes y derechos dentro y fuera  de la Institución educativa.</v>
      </c>
    </row>
    <row r="39" spans="1:166" ht="15.75" customHeight="1">
      <c r="A39" s="5">
        <v>38</v>
      </c>
      <c r="B39" s="12" t="s">
        <v>214</v>
      </c>
      <c r="C39" s="13">
        <v>1043159736</v>
      </c>
      <c r="D39" s="5" t="s">
        <v>176</v>
      </c>
      <c r="E39" s="5" t="s">
        <v>177</v>
      </c>
      <c r="F39" s="14" t="s">
        <v>70</v>
      </c>
      <c r="G39" s="5" t="s">
        <v>71</v>
      </c>
      <c r="H39" s="5">
        <v>2026</v>
      </c>
      <c r="I39" s="14">
        <v>4</v>
      </c>
      <c r="J39" s="15"/>
      <c r="K39" s="15"/>
      <c r="L39" s="15"/>
      <c r="M39" s="14">
        <f t="shared" si="41"/>
        <v>0</v>
      </c>
      <c r="N39" s="14" t="str">
        <f t="shared" si="1"/>
        <v>BAJO</v>
      </c>
      <c r="O39" s="14">
        <v>1</v>
      </c>
      <c r="P39" s="15"/>
      <c r="Q39" s="15"/>
      <c r="R39" s="15"/>
      <c r="S39" s="14">
        <f t="shared" si="48"/>
        <v>0</v>
      </c>
      <c r="T39" s="14" t="str">
        <f t="shared" si="3"/>
        <v>BAJO</v>
      </c>
      <c r="U39" s="14">
        <v>4</v>
      </c>
      <c r="V39" s="15"/>
      <c r="W39" s="15"/>
      <c r="X39" s="15"/>
      <c r="Y39" s="14">
        <f t="shared" si="4"/>
        <v>0</v>
      </c>
      <c r="Z39" s="14" t="str">
        <f t="shared" si="5"/>
        <v>BAJO</v>
      </c>
      <c r="AA39" s="14">
        <v>1</v>
      </c>
      <c r="AB39" s="15"/>
      <c r="AC39" s="15"/>
      <c r="AD39" s="15"/>
      <c r="AE39" s="14">
        <f t="shared" si="6"/>
        <v>0</v>
      </c>
      <c r="AF39" s="14" t="str">
        <f t="shared" si="7"/>
        <v>BAJO</v>
      </c>
      <c r="AG39" s="14">
        <v>2</v>
      </c>
      <c r="AH39" s="16"/>
      <c r="AI39" s="16"/>
      <c r="AJ39" s="16"/>
      <c r="AK39" s="14">
        <f t="shared" si="8"/>
        <v>0</v>
      </c>
      <c r="AL39" s="14" t="str">
        <f t="shared" si="9"/>
        <v>BAJO</v>
      </c>
      <c r="AM39" s="14">
        <v>1</v>
      </c>
      <c r="AN39" s="16"/>
      <c r="AO39" s="16"/>
      <c r="AP39" s="16"/>
      <c r="AQ39" s="14">
        <f t="shared" si="10"/>
        <v>0</v>
      </c>
      <c r="AR39" s="14" t="str">
        <f t="shared" si="11"/>
        <v>BAJO</v>
      </c>
      <c r="AS39" s="5">
        <v>4</v>
      </c>
      <c r="AT39" s="15"/>
      <c r="AU39" s="15"/>
      <c r="AV39" s="15"/>
      <c r="AW39" s="14">
        <f t="shared" si="12"/>
        <v>0</v>
      </c>
      <c r="AX39" s="14" t="str">
        <f t="shared" si="56"/>
        <v>BAJO</v>
      </c>
      <c r="AY39" s="14">
        <v>1</v>
      </c>
      <c r="AZ39" s="15"/>
      <c r="BA39" s="15"/>
      <c r="BB39" s="15"/>
      <c r="BC39" s="14">
        <f t="shared" si="14"/>
        <v>0</v>
      </c>
      <c r="BD39" s="14" t="str">
        <f t="shared" si="15"/>
        <v>BAJO</v>
      </c>
      <c r="BE39" s="15">
        <v>2</v>
      </c>
      <c r="BF39" s="15"/>
      <c r="BG39" s="15"/>
      <c r="BH39" s="15"/>
      <c r="BI39" s="14">
        <f t="shared" si="72"/>
        <v>0</v>
      </c>
      <c r="BJ39" s="14" t="str">
        <f t="shared" si="17"/>
        <v>BAJO</v>
      </c>
      <c r="BK39" s="14">
        <v>1</v>
      </c>
      <c r="BL39" s="17"/>
      <c r="BM39" s="17"/>
      <c r="BN39" s="17"/>
      <c r="BO39" s="14">
        <f t="shared" si="58"/>
        <v>0</v>
      </c>
      <c r="BP39" s="14" t="str">
        <f t="shared" si="19"/>
        <v>BAJO</v>
      </c>
      <c r="BQ39" s="14">
        <v>1</v>
      </c>
      <c r="BR39" s="17"/>
      <c r="BS39" s="17"/>
      <c r="BT39" s="17"/>
      <c r="BU39" s="14">
        <f t="shared" si="20"/>
        <v>0</v>
      </c>
      <c r="BV39" s="14" t="str">
        <f t="shared" si="21"/>
        <v>BAJO</v>
      </c>
      <c r="BW39" s="14">
        <v>1</v>
      </c>
      <c r="BX39" s="17"/>
      <c r="BY39" s="17"/>
      <c r="BZ39" s="17"/>
      <c r="CA39" s="14">
        <f t="shared" si="22"/>
        <v>0</v>
      </c>
      <c r="CB39" s="14" t="str">
        <f t="shared" si="23"/>
        <v>BAJO</v>
      </c>
      <c r="CC39" s="14">
        <v>1</v>
      </c>
      <c r="CD39" s="15"/>
      <c r="CE39" s="15"/>
      <c r="CF39" s="15"/>
      <c r="CG39" s="14">
        <f t="shared" si="24"/>
        <v>0</v>
      </c>
      <c r="CH39" s="14" t="str">
        <f t="shared" si="25"/>
        <v>BAJO</v>
      </c>
      <c r="CI39" s="14">
        <v>1</v>
      </c>
      <c r="CJ39" s="15"/>
      <c r="CK39" s="15"/>
      <c r="CL39" s="15"/>
      <c r="CM39" s="14">
        <f t="shared" si="26"/>
        <v>0</v>
      </c>
      <c r="CN39" s="14" t="str">
        <f t="shared" si="27"/>
        <v>BAJO</v>
      </c>
      <c r="CO39" s="5">
        <v>1</v>
      </c>
      <c r="CP39" s="7"/>
      <c r="CQ39" s="7"/>
      <c r="CR39" s="7"/>
      <c r="CS39" s="14">
        <f t="shared" si="28"/>
        <v>0</v>
      </c>
      <c r="CT39" s="14" t="str">
        <f t="shared" si="29"/>
        <v>BAJO</v>
      </c>
      <c r="CU39" s="14">
        <v>2</v>
      </c>
      <c r="CV39" s="15">
        <v>5</v>
      </c>
      <c r="CW39" s="15">
        <v>5</v>
      </c>
      <c r="CX39" s="15">
        <v>5</v>
      </c>
      <c r="CY39" s="14">
        <f t="shared" si="30"/>
        <v>5</v>
      </c>
      <c r="CZ39" s="14" t="str">
        <f t="shared" si="31"/>
        <v>SUPERIOR</v>
      </c>
      <c r="DA39" s="14">
        <v>2</v>
      </c>
      <c r="DB39" s="14"/>
      <c r="DC39" s="14"/>
      <c r="DD39" s="14"/>
      <c r="DE39" s="14">
        <f t="shared" si="32"/>
        <v>0</v>
      </c>
      <c r="DF39" s="14" t="str">
        <f t="shared" si="33"/>
        <v>BAJO</v>
      </c>
      <c r="DG39" s="14">
        <v>0</v>
      </c>
      <c r="DH39" s="18"/>
      <c r="DI39" s="14" t="str">
        <f t="shared" si="34"/>
        <v>BAJO</v>
      </c>
      <c r="DJ39" s="5">
        <f t="shared" si="35"/>
        <v>0.3125</v>
      </c>
      <c r="DK39" s="5" t="str">
        <f t="shared" si="36"/>
        <v>Comprende el concepto de números reales, su relación de orden y las propiedades de sus operaciones, así como las relaciones de semejanza y congruencia de distintas figuras geométricas.</v>
      </c>
      <c r="DL39" s="5" t="str">
        <f t="shared" ref="DL39:FJ39" si="82">DL38</f>
        <v>Aplica correctamente las propiedades de las operaciones de números reales y expresiones algebraicas en la resolución de problemas.</v>
      </c>
      <c r="DM39" s="5" t="str">
        <f t="shared" si="82"/>
        <v>Valora el uso del pensamiento lógico a la hora de plantear y resolver problemas de las matemáticas y de la vida cotidiana.</v>
      </c>
      <c r="DN39" s="5" t="str">
        <f t="shared" si="82"/>
        <v>Reconoce y clasifica variables aleatorias, comprendiendo sus tipos y características; además, interpreta la información presentada en tablas de frecuencias y diagramas estadísticos, explicando su significado en contextos diversos.</v>
      </c>
      <c r="DO39" s="5" t="str">
        <f t="shared" si="82"/>
        <v>Organiza y analiza datos mediante la construcción de tablas de frecuencias y diagramas estadísticos, identificando variables aleatorias y utilizando estas representaciones para resolver situaciones problema.</v>
      </c>
      <c r="DP39" s="5" t="str">
        <f t="shared" si="82"/>
        <v>Muestra disposición y responsabilidad en el manejo y análisis de datos, participando activamente en actividades individuales y colaborativas, y comunicando información estadística con claridad y sentido crítico.</v>
      </c>
      <c r="DQ39" s="5" t="str">
        <f t="shared" si="82"/>
        <v>Analiza las características de la literatura prehispánica y la literatura del descubrimiento y la conquista en Colombia identificando sus elementos fundamentales y su impacto en la cultura y el lenguaje actual.</v>
      </c>
      <c r="DR39" s="5" t="str">
        <f t="shared" si="82"/>
        <v>Realiza comprensión lectora cuando analiza un texto desde el discurso de la Enunciación e identifica la función de cada uno de sus componentes.
Responde preguntas en los tres niveles de lectura a una leyenda del Caribe.</v>
      </c>
      <c r="DS39" s="5" t="str">
        <f t="shared" si="82"/>
        <v>Muestra disposición para participar activamente en las clases, promoviendo el respeto por las ideas ajenas y reconociendo la importancia de la precisión como una herramienta clave para una comunicación</v>
      </c>
      <c r="DT39" s="5" t="str">
        <f t="shared" si="82"/>
        <v>Comprende el contenido del cuento A la deriva, identificando su tema central, la secuencia de los hechos, los personajes y las ideas explícitas e implícitas del texto.</v>
      </c>
      <c r="DU39" s="5" t="str">
        <f t="shared" si="82"/>
        <v>Analiza críticamente el cuento A la deriva mediante la identificación de información literal, inferencial y crítica, sustentando sus respuestas de forma oral y escrita.</v>
      </c>
      <c r="DV39" s="5" t="str">
        <f t="shared" si="82"/>
        <v>Valora la lectura literaria como una oportunidad para reflexionar sobre la vida, la naturaleza y la condición humana, participando con interés, respeto y sentido crítico en las actividades propuestas.</v>
      </c>
      <c r="DW39" s="5" t="str">
        <f t="shared" si="82"/>
        <v>Comprende y reconoce vocabulario y estructuras basicas del ingles para interpretar textos cortos y conversaciones sobre temas cotidianos de la vida diaria.</v>
      </c>
      <c r="DX39" s="5" t="str">
        <f t="shared" si="82"/>
        <v>Produce de forma oral y escrita frases y parrafos cortos en Ingles, utilizando correctamente las estructuras conocidas para describir rutinas, narrar experiencias y participar en conversaciones.</v>
      </c>
      <c r="DY39" s="5" t="str">
        <f t="shared" si="82"/>
        <v>Muestra disposicion positiva hacia el aprendizaje del Ingles participando activamente en clase.</v>
      </c>
      <c r="DZ39" s="5" t="str">
        <f t="shared" si="82"/>
        <v>Identifica vocabulario en Ingles  de situaciones cotidianas.</v>
      </c>
      <c r="EA39" s="5" t="str">
        <f t="shared" si="82"/>
        <v>Participa en actividades utilizando vocabulario aprendido para expresar gustos,emociones y necesidades.</v>
      </c>
      <c r="EB39" s="5" t="str">
        <f t="shared" si="82"/>
        <v>Respeta la opinion de los demas, muestra disposicion para participar en actividades orales.</v>
      </c>
      <c r="EC39" s="5" t="str">
        <f t="shared" si="82"/>
        <v>Identifica la conformación y funcionamiento del sistema inmunolófico y diferencia las característics de los estados de la materia.</v>
      </c>
      <c r="ED39" s="5" t="str">
        <f t="shared" si="82"/>
        <v>Reconoce experimentalmente las características de materiales en los diferentes estados de la materia.</v>
      </c>
      <c r="EE39" s="5" t="str">
        <f t="shared" si="82"/>
        <v xml:space="preserve">Valora la importancia de tener habitos saludables, para lograr el mantenimiento saludable del sistema inmune. </v>
      </c>
      <c r="EF39" s="5" t="str">
        <f t="shared" si="82"/>
        <v>Describe correctamente la secuencia de eventos biologicos de la fecundacion,incluyendo las recciones acrosomicas,la funcion de gametos y la formacion de gametos.</v>
      </c>
      <c r="EG39" s="5" t="str">
        <f t="shared" si="82"/>
        <v>Mide la capacidad del labolatrio para lograr la fecundacion exitosa de los ovulos con el espermatozoide.</v>
      </c>
      <c r="EH39" s="5" t="str">
        <f t="shared" si="82"/>
        <v>Valora la importancia del cuidado del cuerpo y de la salud reproductiva como la base para una fecundacion saludable.</v>
      </c>
      <c r="EI39" s="5" t="str">
        <f t="shared" si="82"/>
        <v>Explico las principales caracteristicas de algunas revoluciones de los siglos XVIII y XIX (Revolucion francesa, Industrial...)</v>
      </c>
      <c r="EJ39" s="5" t="str">
        <f t="shared" si="82"/>
        <v>Analiza las causas y consecuencias de procesos historicos como la Revolucion Industrial y Francesa.</v>
      </c>
      <c r="EK39" s="5" t="str">
        <f t="shared" si="82"/>
        <v>Muestra interes y curiosidad por comprender los procesos historicos y su impacto en la sociedad.</v>
      </c>
      <c r="EL39" s="5" t="str">
        <f t="shared" si="82"/>
        <v xml:space="preserve">Identifica los procesos historicos de algunas revoluciones de los siglos XVIII y XIX </v>
      </c>
      <c r="EM39" s="5">
        <f t="shared" si="82"/>
        <v>0</v>
      </c>
      <c r="EN39" s="5">
        <f t="shared" si="82"/>
        <v>0</v>
      </c>
      <c r="EO39" s="5" t="str">
        <f t="shared" si="82"/>
        <v xml:space="preserve">Comprende la distribucion espacial de la poblacion antes y despues de las revoluciones </v>
      </c>
      <c r="EP39" s="5" t="str">
        <f t="shared" si="82"/>
        <v xml:space="preserve">Ubica en mapas las regiones donde se desarrollaron las principales revoluciones y explica sus caracteristicas geograficas </v>
      </c>
      <c r="EQ39" s="5" t="str">
        <f t="shared" si="82"/>
        <v>Muestra interes por comprender la relacion entre sociedad, economia y territorio</v>
      </c>
      <c r="ER39" s="5" t="str">
        <f t="shared" si="82"/>
        <v>Comprende el concepto de cultura de paz y su importancia en la sociedad</v>
      </c>
      <c r="ES39" s="5" t="str">
        <f t="shared" si="82"/>
        <v>Practica normas de convivencia en diferentes espacios( aula, hogar, comunidad)</v>
      </c>
      <c r="ET39" s="5" t="str">
        <f t="shared" si="82"/>
        <v>Muestra actitud de respeto hacia la diversidad cuktural, social y de pensamiento</v>
      </c>
      <c r="EU39" s="5">
        <f t="shared" si="82"/>
        <v>0</v>
      </c>
      <c r="EV39" s="5">
        <f t="shared" si="82"/>
        <v>0</v>
      </c>
      <c r="EW39" s="5">
        <f t="shared" si="82"/>
        <v>0</v>
      </c>
      <c r="EX39" s="5">
        <f t="shared" si="82"/>
        <v>0</v>
      </c>
      <c r="EY39" s="5">
        <f t="shared" si="82"/>
        <v>0</v>
      </c>
      <c r="EZ39" s="5">
        <f t="shared" si="82"/>
        <v>0</v>
      </c>
      <c r="FA39" s="5">
        <f t="shared" si="82"/>
        <v>0</v>
      </c>
      <c r="FB39" s="5">
        <f t="shared" si="82"/>
        <v>0</v>
      </c>
      <c r="FC39" s="5">
        <f t="shared" si="82"/>
        <v>0</v>
      </c>
      <c r="FD39" s="5" t="str">
        <f t="shared" si="82"/>
        <v xml:space="preserve"> Identifica las expresiones motrices relacionadas con el juego del voleibol,  como una oportunidad para mejorar la salud, la estética y las relaciones con los demás.</v>
      </c>
      <c r="FE39" s="5" t="str">
        <f t="shared" si="82"/>
        <v>Pone en práctica los fundamentos básicos del voleibol.</v>
      </c>
      <c r="FF39" s="5" t="str">
        <f t="shared" si="82"/>
        <v>Muestra  responsabilidad y buena actitud al realizar el juego de voleibol.</v>
      </c>
      <c r="FG39" s="5" t="str">
        <f t="shared" si="82"/>
        <v>Comprende el concepto de variable como espacio de almacenamiento de datos y reconoce el uso de estructuras condicionales (si, si-no) para la toma de decisiones en un programa.</v>
      </c>
      <c r="FH39" s="5" t="str">
        <f t="shared" si="82"/>
        <v>Diseña y desarrolla programas que utilizan variables y estructuras condicionales para resolver problemas, evaluando condiciones y generando respuestas según diferentes situaciones.</v>
      </c>
      <c r="FI39" s="5" t="str">
        <f t="shared" si="82"/>
        <v>Muestra pensamiento lógico, perseverancia y actitud crítica al analizar errores y proponer soluciones en la construcción de programas con variables y condicionales.</v>
      </c>
      <c r="FJ39" s="5" t="str">
        <f t="shared" si="82"/>
        <v>Identifica y reconoce sus pricipales deberes y derechos dentro y fuera  de la Institución educativa.</v>
      </c>
    </row>
    <row r="40" spans="1:166" ht="15.75" customHeight="1">
      <c r="A40" s="5">
        <v>39</v>
      </c>
      <c r="B40" s="5" t="s">
        <v>215</v>
      </c>
      <c r="C40" s="6">
        <v>1050730658</v>
      </c>
      <c r="D40" s="5" t="s">
        <v>176</v>
      </c>
      <c r="E40" s="5" t="s">
        <v>177</v>
      </c>
      <c r="F40" s="5" t="s">
        <v>70</v>
      </c>
      <c r="G40" s="5" t="s">
        <v>71</v>
      </c>
      <c r="H40" s="5">
        <v>2026</v>
      </c>
      <c r="I40" s="5">
        <v>4</v>
      </c>
      <c r="J40" s="7">
        <v>3</v>
      </c>
      <c r="K40" s="7">
        <v>3.1</v>
      </c>
      <c r="L40" s="7">
        <v>3.2</v>
      </c>
      <c r="M40" s="5">
        <f t="shared" si="41"/>
        <v>3.1</v>
      </c>
      <c r="N40" s="5" t="str">
        <f t="shared" si="1"/>
        <v>BASICO</v>
      </c>
      <c r="O40" s="5">
        <v>1</v>
      </c>
      <c r="P40" s="7">
        <v>3.5</v>
      </c>
      <c r="Q40" s="7">
        <v>3.5</v>
      </c>
      <c r="R40" s="7">
        <v>3</v>
      </c>
      <c r="S40" s="5">
        <f t="shared" si="48"/>
        <v>3.35</v>
      </c>
      <c r="T40" s="5" t="str">
        <f t="shared" si="3"/>
        <v>BASICO</v>
      </c>
      <c r="U40" s="5">
        <v>4</v>
      </c>
      <c r="V40" s="7">
        <v>5</v>
      </c>
      <c r="W40" s="7">
        <v>4.5</v>
      </c>
      <c r="X40" s="7">
        <v>4</v>
      </c>
      <c r="Y40" s="5">
        <f t="shared" si="4"/>
        <v>4.5</v>
      </c>
      <c r="Z40" s="5" t="str">
        <f t="shared" si="5"/>
        <v>SUPERIOR</v>
      </c>
      <c r="AA40" s="5">
        <v>1</v>
      </c>
      <c r="AB40" s="7">
        <v>3.8</v>
      </c>
      <c r="AC40" s="7">
        <v>3.8</v>
      </c>
      <c r="AD40" s="7">
        <v>3.8</v>
      </c>
      <c r="AE40" s="5">
        <f t="shared" si="6"/>
        <v>3.8</v>
      </c>
      <c r="AF40" s="5" t="str">
        <f t="shared" si="7"/>
        <v>BASICO</v>
      </c>
      <c r="AG40" s="5">
        <v>2</v>
      </c>
      <c r="AH40" s="8">
        <v>4</v>
      </c>
      <c r="AI40" s="8">
        <v>4</v>
      </c>
      <c r="AJ40" s="8">
        <v>4</v>
      </c>
      <c r="AK40" s="5">
        <f t="shared" si="8"/>
        <v>4</v>
      </c>
      <c r="AL40" s="5" t="str">
        <f t="shared" si="9"/>
        <v>ALTO</v>
      </c>
      <c r="AM40" s="5">
        <v>1</v>
      </c>
      <c r="AN40" s="8">
        <v>4</v>
      </c>
      <c r="AO40" s="8">
        <v>4</v>
      </c>
      <c r="AP40" s="8">
        <v>4</v>
      </c>
      <c r="AQ40" s="5">
        <f t="shared" si="10"/>
        <v>4</v>
      </c>
      <c r="AR40" s="5" t="str">
        <f t="shared" si="11"/>
        <v>ALTO</v>
      </c>
      <c r="AS40" s="5">
        <v>4</v>
      </c>
      <c r="AT40" s="7">
        <v>3.3</v>
      </c>
      <c r="AU40" s="7">
        <v>3.3</v>
      </c>
      <c r="AV40" s="7">
        <v>3.3</v>
      </c>
      <c r="AW40" s="5">
        <f t="shared" si="12"/>
        <v>3.3</v>
      </c>
      <c r="AX40" s="5" t="str">
        <f t="shared" si="56"/>
        <v>BASICO</v>
      </c>
      <c r="AY40" s="5">
        <v>1</v>
      </c>
      <c r="AZ40" s="7">
        <v>3.5</v>
      </c>
      <c r="BA40" s="7">
        <v>3.4</v>
      </c>
      <c r="BB40" s="7">
        <v>3.5</v>
      </c>
      <c r="BC40" s="5">
        <f t="shared" si="14"/>
        <v>3.46</v>
      </c>
      <c r="BD40" s="5" t="str">
        <f t="shared" si="15"/>
        <v>BASICO</v>
      </c>
      <c r="BE40" s="7">
        <v>2</v>
      </c>
      <c r="BF40" s="7"/>
      <c r="BG40" s="7"/>
      <c r="BH40" s="7"/>
      <c r="BI40" s="5">
        <f t="shared" si="72"/>
        <v>0</v>
      </c>
      <c r="BJ40" s="5" t="str">
        <f t="shared" si="17"/>
        <v>BAJO</v>
      </c>
      <c r="BK40" s="5">
        <v>1</v>
      </c>
      <c r="BL40" s="7"/>
      <c r="BM40" s="7"/>
      <c r="BN40" s="7"/>
      <c r="BO40" s="5">
        <f t="shared" si="58"/>
        <v>0</v>
      </c>
      <c r="BP40" s="5" t="str">
        <f t="shared" si="19"/>
        <v>BAJO</v>
      </c>
      <c r="BQ40" s="5">
        <v>1</v>
      </c>
      <c r="BR40" s="7"/>
      <c r="BS40" s="7"/>
      <c r="BT40" s="7"/>
      <c r="BU40" s="5">
        <f t="shared" si="20"/>
        <v>0</v>
      </c>
      <c r="BV40" s="5" t="str">
        <f t="shared" si="21"/>
        <v>BAJO</v>
      </c>
      <c r="BW40" s="5">
        <v>1</v>
      </c>
      <c r="BX40" s="7"/>
      <c r="BY40" s="7"/>
      <c r="BZ40" s="7"/>
      <c r="CA40" s="5">
        <f t="shared" si="22"/>
        <v>0</v>
      </c>
      <c r="CB40" s="5" t="str">
        <f t="shared" si="23"/>
        <v>BAJO</v>
      </c>
      <c r="CC40" s="5">
        <v>1</v>
      </c>
      <c r="CD40" s="7">
        <v>4.5999999999999996</v>
      </c>
      <c r="CE40" s="7">
        <v>4.5</v>
      </c>
      <c r="CF40" s="7">
        <v>4.5</v>
      </c>
      <c r="CG40" s="5">
        <f t="shared" si="24"/>
        <v>4.5299999999999994</v>
      </c>
      <c r="CH40" s="5" t="str">
        <f t="shared" si="25"/>
        <v>SUPERIOR</v>
      </c>
      <c r="CI40" s="5">
        <v>1</v>
      </c>
      <c r="CJ40" s="7">
        <v>4.5</v>
      </c>
      <c r="CK40" s="7">
        <v>4.5</v>
      </c>
      <c r="CL40" s="7">
        <v>4.5</v>
      </c>
      <c r="CM40" s="5">
        <f t="shared" si="26"/>
        <v>4.5</v>
      </c>
      <c r="CN40" s="5" t="str">
        <f t="shared" si="27"/>
        <v>SUPERIOR</v>
      </c>
      <c r="CO40" s="5">
        <v>1</v>
      </c>
      <c r="CP40" s="7">
        <v>5</v>
      </c>
      <c r="CQ40" s="7">
        <v>5</v>
      </c>
      <c r="CR40" s="7">
        <v>5</v>
      </c>
      <c r="CS40" s="5">
        <f t="shared" si="28"/>
        <v>5</v>
      </c>
      <c r="CT40" s="5" t="str">
        <f t="shared" si="29"/>
        <v>SUPERIOR</v>
      </c>
      <c r="CU40" s="5">
        <v>2</v>
      </c>
      <c r="CV40" s="7">
        <v>2</v>
      </c>
      <c r="CW40" s="7">
        <v>2</v>
      </c>
      <c r="CX40" s="7">
        <v>2</v>
      </c>
      <c r="CY40" s="5">
        <f t="shared" si="30"/>
        <v>2</v>
      </c>
      <c r="CZ40" s="5" t="str">
        <f t="shared" si="31"/>
        <v>BAJO</v>
      </c>
      <c r="DA40" s="5">
        <v>2</v>
      </c>
      <c r="DB40" s="7">
        <v>4.2</v>
      </c>
      <c r="DC40" s="7">
        <v>4.2</v>
      </c>
      <c r="DD40" s="7">
        <v>4</v>
      </c>
      <c r="DE40" s="5">
        <f t="shared" si="32"/>
        <v>4.1400000000000006</v>
      </c>
      <c r="DF40" s="5" t="str">
        <f t="shared" si="33"/>
        <v>ALTO</v>
      </c>
      <c r="DG40" s="5">
        <v>0</v>
      </c>
      <c r="DH40" s="7">
        <v>5</v>
      </c>
      <c r="DI40" s="5" t="str">
        <f t="shared" si="34"/>
        <v>SUPERIOR</v>
      </c>
      <c r="DJ40" s="5">
        <f t="shared" si="35"/>
        <v>3.216470588235294</v>
      </c>
      <c r="DK40" s="5" t="str">
        <f t="shared" si="36"/>
        <v>Comprende el concepto de números reales, su relación de orden y las propiedades de sus operaciones, así como las relaciones de semejanza y congruencia de distintas figuras geométricas.</v>
      </c>
      <c r="DL40" s="5" t="str">
        <f t="shared" ref="DL40:FJ40" si="83">DL39</f>
        <v>Aplica correctamente las propiedades de las operaciones de números reales y expresiones algebraicas en la resolución de problemas.</v>
      </c>
      <c r="DM40" s="5" t="str">
        <f t="shared" si="83"/>
        <v>Valora el uso del pensamiento lógico a la hora de plantear y resolver problemas de las matemáticas y de la vida cotidiana.</v>
      </c>
      <c r="DN40" s="5" t="str">
        <f t="shared" si="83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0" s="5" t="str">
        <f t="shared" si="83"/>
        <v>Organiza y analiza datos mediante la construcción de tablas de frecuencias y diagramas estadísticos, identificando variables aleatorias y utilizando estas representaciones para resolver situaciones problema.</v>
      </c>
      <c r="DP40" s="5" t="str">
        <f t="shared" si="83"/>
        <v>Muestra disposición y responsabilidad en el manejo y análisis de datos, participando activamente en actividades individuales y colaborativas, y comunicando información estadística con claridad y sentido crítico.</v>
      </c>
      <c r="DQ40" s="5" t="str">
        <f t="shared" si="83"/>
        <v>Analiza las características de la literatura prehispánica y la literatura del descubrimiento y la conquista en Colombia identificando sus elementos fundamentales y su impacto en la cultura y el lenguaje actual.</v>
      </c>
      <c r="DR40" s="5" t="str">
        <f t="shared" si="83"/>
        <v>Realiza comprensión lectora cuando analiza un texto desde el discurso de la Enunciación e identifica la función de cada uno de sus componentes.
Responde preguntas en los tres niveles de lectura a una leyenda del Caribe.</v>
      </c>
      <c r="DS40" s="5" t="str">
        <f t="shared" si="83"/>
        <v>Muestra disposición para participar activamente en las clases, promoviendo el respeto por las ideas ajenas y reconociendo la importancia de la precisión como una herramienta clave para una comunicación</v>
      </c>
      <c r="DT40" s="5" t="str">
        <f t="shared" si="83"/>
        <v>Comprende el contenido del cuento A la deriva, identificando su tema central, la secuencia de los hechos, los personajes y las ideas explícitas e implícitas del texto.</v>
      </c>
      <c r="DU40" s="5" t="str">
        <f t="shared" si="83"/>
        <v>Analiza críticamente el cuento A la deriva mediante la identificación de información literal, inferencial y crítica, sustentando sus respuestas de forma oral y escrita.</v>
      </c>
      <c r="DV40" s="5" t="str">
        <f t="shared" si="83"/>
        <v>Valora la lectura literaria como una oportunidad para reflexionar sobre la vida, la naturaleza y la condición humana, participando con interés, respeto y sentido crítico en las actividades propuestas.</v>
      </c>
      <c r="DW40" s="5" t="str">
        <f t="shared" si="83"/>
        <v>Comprende y reconoce vocabulario y estructuras basicas del ingles para interpretar textos cortos y conversaciones sobre temas cotidianos de la vida diaria.</v>
      </c>
      <c r="DX40" s="5" t="str">
        <f t="shared" si="83"/>
        <v>Produce de forma oral y escrita frases y parrafos cortos en Ingles, utilizando correctamente las estructuras conocidas para describir rutinas, narrar experiencias y participar en conversaciones.</v>
      </c>
      <c r="DY40" s="5" t="str">
        <f t="shared" si="83"/>
        <v>Muestra disposicion positiva hacia el aprendizaje del Ingles participando activamente en clase.</v>
      </c>
      <c r="DZ40" s="5" t="str">
        <f t="shared" si="83"/>
        <v>Identifica vocabulario en Ingles  de situaciones cotidianas.</v>
      </c>
      <c r="EA40" s="5" t="str">
        <f t="shared" si="83"/>
        <v>Participa en actividades utilizando vocabulario aprendido para expresar gustos,emociones y necesidades.</v>
      </c>
      <c r="EB40" s="5" t="str">
        <f t="shared" si="83"/>
        <v>Respeta la opinion de los demas, muestra disposicion para participar en actividades orales.</v>
      </c>
      <c r="EC40" s="5" t="str">
        <f t="shared" si="83"/>
        <v>Identifica la conformación y funcionamiento del sistema inmunolófico y diferencia las característics de los estados de la materia.</v>
      </c>
      <c r="ED40" s="5" t="str">
        <f t="shared" si="83"/>
        <v>Reconoce experimentalmente las características de materiales en los diferentes estados de la materia.</v>
      </c>
      <c r="EE40" s="5" t="str">
        <f t="shared" si="83"/>
        <v xml:space="preserve">Valora la importancia de tener habitos saludables, para lograr el mantenimiento saludable del sistema inmune. </v>
      </c>
      <c r="EF40" s="5" t="str">
        <f t="shared" si="83"/>
        <v>Describe correctamente la secuencia de eventos biologicos de la fecundacion,incluyendo las recciones acrosomicas,la funcion de gametos y la formacion de gametos.</v>
      </c>
      <c r="EG40" s="5" t="str">
        <f t="shared" si="83"/>
        <v>Mide la capacidad del labolatrio para lograr la fecundacion exitosa de los ovulos con el espermatozoide.</v>
      </c>
      <c r="EH40" s="5" t="str">
        <f t="shared" si="83"/>
        <v>Valora la importancia del cuidado del cuerpo y de la salud reproductiva como la base para una fecundacion saludable.</v>
      </c>
      <c r="EI40" s="5" t="str">
        <f t="shared" si="83"/>
        <v>Explico las principales caracteristicas de algunas revoluciones de los siglos XVIII y XIX (Revolucion francesa, Industrial...)</v>
      </c>
      <c r="EJ40" s="5" t="str">
        <f t="shared" si="83"/>
        <v>Analiza las causas y consecuencias de procesos historicos como la Revolucion Industrial y Francesa.</v>
      </c>
      <c r="EK40" s="5" t="str">
        <f t="shared" si="83"/>
        <v>Muestra interes y curiosidad por comprender los procesos historicos y su impacto en la sociedad.</v>
      </c>
      <c r="EL40" s="5" t="str">
        <f t="shared" si="83"/>
        <v xml:space="preserve">Identifica los procesos historicos de algunas revoluciones de los siglos XVIII y XIX </v>
      </c>
      <c r="EM40" s="5">
        <f t="shared" si="83"/>
        <v>0</v>
      </c>
      <c r="EN40" s="5">
        <f t="shared" si="83"/>
        <v>0</v>
      </c>
      <c r="EO40" s="5" t="str">
        <f t="shared" si="83"/>
        <v xml:space="preserve">Comprende la distribucion espacial de la poblacion antes y despues de las revoluciones </v>
      </c>
      <c r="EP40" s="5" t="str">
        <f t="shared" si="83"/>
        <v xml:space="preserve">Ubica en mapas las regiones donde se desarrollaron las principales revoluciones y explica sus caracteristicas geograficas </v>
      </c>
      <c r="EQ40" s="5" t="str">
        <f t="shared" si="83"/>
        <v>Muestra interes por comprender la relacion entre sociedad, economia y territorio</v>
      </c>
      <c r="ER40" s="5" t="str">
        <f t="shared" si="83"/>
        <v>Comprende el concepto de cultura de paz y su importancia en la sociedad</v>
      </c>
      <c r="ES40" s="5" t="str">
        <f t="shared" si="83"/>
        <v>Practica normas de convivencia en diferentes espacios( aula, hogar, comunidad)</v>
      </c>
      <c r="ET40" s="5" t="str">
        <f t="shared" si="83"/>
        <v>Muestra actitud de respeto hacia la diversidad cuktural, social y de pensamiento</v>
      </c>
      <c r="EU40" s="5">
        <f t="shared" si="83"/>
        <v>0</v>
      </c>
      <c r="EV40" s="5">
        <f t="shared" si="83"/>
        <v>0</v>
      </c>
      <c r="EW40" s="5">
        <f t="shared" si="83"/>
        <v>0</v>
      </c>
      <c r="EX40" s="5">
        <f t="shared" si="83"/>
        <v>0</v>
      </c>
      <c r="EY40" s="5">
        <f t="shared" si="83"/>
        <v>0</v>
      </c>
      <c r="EZ40" s="5">
        <f t="shared" si="83"/>
        <v>0</v>
      </c>
      <c r="FA40" s="5">
        <f t="shared" si="83"/>
        <v>0</v>
      </c>
      <c r="FB40" s="5">
        <f t="shared" si="83"/>
        <v>0</v>
      </c>
      <c r="FC40" s="5">
        <f t="shared" si="83"/>
        <v>0</v>
      </c>
      <c r="FD40" s="5" t="str">
        <f t="shared" si="83"/>
        <v xml:space="preserve"> Identifica las expresiones motrices relacionadas con el juego del voleibol,  como una oportunidad para mejorar la salud, la estética y las relaciones con los demás.</v>
      </c>
      <c r="FE40" s="5" t="str">
        <f t="shared" si="83"/>
        <v>Pone en práctica los fundamentos básicos del voleibol.</v>
      </c>
      <c r="FF40" s="5" t="str">
        <f t="shared" si="83"/>
        <v>Muestra  responsabilidad y buena actitud al realizar el juego de voleibol.</v>
      </c>
      <c r="FG40" s="5" t="str">
        <f t="shared" si="83"/>
        <v>Comprende el concepto de variable como espacio de almacenamiento de datos y reconoce el uso de estructuras condicionales (si, si-no) para la toma de decisiones en un programa.</v>
      </c>
      <c r="FH40" s="5" t="str">
        <f t="shared" si="83"/>
        <v>Diseña y desarrolla programas que utilizan variables y estructuras condicionales para resolver problemas, evaluando condiciones y generando respuestas según diferentes situaciones.</v>
      </c>
      <c r="FI40" s="5" t="str">
        <f t="shared" si="83"/>
        <v>Muestra pensamiento lógico, perseverancia y actitud crítica al analizar errores y proponer soluciones en la construcción de programas con variables y condicionales.</v>
      </c>
      <c r="FJ40" s="5" t="str">
        <f t="shared" si="83"/>
        <v>Identifica y reconoce sus pricipales deberes y derechos dentro y fuera  de la Institución educativa.</v>
      </c>
    </row>
    <row r="41" spans="1:166" ht="15.75" customHeight="1">
      <c r="A41" s="5">
        <v>40</v>
      </c>
      <c r="B41" s="5" t="s">
        <v>216</v>
      </c>
      <c r="C41" s="6">
        <v>1130306087</v>
      </c>
      <c r="D41" s="5" t="s">
        <v>176</v>
      </c>
      <c r="E41" s="5" t="s">
        <v>177</v>
      </c>
      <c r="F41" s="14" t="s">
        <v>70</v>
      </c>
      <c r="G41" s="5" t="s">
        <v>71</v>
      </c>
      <c r="H41" s="5">
        <v>2026</v>
      </c>
      <c r="I41" s="14">
        <v>4</v>
      </c>
      <c r="J41" s="15">
        <v>2.9</v>
      </c>
      <c r="K41" s="15">
        <v>3.1</v>
      </c>
      <c r="L41" s="15">
        <v>3.3</v>
      </c>
      <c r="M41" s="14">
        <f t="shared" si="41"/>
        <v>3.1</v>
      </c>
      <c r="N41" s="14" t="str">
        <f t="shared" si="1"/>
        <v>BASICO</v>
      </c>
      <c r="O41" s="14">
        <v>1</v>
      </c>
      <c r="P41" s="7">
        <v>2.5</v>
      </c>
      <c r="Q41" s="7">
        <v>2.5</v>
      </c>
      <c r="R41" s="7">
        <v>2.5</v>
      </c>
      <c r="S41" s="14">
        <f t="shared" si="48"/>
        <v>2.5</v>
      </c>
      <c r="T41" s="14" t="str">
        <f t="shared" si="3"/>
        <v>BAJO</v>
      </c>
      <c r="U41" s="14">
        <v>4</v>
      </c>
      <c r="V41" s="15">
        <v>4</v>
      </c>
      <c r="W41" s="15">
        <v>4.5</v>
      </c>
      <c r="X41" s="15">
        <v>4.5</v>
      </c>
      <c r="Y41" s="14">
        <f t="shared" si="4"/>
        <v>4.3499999999999996</v>
      </c>
      <c r="Z41" s="14" t="str">
        <f t="shared" si="5"/>
        <v>ALTO</v>
      </c>
      <c r="AA41" s="14">
        <v>1</v>
      </c>
      <c r="AB41" s="15">
        <v>2</v>
      </c>
      <c r="AC41" s="15">
        <v>2</v>
      </c>
      <c r="AD41" s="15">
        <v>2</v>
      </c>
      <c r="AE41" s="14">
        <f t="shared" si="6"/>
        <v>2</v>
      </c>
      <c r="AF41" s="14" t="str">
        <f t="shared" si="7"/>
        <v>BAJO</v>
      </c>
      <c r="AG41" s="14">
        <v>2</v>
      </c>
      <c r="AH41" s="17">
        <v>3.5</v>
      </c>
      <c r="AI41" s="17">
        <v>3.5</v>
      </c>
      <c r="AJ41" s="17">
        <v>3.5</v>
      </c>
      <c r="AK41" s="14">
        <f t="shared" si="8"/>
        <v>3.5</v>
      </c>
      <c r="AL41" s="14" t="str">
        <f t="shared" si="9"/>
        <v>BASICO</v>
      </c>
      <c r="AM41" s="14">
        <v>1</v>
      </c>
      <c r="AN41" s="17">
        <v>3.5</v>
      </c>
      <c r="AO41" s="17">
        <v>3.5</v>
      </c>
      <c r="AP41" s="17">
        <v>3.5</v>
      </c>
      <c r="AQ41" s="14">
        <f t="shared" si="10"/>
        <v>3.5</v>
      </c>
      <c r="AR41" s="14" t="str">
        <f t="shared" si="11"/>
        <v>BASICO</v>
      </c>
      <c r="AS41" s="5">
        <v>4</v>
      </c>
      <c r="AT41" s="15">
        <v>3</v>
      </c>
      <c r="AU41" s="15">
        <v>3</v>
      </c>
      <c r="AV41" s="15">
        <v>3</v>
      </c>
      <c r="AW41" s="14">
        <f t="shared" si="12"/>
        <v>3</v>
      </c>
      <c r="AX41" s="14" t="str">
        <f t="shared" si="56"/>
        <v>BASICO</v>
      </c>
      <c r="AY41" s="14">
        <v>1</v>
      </c>
      <c r="AZ41" s="15">
        <v>3.8</v>
      </c>
      <c r="BA41" s="15">
        <v>3.5</v>
      </c>
      <c r="BB41" s="15">
        <v>3.8</v>
      </c>
      <c r="BC41" s="14">
        <f t="shared" si="14"/>
        <v>3.6799999999999997</v>
      </c>
      <c r="BD41" s="14" t="str">
        <f t="shared" si="15"/>
        <v>BASICO</v>
      </c>
      <c r="BE41" s="15">
        <v>2</v>
      </c>
      <c r="BF41" s="15"/>
      <c r="BG41" s="15"/>
      <c r="BH41" s="15"/>
      <c r="BI41" s="14">
        <f t="shared" si="72"/>
        <v>0</v>
      </c>
      <c r="BJ41" s="14" t="str">
        <f t="shared" si="17"/>
        <v>BAJO</v>
      </c>
      <c r="BK41" s="14">
        <v>1</v>
      </c>
      <c r="BL41" s="17"/>
      <c r="BM41" s="17"/>
      <c r="BN41" s="17"/>
      <c r="BO41" s="14">
        <f t="shared" si="58"/>
        <v>0</v>
      </c>
      <c r="BP41" s="14" t="str">
        <f t="shared" si="19"/>
        <v>BAJO</v>
      </c>
      <c r="BQ41" s="14">
        <v>1</v>
      </c>
      <c r="BR41" s="17"/>
      <c r="BS41" s="17"/>
      <c r="BT41" s="17"/>
      <c r="BU41" s="14">
        <f t="shared" si="20"/>
        <v>0</v>
      </c>
      <c r="BV41" s="14" t="str">
        <f t="shared" si="21"/>
        <v>BAJO</v>
      </c>
      <c r="BW41" s="14">
        <v>1</v>
      </c>
      <c r="BX41" s="17"/>
      <c r="BY41" s="17"/>
      <c r="BZ41" s="17"/>
      <c r="CA41" s="14">
        <f t="shared" si="22"/>
        <v>0</v>
      </c>
      <c r="CB41" s="14" t="str">
        <f t="shared" si="23"/>
        <v>BAJO</v>
      </c>
      <c r="CC41" s="14">
        <v>1</v>
      </c>
      <c r="CD41" s="15">
        <v>2</v>
      </c>
      <c r="CE41" s="15">
        <v>2</v>
      </c>
      <c r="CF41" s="15">
        <v>2</v>
      </c>
      <c r="CG41" s="14">
        <f t="shared" si="24"/>
        <v>2</v>
      </c>
      <c r="CH41" s="14" t="str">
        <f t="shared" si="25"/>
        <v>BAJO</v>
      </c>
      <c r="CI41" s="14">
        <v>1</v>
      </c>
      <c r="CJ41" s="15">
        <v>4</v>
      </c>
      <c r="CK41" s="15">
        <v>4</v>
      </c>
      <c r="CL41" s="15">
        <v>4</v>
      </c>
      <c r="CM41" s="14">
        <f t="shared" si="26"/>
        <v>4</v>
      </c>
      <c r="CN41" s="14" t="str">
        <f t="shared" si="27"/>
        <v>ALTO</v>
      </c>
      <c r="CO41" s="5">
        <v>1</v>
      </c>
      <c r="CP41" s="7">
        <v>4</v>
      </c>
      <c r="CQ41" s="7">
        <v>4</v>
      </c>
      <c r="CR41" s="7">
        <v>4</v>
      </c>
      <c r="CS41" s="14">
        <f t="shared" si="28"/>
        <v>4</v>
      </c>
      <c r="CT41" s="14" t="str">
        <f t="shared" si="29"/>
        <v>ALTO</v>
      </c>
      <c r="CU41" s="14">
        <v>2</v>
      </c>
      <c r="CV41" s="15">
        <v>2.5</v>
      </c>
      <c r="CW41" s="15">
        <v>2.5</v>
      </c>
      <c r="CX41" s="15">
        <v>2.5</v>
      </c>
      <c r="CY41" s="14">
        <f t="shared" si="30"/>
        <v>2.5</v>
      </c>
      <c r="CZ41" s="14" t="str">
        <f t="shared" si="31"/>
        <v>BAJO</v>
      </c>
      <c r="DA41" s="14">
        <v>2</v>
      </c>
      <c r="DB41" s="15">
        <v>2.5</v>
      </c>
      <c r="DC41" s="15">
        <v>2.5</v>
      </c>
      <c r="DD41" s="15">
        <v>4</v>
      </c>
      <c r="DE41" s="14">
        <f t="shared" si="32"/>
        <v>2.95</v>
      </c>
      <c r="DF41" s="14" t="str">
        <f t="shared" si="33"/>
        <v>BASICO</v>
      </c>
      <c r="DG41" s="14">
        <v>0</v>
      </c>
      <c r="DH41" s="18">
        <v>4</v>
      </c>
      <c r="DI41" s="14" t="str">
        <f t="shared" si="34"/>
        <v>ALTO</v>
      </c>
      <c r="DJ41" s="5">
        <f t="shared" si="35"/>
        <v>2.651764705882353</v>
      </c>
      <c r="DK41" s="5" t="str">
        <f t="shared" si="36"/>
        <v>Comprende el concepto de números reales, su relación de orden y las propiedades de sus operaciones, así como las relaciones de semejanza y congruencia de distintas figuras geométricas.</v>
      </c>
      <c r="DL41" s="5" t="str">
        <f t="shared" ref="DL41:FJ41" si="84">DL40</f>
        <v>Aplica correctamente las propiedades de las operaciones de números reales y expresiones algebraicas en la resolución de problemas.</v>
      </c>
      <c r="DM41" s="5" t="str">
        <f t="shared" si="84"/>
        <v>Valora el uso del pensamiento lógico a la hora de plantear y resolver problemas de las matemáticas y de la vida cotidiana.</v>
      </c>
      <c r="DN41" s="5" t="str">
        <f t="shared" si="84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1" s="5" t="str">
        <f t="shared" si="84"/>
        <v>Organiza y analiza datos mediante la construcción de tablas de frecuencias y diagramas estadísticos, identificando variables aleatorias y utilizando estas representaciones para resolver situaciones problema.</v>
      </c>
      <c r="DP41" s="5" t="str">
        <f t="shared" si="84"/>
        <v>Muestra disposición y responsabilidad en el manejo y análisis de datos, participando activamente en actividades individuales y colaborativas, y comunicando información estadística con claridad y sentido crítico.</v>
      </c>
      <c r="DQ41" s="5" t="str">
        <f t="shared" si="84"/>
        <v>Analiza las características de la literatura prehispánica y la literatura del descubrimiento y la conquista en Colombia identificando sus elementos fundamentales y su impacto en la cultura y el lenguaje actual.</v>
      </c>
      <c r="DR41" s="5" t="str">
        <f t="shared" si="84"/>
        <v>Realiza comprensión lectora cuando analiza un texto desde el discurso de la Enunciación e identifica la función de cada uno de sus componentes.
Responde preguntas en los tres niveles de lectura a una leyenda del Caribe.</v>
      </c>
      <c r="DS41" s="5" t="str">
        <f t="shared" si="84"/>
        <v>Muestra disposición para participar activamente en las clases, promoviendo el respeto por las ideas ajenas y reconociendo la importancia de la precisión como una herramienta clave para una comunicación</v>
      </c>
      <c r="DT41" s="5" t="str">
        <f t="shared" si="84"/>
        <v>Comprende el contenido del cuento A la deriva, identificando su tema central, la secuencia de los hechos, los personajes y las ideas explícitas e implícitas del texto.</v>
      </c>
      <c r="DU41" s="5" t="str">
        <f t="shared" si="84"/>
        <v>Analiza críticamente el cuento A la deriva mediante la identificación de información literal, inferencial y crítica, sustentando sus respuestas de forma oral y escrita.</v>
      </c>
      <c r="DV41" s="5" t="str">
        <f t="shared" si="84"/>
        <v>Valora la lectura literaria como una oportunidad para reflexionar sobre la vida, la naturaleza y la condición humana, participando con interés, respeto y sentido crítico en las actividades propuestas.</v>
      </c>
      <c r="DW41" s="5" t="str">
        <f t="shared" si="84"/>
        <v>Comprende y reconoce vocabulario y estructuras basicas del ingles para interpretar textos cortos y conversaciones sobre temas cotidianos de la vida diaria.</v>
      </c>
      <c r="DX41" s="5" t="str">
        <f t="shared" si="84"/>
        <v>Produce de forma oral y escrita frases y parrafos cortos en Ingles, utilizando correctamente las estructuras conocidas para describir rutinas, narrar experiencias y participar en conversaciones.</v>
      </c>
      <c r="DY41" s="5" t="str">
        <f t="shared" si="84"/>
        <v>Muestra disposicion positiva hacia el aprendizaje del Ingles participando activamente en clase.</v>
      </c>
      <c r="DZ41" s="5" t="str">
        <f t="shared" si="84"/>
        <v>Identifica vocabulario en Ingles  de situaciones cotidianas.</v>
      </c>
      <c r="EA41" s="5" t="str">
        <f t="shared" si="84"/>
        <v>Participa en actividades utilizando vocabulario aprendido para expresar gustos,emociones y necesidades.</v>
      </c>
      <c r="EB41" s="5" t="str">
        <f t="shared" si="84"/>
        <v>Respeta la opinion de los demas, muestra disposicion para participar en actividades orales.</v>
      </c>
      <c r="EC41" s="5" t="str">
        <f t="shared" si="84"/>
        <v>Identifica la conformación y funcionamiento del sistema inmunolófico y diferencia las característics de los estados de la materia.</v>
      </c>
      <c r="ED41" s="5" t="str">
        <f t="shared" si="84"/>
        <v>Reconoce experimentalmente las características de materiales en los diferentes estados de la materia.</v>
      </c>
      <c r="EE41" s="5" t="str">
        <f t="shared" si="84"/>
        <v xml:space="preserve">Valora la importancia de tener habitos saludables, para lograr el mantenimiento saludable del sistema inmune. </v>
      </c>
      <c r="EF41" s="5" t="str">
        <f t="shared" si="84"/>
        <v>Describe correctamente la secuencia de eventos biologicos de la fecundacion,incluyendo las recciones acrosomicas,la funcion de gametos y la formacion de gametos.</v>
      </c>
      <c r="EG41" s="5" t="str">
        <f t="shared" si="84"/>
        <v>Mide la capacidad del labolatrio para lograr la fecundacion exitosa de los ovulos con el espermatozoide.</v>
      </c>
      <c r="EH41" s="5" t="str">
        <f t="shared" si="84"/>
        <v>Valora la importancia del cuidado del cuerpo y de la salud reproductiva como la base para una fecundacion saludable.</v>
      </c>
      <c r="EI41" s="5" t="str">
        <f t="shared" si="84"/>
        <v>Explico las principales caracteristicas de algunas revoluciones de los siglos XVIII y XIX (Revolucion francesa, Industrial...)</v>
      </c>
      <c r="EJ41" s="5" t="str">
        <f t="shared" si="84"/>
        <v>Analiza las causas y consecuencias de procesos historicos como la Revolucion Industrial y Francesa.</v>
      </c>
      <c r="EK41" s="5" t="str">
        <f t="shared" si="84"/>
        <v>Muestra interes y curiosidad por comprender los procesos historicos y su impacto en la sociedad.</v>
      </c>
      <c r="EL41" s="5" t="str">
        <f t="shared" si="84"/>
        <v xml:space="preserve">Identifica los procesos historicos de algunas revoluciones de los siglos XVIII y XIX </v>
      </c>
      <c r="EM41" s="5">
        <f t="shared" si="84"/>
        <v>0</v>
      </c>
      <c r="EN41" s="5">
        <f t="shared" si="84"/>
        <v>0</v>
      </c>
      <c r="EO41" s="5" t="str">
        <f t="shared" si="84"/>
        <v xml:space="preserve">Comprende la distribucion espacial de la poblacion antes y despues de las revoluciones </v>
      </c>
      <c r="EP41" s="5" t="str">
        <f t="shared" si="84"/>
        <v xml:space="preserve">Ubica en mapas las regiones donde se desarrollaron las principales revoluciones y explica sus caracteristicas geograficas </v>
      </c>
      <c r="EQ41" s="5" t="str">
        <f t="shared" si="84"/>
        <v>Muestra interes por comprender la relacion entre sociedad, economia y territorio</v>
      </c>
      <c r="ER41" s="5" t="str">
        <f t="shared" si="84"/>
        <v>Comprende el concepto de cultura de paz y su importancia en la sociedad</v>
      </c>
      <c r="ES41" s="5" t="str">
        <f t="shared" si="84"/>
        <v>Practica normas de convivencia en diferentes espacios( aula, hogar, comunidad)</v>
      </c>
      <c r="ET41" s="5" t="str">
        <f t="shared" si="84"/>
        <v>Muestra actitud de respeto hacia la diversidad cuktural, social y de pensamiento</v>
      </c>
      <c r="EU41" s="5">
        <f t="shared" si="84"/>
        <v>0</v>
      </c>
      <c r="EV41" s="5">
        <f t="shared" si="84"/>
        <v>0</v>
      </c>
      <c r="EW41" s="5">
        <f t="shared" si="84"/>
        <v>0</v>
      </c>
      <c r="EX41" s="5">
        <f t="shared" si="84"/>
        <v>0</v>
      </c>
      <c r="EY41" s="5">
        <f t="shared" si="84"/>
        <v>0</v>
      </c>
      <c r="EZ41" s="5">
        <f t="shared" si="84"/>
        <v>0</v>
      </c>
      <c r="FA41" s="5">
        <f t="shared" si="84"/>
        <v>0</v>
      </c>
      <c r="FB41" s="5">
        <f t="shared" si="84"/>
        <v>0</v>
      </c>
      <c r="FC41" s="5">
        <f t="shared" si="84"/>
        <v>0</v>
      </c>
      <c r="FD41" s="5" t="str">
        <f t="shared" si="84"/>
        <v xml:space="preserve"> Identifica las expresiones motrices relacionadas con el juego del voleibol,  como una oportunidad para mejorar la salud, la estética y las relaciones con los demás.</v>
      </c>
      <c r="FE41" s="5" t="str">
        <f t="shared" si="84"/>
        <v>Pone en práctica los fundamentos básicos del voleibol.</v>
      </c>
      <c r="FF41" s="5" t="str">
        <f t="shared" si="84"/>
        <v>Muestra  responsabilidad y buena actitud al realizar el juego de voleibol.</v>
      </c>
      <c r="FG41" s="5" t="str">
        <f t="shared" si="84"/>
        <v>Comprende el concepto de variable como espacio de almacenamiento de datos y reconoce el uso de estructuras condicionales (si, si-no) para la toma de decisiones en un programa.</v>
      </c>
      <c r="FH41" s="5" t="str">
        <f t="shared" si="84"/>
        <v>Diseña y desarrolla programas que utilizan variables y estructuras condicionales para resolver problemas, evaluando condiciones y generando respuestas según diferentes situaciones.</v>
      </c>
      <c r="FI41" s="5" t="str">
        <f t="shared" si="84"/>
        <v>Muestra pensamiento lógico, perseverancia y actitud crítica al analizar errores y proponer soluciones en la construcción de programas con variables y condicionales.</v>
      </c>
      <c r="FJ41" s="5" t="str">
        <f t="shared" si="84"/>
        <v>Identifica y reconoce sus pricipales deberes y derechos dentro y fuera  de la Institución educativa.</v>
      </c>
    </row>
    <row r="42" spans="1:166" ht="16.5" customHeight="1">
      <c r="A42" s="5">
        <v>41</v>
      </c>
      <c r="B42" s="5" t="s">
        <v>217</v>
      </c>
      <c r="C42" s="6">
        <v>5419458</v>
      </c>
      <c r="D42" s="5" t="s">
        <v>176</v>
      </c>
      <c r="E42" s="5" t="s">
        <v>177</v>
      </c>
      <c r="F42" s="14" t="s">
        <v>70</v>
      </c>
      <c r="G42" s="14" t="s">
        <v>71</v>
      </c>
      <c r="H42" s="14">
        <v>2026</v>
      </c>
      <c r="I42" s="14">
        <v>4</v>
      </c>
      <c r="J42" s="15">
        <v>2.2999999999999998</v>
      </c>
      <c r="K42" s="15">
        <v>2.5</v>
      </c>
      <c r="L42" s="15">
        <v>2.7</v>
      </c>
      <c r="M42" s="14">
        <f t="shared" si="41"/>
        <v>2.5</v>
      </c>
      <c r="N42" s="14" t="str">
        <f t="shared" si="1"/>
        <v>BAJO</v>
      </c>
      <c r="O42" s="5">
        <v>1</v>
      </c>
      <c r="P42" s="7">
        <v>2.5</v>
      </c>
      <c r="Q42" s="7">
        <v>2.5</v>
      </c>
      <c r="R42" s="7">
        <v>2.5</v>
      </c>
      <c r="S42" s="5">
        <f t="shared" si="48"/>
        <v>2.5</v>
      </c>
      <c r="T42" s="5" t="str">
        <f t="shared" si="3"/>
        <v>BAJO</v>
      </c>
      <c r="U42" s="5">
        <v>4</v>
      </c>
      <c r="V42" s="7">
        <v>3</v>
      </c>
      <c r="W42" s="7">
        <v>3.5</v>
      </c>
      <c r="X42" s="7">
        <v>4</v>
      </c>
      <c r="Y42" s="5">
        <f t="shared" si="4"/>
        <v>3.5</v>
      </c>
      <c r="Z42" s="5" t="str">
        <f t="shared" si="5"/>
        <v>BASICO</v>
      </c>
      <c r="AA42" s="5">
        <v>1</v>
      </c>
      <c r="AB42" s="7">
        <v>2</v>
      </c>
      <c r="AC42" s="7">
        <v>2</v>
      </c>
      <c r="AD42" s="7">
        <v>2</v>
      </c>
      <c r="AE42" s="5">
        <f t="shared" si="6"/>
        <v>2</v>
      </c>
      <c r="AF42" s="5" t="str">
        <f t="shared" si="7"/>
        <v>BAJO</v>
      </c>
      <c r="AG42" s="5">
        <v>2</v>
      </c>
      <c r="AH42" s="8">
        <v>2.5</v>
      </c>
      <c r="AI42" s="8">
        <v>3</v>
      </c>
      <c r="AJ42" s="8">
        <v>3</v>
      </c>
      <c r="AK42" s="5">
        <f t="shared" si="8"/>
        <v>2.85</v>
      </c>
      <c r="AL42" s="5" t="str">
        <f t="shared" si="9"/>
        <v>BAJO</v>
      </c>
      <c r="AM42" s="5">
        <v>1</v>
      </c>
      <c r="AN42" s="8">
        <v>2.5</v>
      </c>
      <c r="AO42" s="8">
        <v>3</v>
      </c>
      <c r="AP42" s="8">
        <v>3</v>
      </c>
      <c r="AQ42" s="5">
        <f t="shared" si="10"/>
        <v>2.85</v>
      </c>
      <c r="AR42" s="5" t="str">
        <f t="shared" si="11"/>
        <v>BAJO</v>
      </c>
      <c r="AS42" s="5">
        <v>4</v>
      </c>
      <c r="AT42" s="7">
        <v>2</v>
      </c>
      <c r="AU42" s="7">
        <v>2</v>
      </c>
      <c r="AV42" s="7"/>
      <c r="AW42" s="5">
        <f t="shared" si="12"/>
        <v>1.4</v>
      </c>
      <c r="AX42" s="5" t="str">
        <f t="shared" si="56"/>
        <v>BAJO</v>
      </c>
      <c r="AY42" s="5">
        <v>1</v>
      </c>
      <c r="AZ42" s="7">
        <v>3.5</v>
      </c>
      <c r="BA42" s="7">
        <v>3.6</v>
      </c>
      <c r="BB42" s="7">
        <v>3.4</v>
      </c>
      <c r="BC42" s="5">
        <f t="shared" si="14"/>
        <v>3.5100000000000002</v>
      </c>
      <c r="BD42" s="5" t="str">
        <f t="shared" si="15"/>
        <v>BASICO</v>
      </c>
      <c r="BE42" s="7">
        <v>2</v>
      </c>
      <c r="BF42" s="7"/>
      <c r="BG42" s="7"/>
      <c r="BH42" s="7"/>
      <c r="BI42" s="5">
        <f t="shared" si="72"/>
        <v>0</v>
      </c>
      <c r="BJ42" s="5" t="str">
        <f t="shared" si="17"/>
        <v>BAJO</v>
      </c>
      <c r="BK42" s="5">
        <v>1</v>
      </c>
      <c r="BL42" s="7"/>
      <c r="BM42" s="7"/>
      <c r="BN42" s="7"/>
      <c r="BO42" s="5">
        <f t="shared" si="58"/>
        <v>0</v>
      </c>
      <c r="BP42" s="5" t="str">
        <f t="shared" si="19"/>
        <v>BAJO</v>
      </c>
      <c r="BQ42" s="5">
        <v>1</v>
      </c>
      <c r="BR42" s="7"/>
      <c r="BS42" s="7"/>
      <c r="BT42" s="7"/>
      <c r="BU42" s="5">
        <f t="shared" si="20"/>
        <v>0</v>
      </c>
      <c r="BV42" s="5" t="str">
        <f t="shared" si="21"/>
        <v>BAJO</v>
      </c>
      <c r="BW42" s="5">
        <v>1</v>
      </c>
      <c r="BX42" s="7"/>
      <c r="BY42" s="7"/>
      <c r="BZ42" s="7"/>
      <c r="CA42" s="5">
        <f t="shared" si="22"/>
        <v>0</v>
      </c>
      <c r="CB42" s="5" t="str">
        <f t="shared" si="23"/>
        <v>BAJO</v>
      </c>
      <c r="CC42" s="5">
        <v>1</v>
      </c>
      <c r="CD42" s="7">
        <v>3.6</v>
      </c>
      <c r="CE42" s="7">
        <v>3.7</v>
      </c>
      <c r="CF42" s="7">
        <v>3.7</v>
      </c>
      <c r="CG42" s="5">
        <f t="shared" si="24"/>
        <v>3.6700000000000008</v>
      </c>
      <c r="CH42" s="5" t="str">
        <f t="shared" si="25"/>
        <v>BASICO</v>
      </c>
      <c r="CI42" s="5">
        <v>1</v>
      </c>
      <c r="CJ42" s="7">
        <v>4</v>
      </c>
      <c r="CK42" s="7">
        <v>4</v>
      </c>
      <c r="CL42" s="7">
        <v>4</v>
      </c>
      <c r="CM42" s="5">
        <f t="shared" si="26"/>
        <v>4</v>
      </c>
      <c r="CN42" s="5" t="str">
        <f t="shared" si="27"/>
        <v>ALTO</v>
      </c>
      <c r="CO42" s="5">
        <v>1</v>
      </c>
      <c r="CP42" s="7">
        <v>4</v>
      </c>
      <c r="CQ42" s="7">
        <v>4</v>
      </c>
      <c r="CR42" s="7">
        <v>4</v>
      </c>
      <c r="CS42" s="5">
        <f t="shared" si="28"/>
        <v>4</v>
      </c>
      <c r="CT42" s="5" t="str">
        <f t="shared" si="29"/>
        <v>ALTO</v>
      </c>
      <c r="CU42" s="5">
        <v>2</v>
      </c>
      <c r="CV42" s="7">
        <v>2</v>
      </c>
      <c r="CW42" s="7">
        <v>2</v>
      </c>
      <c r="CX42" s="7">
        <v>2</v>
      </c>
      <c r="CY42" s="5">
        <f t="shared" si="30"/>
        <v>2</v>
      </c>
      <c r="CZ42" s="5" t="str">
        <f t="shared" si="31"/>
        <v>BAJO</v>
      </c>
      <c r="DA42" s="5">
        <v>2</v>
      </c>
      <c r="DB42" s="7">
        <v>2.8</v>
      </c>
      <c r="DC42" s="7">
        <v>2.8</v>
      </c>
      <c r="DD42" s="7">
        <v>3.8</v>
      </c>
      <c r="DE42" s="5">
        <f t="shared" si="32"/>
        <v>3.0999999999999996</v>
      </c>
      <c r="DF42" s="5" t="str">
        <f t="shared" si="33"/>
        <v>BASICO</v>
      </c>
      <c r="DG42" s="5">
        <v>0</v>
      </c>
      <c r="DH42" s="7">
        <v>4</v>
      </c>
      <c r="DI42" s="5" t="str">
        <f t="shared" si="34"/>
        <v>ALTO</v>
      </c>
      <c r="DJ42" s="5">
        <f t="shared" si="35"/>
        <v>2.4635294117647062</v>
      </c>
      <c r="DK42" s="5" t="str">
        <f t="shared" si="36"/>
        <v>Comprende el concepto de números reales, su relación de orden y las propiedades de sus operaciones, así como las relaciones de semejanza y congruencia de distintas figuras geométricas.</v>
      </c>
      <c r="DL42" s="5" t="str">
        <f t="shared" ref="DL42:FJ42" si="85">DL41</f>
        <v>Aplica correctamente las propiedades de las operaciones de números reales y expresiones algebraicas en la resolución de problemas.</v>
      </c>
      <c r="DM42" s="5" t="str">
        <f t="shared" si="85"/>
        <v>Valora el uso del pensamiento lógico a la hora de plantear y resolver problemas de las matemáticas y de la vida cotidiana.</v>
      </c>
      <c r="DN42" s="5" t="str">
        <f t="shared" si="85"/>
        <v>Reconoce y clasifica variables aleatorias, comprendiendo sus tipos y características; además, interpreta la información presentada en tablas de frecuencias y diagramas estadísticos, explicando su significado en contextos diversos.</v>
      </c>
      <c r="DO42" s="5" t="str">
        <f t="shared" si="85"/>
        <v>Organiza y analiza datos mediante la construcción de tablas de frecuencias y diagramas estadísticos, identificando variables aleatorias y utilizando estas representaciones para resolver situaciones problema.</v>
      </c>
      <c r="DP42" s="5" t="str">
        <f t="shared" si="85"/>
        <v>Muestra disposición y responsabilidad en el manejo y análisis de datos, participando activamente en actividades individuales y colaborativas, y comunicando información estadística con claridad y sentido crítico.</v>
      </c>
      <c r="DQ42" s="5" t="str">
        <f t="shared" si="85"/>
        <v>Analiza las características de la literatura prehispánica y la literatura del descubrimiento y la conquista en Colombia identificando sus elementos fundamentales y su impacto en la cultura y el lenguaje actual.</v>
      </c>
      <c r="DR42" s="5" t="str">
        <f t="shared" si="85"/>
        <v>Realiza comprensión lectora cuando analiza un texto desde el discurso de la Enunciación e identifica la función de cada uno de sus componentes.
Responde preguntas en los tres niveles de lectura a una leyenda del Caribe.</v>
      </c>
      <c r="DS42" s="5" t="str">
        <f t="shared" si="85"/>
        <v>Muestra disposición para participar activamente en las clases, promoviendo el respeto por las ideas ajenas y reconociendo la importancia de la precisión como una herramienta clave para una comunicación</v>
      </c>
      <c r="DT42" s="5" t="str">
        <f t="shared" si="85"/>
        <v>Comprende el contenido del cuento A la deriva, identificando su tema central, la secuencia de los hechos, los personajes y las ideas explícitas e implícitas del texto.</v>
      </c>
      <c r="DU42" s="5" t="str">
        <f t="shared" si="85"/>
        <v>Analiza críticamente el cuento A la deriva mediante la identificación de información literal, inferencial y crítica, sustentando sus respuestas de forma oral y escrita.</v>
      </c>
      <c r="DV42" s="5" t="str">
        <f t="shared" si="85"/>
        <v>Valora la lectura literaria como una oportunidad para reflexionar sobre la vida, la naturaleza y la condición humana, participando con interés, respeto y sentido crítico en las actividades propuestas.</v>
      </c>
      <c r="DW42" s="5" t="str">
        <f t="shared" si="85"/>
        <v>Comprende y reconoce vocabulario y estructuras basicas del ingles para interpretar textos cortos y conversaciones sobre temas cotidianos de la vida diaria.</v>
      </c>
      <c r="DX42" s="5" t="str">
        <f t="shared" si="85"/>
        <v>Produce de forma oral y escrita frases y parrafos cortos en Ingles, utilizando correctamente las estructuras conocidas para describir rutinas, narrar experiencias y participar en conversaciones.</v>
      </c>
      <c r="DY42" s="5" t="str">
        <f t="shared" si="85"/>
        <v>Muestra disposicion positiva hacia el aprendizaje del Ingles participando activamente en clase.</v>
      </c>
      <c r="DZ42" s="5" t="str">
        <f t="shared" si="85"/>
        <v>Identifica vocabulario en Ingles  de situaciones cotidianas.</v>
      </c>
      <c r="EA42" s="5" t="str">
        <f t="shared" si="85"/>
        <v>Participa en actividades utilizando vocabulario aprendido para expresar gustos,emociones y necesidades.</v>
      </c>
      <c r="EB42" s="5" t="str">
        <f t="shared" si="85"/>
        <v>Respeta la opinion de los demas, muestra disposicion para participar en actividades orales.</v>
      </c>
      <c r="EC42" s="5" t="str">
        <f t="shared" si="85"/>
        <v>Identifica la conformación y funcionamiento del sistema inmunolófico y diferencia las característics de los estados de la materia.</v>
      </c>
      <c r="ED42" s="5" t="str">
        <f t="shared" si="85"/>
        <v>Reconoce experimentalmente las características de materiales en los diferentes estados de la materia.</v>
      </c>
      <c r="EE42" s="5" t="str">
        <f t="shared" si="85"/>
        <v xml:space="preserve">Valora la importancia de tener habitos saludables, para lograr el mantenimiento saludable del sistema inmune. </v>
      </c>
      <c r="EF42" s="5" t="str">
        <f t="shared" si="85"/>
        <v>Describe correctamente la secuencia de eventos biologicos de la fecundacion,incluyendo las recciones acrosomicas,la funcion de gametos y la formacion de gametos.</v>
      </c>
      <c r="EG42" s="5" t="str">
        <f t="shared" si="85"/>
        <v>Mide la capacidad del labolatrio para lograr la fecundacion exitosa de los ovulos con el espermatozoide.</v>
      </c>
      <c r="EH42" s="5" t="str">
        <f t="shared" si="85"/>
        <v>Valora la importancia del cuidado del cuerpo y de la salud reproductiva como la base para una fecundacion saludable.</v>
      </c>
      <c r="EI42" s="5" t="str">
        <f t="shared" si="85"/>
        <v>Explico las principales caracteristicas de algunas revoluciones de los siglos XVIII y XIX (Revolucion francesa, Industrial...)</v>
      </c>
      <c r="EJ42" s="5" t="str">
        <f t="shared" si="85"/>
        <v>Analiza las causas y consecuencias de procesos historicos como la Revolucion Industrial y Francesa.</v>
      </c>
      <c r="EK42" s="5" t="str">
        <f t="shared" si="85"/>
        <v>Muestra interes y curiosidad por comprender los procesos historicos y su impacto en la sociedad.</v>
      </c>
      <c r="EL42" s="5" t="str">
        <f t="shared" si="85"/>
        <v xml:space="preserve">Identifica los procesos historicos de algunas revoluciones de los siglos XVIII y XIX </v>
      </c>
      <c r="EM42" s="5">
        <f t="shared" si="85"/>
        <v>0</v>
      </c>
      <c r="EN42" s="5">
        <f t="shared" si="85"/>
        <v>0</v>
      </c>
      <c r="EO42" s="5" t="str">
        <f t="shared" si="85"/>
        <v xml:space="preserve">Comprende la distribucion espacial de la poblacion antes y despues de las revoluciones </v>
      </c>
      <c r="EP42" s="5" t="str">
        <f t="shared" si="85"/>
        <v xml:space="preserve">Ubica en mapas las regiones donde se desarrollaron las principales revoluciones y explica sus caracteristicas geograficas </v>
      </c>
      <c r="EQ42" s="5" t="str">
        <f t="shared" si="85"/>
        <v>Muestra interes por comprender la relacion entre sociedad, economia y territorio</v>
      </c>
      <c r="ER42" s="5" t="str">
        <f t="shared" si="85"/>
        <v>Comprende el concepto de cultura de paz y su importancia en la sociedad</v>
      </c>
      <c r="ES42" s="5" t="str">
        <f t="shared" si="85"/>
        <v>Practica normas de convivencia en diferentes espacios( aula, hogar, comunidad)</v>
      </c>
      <c r="ET42" s="5" t="str">
        <f t="shared" si="85"/>
        <v>Muestra actitud de respeto hacia la diversidad cuktural, social y de pensamiento</v>
      </c>
      <c r="EU42" s="5">
        <f t="shared" si="85"/>
        <v>0</v>
      </c>
      <c r="EV42" s="5">
        <f t="shared" si="85"/>
        <v>0</v>
      </c>
      <c r="EW42" s="5">
        <f t="shared" si="85"/>
        <v>0</v>
      </c>
      <c r="EX42" s="5">
        <f t="shared" si="85"/>
        <v>0</v>
      </c>
      <c r="EY42" s="5">
        <f t="shared" si="85"/>
        <v>0</v>
      </c>
      <c r="EZ42" s="5">
        <f t="shared" si="85"/>
        <v>0</v>
      </c>
      <c r="FA42" s="5">
        <f t="shared" si="85"/>
        <v>0</v>
      </c>
      <c r="FB42" s="5">
        <f t="shared" si="85"/>
        <v>0</v>
      </c>
      <c r="FC42" s="5">
        <f t="shared" si="85"/>
        <v>0</v>
      </c>
      <c r="FD42" s="5" t="str">
        <f t="shared" si="85"/>
        <v xml:space="preserve"> Identifica las expresiones motrices relacionadas con el juego del voleibol,  como una oportunidad para mejorar la salud, la estética y las relaciones con los demás.</v>
      </c>
      <c r="FE42" s="5" t="str">
        <f t="shared" si="85"/>
        <v>Pone en práctica los fundamentos básicos del voleibol.</v>
      </c>
      <c r="FF42" s="5" t="str">
        <f t="shared" si="85"/>
        <v>Muestra  responsabilidad y buena actitud al realizar el juego de voleibol.</v>
      </c>
      <c r="FG42" s="5" t="str">
        <f t="shared" si="85"/>
        <v>Comprende el concepto de variable como espacio de almacenamiento de datos y reconoce el uso de estructuras condicionales (si, si-no) para la toma de decisiones en un programa.</v>
      </c>
      <c r="FH42" s="5" t="str">
        <f t="shared" si="85"/>
        <v>Diseña y desarrolla programas que utilizan variables y estructuras condicionales para resolver problemas, evaluando condiciones y generando respuestas según diferentes situaciones.</v>
      </c>
      <c r="FI42" s="5" t="str">
        <f t="shared" si="85"/>
        <v>Muestra pensamiento lógico, perseverancia y actitud crítica al analizar errores y proponer soluciones en la construcción de programas con variables y condicionales.</v>
      </c>
      <c r="FJ42" s="5" t="str">
        <f t="shared" si="85"/>
        <v>Identifica y reconoce sus pricipales deberes y derechos dentro y fuera  de la Institución educativa.</v>
      </c>
    </row>
    <row r="43" spans="1:166" ht="15.75" customHeight="1">
      <c r="A43" s="20"/>
      <c r="B43" s="20"/>
      <c r="C43" s="20"/>
      <c r="D43" s="20"/>
      <c r="G43" s="20"/>
      <c r="H43" s="20"/>
      <c r="I43" s="45" t="s">
        <v>114</v>
      </c>
      <c r="J43" s="46"/>
      <c r="K43" s="46"/>
      <c r="L43" s="46"/>
      <c r="M43" s="46"/>
      <c r="N43" s="47"/>
      <c r="O43" s="48" t="s">
        <v>115</v>
      </c>
      <c r="P43" s="46"/>
      <c r="Q43" s="46"/>
      <c r="R43" s="46"/>
      <c r="S43" s="46"/>
      <c r="T43" s="47"/>
      <c r="U43" s="48" t="s">
        <v>116</v>
      </c>
      <c r="V43" s="46"/>
      <c r="W43" s="46"/>
      <c r="X43" s="46"/>
      <c r="Y43" s="46"/>
      <c r="Z43" s="47"/>
      <c r="AA43" s="48" t="s">
        <v>117</v>
      </c>
      <c r="AB43" s="46"/>
      <c r="AC43" s="46"/>
      <c r="AD43" s="46"/>
      <c r="AE43" s="46"/>
      <c r="AF43" s="47"/>
      <c r="AG43" s="48" t="s">
        <v>118</v>
      </c>
      <c r="AH43" s="46"/>
      <c r="AI43" s="46"/>
      <c r="AJ43" s="46"/>
      <c r="AK43" s="46"/>
      <c r="AL43" s="47"/>
      <c r="AM43" s="48" t="s">
        <v>119</v>
      </c>
      <c r="AN43" s="46"/>
      <c r="AO43" s="46"/>
      <c r="AP43" s="46"/>
      <c r="AQ43" s="46"/>
      <c r="AR43" s="47"/>
      <c r="AS43" s="48" t="s">
        <v>120</v>
      </c>
      <c r="AT43" s="46"/>
      <c r="AU43" s="46"/>
      <c r="AV43" s="46"/>
      <c r="AW43" s="46"/>
      <c r="AX43" s="47"/>
      <c r="AY43" s="48" t="s">
        <v>121</v>
      </c>
      <c r="AZ43" s="46"/>
      <c r="BA43" s="46"/>
      <c r="BB43" s="46"/>
      <c r="BC43" s="46"/>
      <c r="BD43" s="47"/>
      <c r="BE43" s="48" t="s">
        <v>122</v>
      </c>
      <c r="BF43" s="46"/>
      <c r="BG43" s="46"/>
      <c r="BH43" s="46"/>
      <c r="BI43" s="46"/>
      <c r="BJ43" s="47"/>
      <c r="BK43" s="48" t="s">
        <v>123</v>
      </c>
      <c r="BL43" s="46"/>
      <c r="BM43" s="46"/>
      <c r="BN43" s="46"/>
      <c r="BO43" s="46"/>
      <c r="BP43" s="47"/>
      <c r="BQ43" s="48" t="s">
        <v>124</v>
      </c>
      <c r="BR43" s="46"/>
      <c r="BS43" s="46"/>
      <c r="BT43" s="46"/>
      <c r="BU43" s="46"/>
      <c r="BV43" s="47"/>
      <c r="BW43" s="48" t="s">
        <v>125</v>
      </c>
      <c r="BX43" s="46"/>
      <c r="BY43" s="46"/>
      <c r="BZ43" s="46"/>
      <c r="CA43" s="46"/>
      <c r="CB43" s="47"/>
      <c r="CC43" s="49" t="s">
        <v>126</v>
      </c>
      <c r="CD43" s="46"/>
      <c r="CE43" s="46"/>
      <c r="CF43" s="46"/>
      <c r="CG43" s="46"/>
      <c r="CH43" s="47"/>
      <c r="CI43" s="48" t="s">
        <v>127</v>
      </c>
      <c r="CJ43" s="46"/>
      <c r="CK43" s="46"/>
      <c r="CL43" s="46"/>
      <c r="CM43" s="46"/>
      <c r="CN43" s="47"/>
      <c r="CO43" s="48" t="s">
        <v>128</v>
      </c>
      <c r="CP43" s="46"/>
      <c r="CQ43" s="46"/>
      <c r="CR43" s="46"/>
      <c r="CS43" s="46"/>
      <c r="CT43" s="47"/>
      <c r="CU43" s="48" t="s">
        <v>129</v>
      </c>
      <c r="CV43" s="46"/>
      <c r="CW43" s="46"/>
      <c r="CX43" s="46"/>
      <c r="CY43" s="46"/>
      <c r="CZ43" s="47"/>
      <c r="DA43" s="48" t="s">
        <v>130</v>
      </c>
      <c r="DB43" s="46"/>
      <c r="DC43" s="46"/>
      <c r="DD43" s="46"/>
      <c r="DE43" s="46"/>
      <c r="DF43" s="47"/>
      <c r="DG43" s="48" t="s">
        <v>131</v>
      </c>
      <c r="DH43" s="46"/>
      <c r="DI43" s="47"/>
    </row>
    <row r="44" spans="1:166" ht="15.75" customHeight="1">
      <c r="A44" s="20"/>
      <c r="B44" s="20"/>
      <c r="C44" s="20"/>
    </row>
    <row r="45" spans="1:166" ht="15.75" customHeight="1">
      <c r="A45" s="20"/>
      <c r="B45" s="20"/>
      <c r="C45" s="20"/>
    </row>
    <row r="46" spans="1:166" ht="15.75" customHeight="1">
      <c r="A46" s="20"/>
      <c r="B46" s="20"/>
      <c r="C46" s="20"/>
    </row>
    <row r="47" spans="1:166" ht="15.75" customHeight="1">
      <c r="A47" s="20"/>
      <c r="B47" s="20"/>
      <c r="C47" s="20"/>
    </row>
    <row r="48" spans="1:166" ht="15.75" customHeight="1">
      <c r="A48" s="20"/>
      <c r="B48" s="20"/>
      <c r="C48" s="20"/>
    </row>
    <row r="49" spans="1:3" ht="15.75" customHeight="1">
      <c r="A49" s="20"/>
      <c r="B49" s="20"/>
      <c r="C49" s="20"/>
    </row>
    <row r="50" spans="1:3" ht="15.75" customHeight="1">
      <c r="A50" s="20"/>
      <c r="B50" s="20"/>
      <c r="C50" s="20"/>
    </row>
    <row r="51" spans="1:3" ht="15.75" customHeight="1">
      <c r="A51" s="20"/>
      <c r="B51" s="20"/>
      <c r="C51" s="20"/>
    </row>
    <row r="52" spans="1:3" ht="15.75" customHeight="1">
      <c r="A52" s="20"/>
      <c r="B52" s="20"/>
      <c r="C52" s="20"/>
    </row>
    <row r="53" spans="1:3" ht="15.75" customHeight="1">
      <c r="A53" s="20"/>
      <c r="B53" s="20"/>
      <c r="C53" s="20"/>
    </row>
    <row r="54" spans="1:3" ht="15.75" customHeight="1">
      <c r="A54" s="20"/>
      <c r="B54" s="20"/>
      <c r="C54" s="20"/>
    </row>
    <row r="55" spans="1:3" ht="15.75" customHeight="1">
      <c r="A55" s="20"/>
      <c r="B55" s="20"/>
      <c r="C55" s="20"/>
    </row>
    <row r="56" spans="1:3" ht="15.75" customHeight="1">
      <c r="A56" s="20"/>
      <c r="B56" s="20"/>
      <c r="C56" s="20"/>
    </row>
    <row r="57" spans="1:3" ht="15.75" customHeight="1">
      <c r="A57" s="20"/>
      <c r="B57" s="20"/>
      <c r="C57" s="20"/>
    </row>
    <row r="58" spans="1:3" ht="15.75" customHeight="1">
      <c r="A58" s="20"/>
      <c r="B58" s="20"/>
      <c r="C58" s="20"/>
    </row>
    <row r="59" spans="1:3" ht="15.75" customHeight="1">
      <c r="A59" s="20"/>
      <c r="B59" s="20"/>
      <c r="C59" s="20"/>
    </row>
    <row r="60" spans="1:3" ht="15.75" customHeight="1">
      <c r="A60" s="20"/>
      <c r="B60" s="20"/>
      <c r="C60" s="20"/>
    </row>
    <row r="61" spans="1:3" ht="15.75" customHeight="1">
      <c r="A61" s="20"/>
      <c r="B61" s="20"/>
      <c r="C61" s="20"/>
    </row>
    <row r="62" spans="1:3" ht="15.75" customHeight="1">
      <c r="A62" s="20"/>
      <c r="B62" s="20"/>
      <c r="C62" s="20"/>
    </row>
    <row r="63" spans="1:3" ht="15.75" customHeight="1">
      <c r="A63" s="20"/>
      <c r="B63" s="20"/>
      <c r="C63" s="20"/>
    </row>
    <row r="64" spans="1:3" ht="15.75" customHeight="1">
      <c r="A64" s="20"/>
      <c r="B64" s="20"/>
      <c r="C64" s="20"/>
    </row>
    <row r="65" spans="1:3" ht="15.75" customHeight="1">
      <c r="A65" s="20"/>
      <c r="B65" s="20"/>
      <c r="C65" s="20"/>
    </row>
    <row r="66" spans="1:3" ht="15.75" customHeight="1">
      <c r="A66" s="20"/>
      <c r="B66" s="20"/>
      <c r="C66" s="20"/>
    </row>
    <row r="67" spans="1:3" ht="15.75" customHeight="1">
      <c r="A67" s="20"/>
      <c r="B67" s="20"/>
      <c r="C67" s="20"/>
    </row>
    <row r="68" spans="1:3" ht="15.75" customHeight="1">
      <c r="A68" s="20"/>
      <c r="B68" s="20"/>
      <c r="C68" s="20"/>
    </row>
    <row r="69" spans="1:3" ht="15.75" customHeight="1">
      <c r="A69" s="20"/>
      <c r="B69" s="20"/>
      <c r="C69" s="20"/>
    </row>
    <row r="70" spans="1:3" ht="15.75" customHeight="1">
      <c r="A70" s="20"/>
      <c r="B70" s="20"/>
      <c r="C70" s="20"/>
    </row>
    <row r="71" spans="1:3" ht="15.75" customHeight="1">
      <c r="A71" s="20"/>
      <c r="B71" s="20"/>
      <c r="C71" s="20"/>
    </row>
    <row r="72" spans="1:3" ht="15.75" customHeight="1">
      <c r="A72" s="20"/>
      <c r="B72" s="20"/>
      <c r="C72" s="20"/>
    </row>
    <row r="73" spans="1:3" ht="15.75" customHeight="1">
      <c r="A73" s="20"/>
      <c r="B73" s="20"/>
      <c r="C73" s="20"/>
    </row>
    <row r="74" spans="1:3" ht="15.75" customHeight="1">
      <c r="A74" s="20"/>
      <c r="B74" s="20"/>
      <c r="C74" s="20"/>
    </row>
    <row r="75" spans="1:3" ht="15.75" customHeight="1">
      <c r="A75" s="20"/>
      <c r="B75" s="20"/>
      <c r="C75" s="20"/>
    </row>
    <row r="76" spans="1:3" ht="15.75" customHeight="1">
      <c r="A76" s="20"/>
      <c r="B76" s="20"/>
      <c r="C76" s="20"/>
    </row>
    <row r="77" spans="1:3" ht="15.75" customHeight="1">
      <c r="A77" s="20"/>
      <c r="B77" s="20"/>
      <c r="C77" s="20"/>
    </row>
    <row r="78" spans="1:3" ht="15.75" customHeight="1">
      <c r="A78" s="20"/>
      <c r="B78" s="20"/>
      <c r="C78" s="20"/>
    </row>
    <row r="79" spans="1:3" ht="15.75" customHeight="1">
      <c r="A79" s="20"/>
      <c r="B79" s="20"/>
      <c r="C79" s="20"/>
    </row>
    <row r="80" spans="1:3" ht="15.75" customHeight="1">
      <c r="A80" s="20"/>
      <c r="B80" s="20"/>
      <c r="C80" s="20"/>
    </row>
    <row r="81" spans="1:3" ht="15.75" customHeight="1">
      <c r="A81" s="20"/>
      <c r="B81" s="20"/>
      <c r="C81" s="20"/>
    </row>
    <row r="82" spans="1:3" ht="15.75" customHeight="1">
      <c r="A82" s="20"/>
      <c r="B82" s="20"/>
      <c r="C82" s="20"/>
    </row>
    <row r="83" spans="1:3" ht="15.75" customHeight="1">
      <c r="A83" s="20"/>
      <c r="B83" s="20"/>
      <c r="C83" s="20"/>
    </row>
    <row r="84" spans="1:3" ht="15.75" customHeight="1">
      <c r="A84" s="20"/>
      <c r="B84" s="20"/>
      <c r="C84" s="20"/>
    </row>
    <row r="85" spans="1:3" ht="15.75" customHeight="1">
      <c r="A85" s="20"/>
      <c r="B85" s="20"/>
      <c r="C85" s="20"/>
    </row>
    <row r="86" spans="1:3" ht="15.75" customHeight="1">
      <c r="A86" s="20"/>
      <c r="B86" s="20"/>
      <c r="C86" s="20"/>
    </row>
    <row r="87" spans="1:3" ht="15.75" customHeight="1">
      <c r="A87" s="20"/>
      <c r="B87" s="20"/>
      <c r="C87" s="20"/>
    </row>
    <row r="88" spans="1:3" ht="15.75" customHeight="1">
      <c r="A88" s="20"/>
      <c r="B88" s="20"/>
      <c r="C88" s="20"/>
    </row>
    <row r="89" spans="1:3" ht="15.75" customHeight="1">
      <c r="A89" s="20"/>
      <c r="B89" s="20"/>
      <c r="C89" s="20"/>
    </row>
    <row r="90" spans="1:3" ht="15.75" customHeight="1">
      <c r="A90" s="20"/>
      <c r="B90" s="20"/>
      <c r="C90" s="20"/>
    </row>
    <row r="91" spans="1:3" ht="15.75" customHeight="1">
      <c r="A91" s="20"/>
      <c r="B91" s="20"/>
      <c r="C91" s="20"/>
    </row>
    <row r="92" spans="1:3" ht="15.75" customHeight="1">
      <c r="A92" s="20"/>
      <c r="B92" s="20"/>
      <c r="C92" s="20"/>
    </row>
    <row r="93" spans="1:3" ht="15.75" customHeight="1">
      <c r="A93" s="20"/>
      <c r="B93" s="20"/>
      <c r="C93" s="20"/>
    </row>
    <row r="94" spans="1:3" ht="15.75" customHeight="1">
      <c r="A94" s="20"/>
      <c r="B94" s="20"/>
      <c r="C94" s="20"/>
    </row>
    <row r="95" spans="1:3" ht="15.75" customHeight="1">
      <c r="A95" s="20"/>
      <c r="B95" s="20"/>
      <c r="C95" s="20"/>
    </row>
    <row r="96" spans="1:3" ht="15.75" customHeight="1">
      <c r="A96" s="20"/>
      <c r="B96" s="20"/>
      <c r="C96" s="20"/>
    </row>
    <row r="97" spans="1:3" ht="15.75" customHeight="1">
      <c r="A97" s="20"/>
      <c r="B97" s="20"/>
      <c r="C97" s="20"/>
    </row>
    <row r="98" spans="1:3" ht="15.75" customHeight="1">
      <c r="A98" s="20"/>
      <c r="B98" s="20"/>
      <c r="C98" s="20"/>
    </row>
    <row r="99" spans="1:3" ht="15.75" customHeight="1">
      <c r="A99" s="20"/>
      <c r="B99" s="20"/>
      <c r="C99" s="20"/>
    </row>
    <row r="100" spans="1:3" ht="15.75" customHeight="1">
      <c r="A100" s="20"/>
      <c r="B100" s="20"/>
      <c r="C100" s="20"/>
    </row>
    <row r="101" spans="1:3" ht="15.75" customHeight="1">
      <c r="A101" s="20"/>
      <c r="B101" s="20"/>
      <c r="C101" s="20"/>
    </row>
    <row r="102" spans="1:3" ht="15.75" customHeight="1">
      <c r="A102" s="20"/>
      <c r="B102" s="20"/>
      <c r="C102" s="20"/>
    </row>
    <row r="103" spans="1:3" ht="15.75" customHeight="1">
      <c r="A103" s="20"/>
      <c r="B103" s="20"/>
      <c r="C103" s="20"/>
    </row>
    <row r="104" spans="1:3" ht="15.75" customHeight="1">
      <c r="A104" s="20"/>
      <c r="B104" s="20"/>
      <c r="C104" s="20"/>
    </row>
    <row r="105" spans="1:3" ht="15.75" customHeight="1">
      <c r="A105" s="20"/>
      <c r="B105" s="20"/>
      <c r="C105" s="20"/>
    </row>
    <row r="106" spans="1:3" ht="15.75" customHeight="1">
      <c r="A106" s="20"/>
      <c r="B106" s="20"/>
      <c r="C106" s="20"/>
    </row>
    <row r="107" spans="1:3" ht="15.75" customHeight="1">
      <c r="A107" s="20"/>
      <c r="B107" s="20"/>
      <c r="C107" s="20"/>
    </row>
    <row r="108" spans="1:3" ht="15.75" customHeight="1">
      <c r="A108" s="20"/>
      <c r="B108" s="20"/>
      <c r="C108" s="20"/>
    </row>
    <row r="109" spans="1:3" ht="15.75" customHeight="1">
      <c r="A109" s="20"/>
      <c r="B109" s="20"/>
      <c r="C109" s="20"/>
    </row>
    <row r="110" spans="1:3" ht="15.75" customHeight="1">
      <c r="A110" s="20"/>
      <c r="B110" s="20"/>
      <c r="C110" s="20"/>
    </row>
    <row r="111" spans="1:3" ht="15.75" customHeight="1">
      <c r="A111" s="20"/>
      <c r="B111" s="20"/>
      <c r="C111" s="20"/>
    </row>
    <row r="112" spans="1:3" ht="15.75" customHeight="1">
      <c r="A112" s="20"/>
      <c r="B112" s="20"/>
      <c r="C112" s="20"/>
    </row>
    <row r="113" spans="1:3" ht="15.75" customHeight="1">
      <c r="A113" s="20"/>
      <c r="B113" s="20"/>
      <c r="C113" s="20"/>
    </row>
    <row r="114" spans="1:3" ht="15.75" customHeight="1">
      <c r="A114" s="20"/>
      <c r="B114" s="20"/>
      <c r="C114" s="20"/>
    </row>
    <row r="115" spans="1:3" ht="15.75" customHeight="1">
      <c r="A115" s="20"/>
      <c r="B115" s="20"/>
      <c r="C115" s="20"/>
    </row>
    <row r="116" spans="1:3" ht="15.75" customHeight="1">
      <c r="A116" s="20"/>
      <c r="B116" s="20"/>
      <c r="C116" s="20"/>
    </row>
    <row r="117" spans="1:3" ht="15.75" customHeight="1">
      <c r="A117" s="20"/>
      <c r="B117" s="20"/>
      <c r="C117" s="20"/>
    </row>
    <row r="118" spans="1:3" ht="15.75" customHeight="1">
      <c r="A118" s="20"/>
      <c r="B118" s="20"/>
      <c r="C118" s="20"/>
    </row>
    <row r="119" spans="1:3" ht="15.75" customHeight="1">
      <c r="A119" s="20"/>
      <c r="B119" s="20"/>
      <c r="C119" s="20"/>
    </row>
    <row r="120" spans="1:3" ht="15.75" customHeight="1">
      <c r="A120" s="20"/>
      <c r="B120" s="20"/>
      <c r="C120" s="20"/>
    </row>
    <row r="121" spans="1:3" ht="15.75" customHeight="1">
      <c r="A121" s="20"/>
      <c r="B121" s="20"/>
      <c r="C121" s="20"/>
    </row>
    <row r="122" spans="1:3" ht="15.75" customHeight="1">
      <c r="A122" s="20"/>
      <c r="B122" s="20"/>
      <c r="C122" s="20"/>
    </row>
    <row r="123" spans="1:3" ht="15.75" customHeight="1">
      <c r="A123" s="20"/>
      <c r="B123" s="20"/>
      <c r="C123" s="20"/>
    </row>
    <row r="124" spans="1:3" ht="15.75" customHeight="1">
      <c r="A124" s="20"/>
      <c r="B124" s="20"/>
      <c r="C124" s="20"/>
    </row>
    <row r="125" spans="1:3" ht="15.75" customHeight="1">
      <c r="A125" s="20"/>
      <c r="B125" s="20"/>
      <c r="C125" s="20"/>
    </row>
    <row r="126" spans="1:3" ht="15.75" customHeight="1">
      <c r="A126" s="20"/>
      <c r="B126" s="20"/>
      <c r="C126" s="20"/>
    </row>
    <row r="127" spans="1:3" ht="15.75" customHeight="1">
      <c r="A127" s="20"/>
      <c r="B127" s="20"/>
      <c r="C127" s="20"/>
    </row>
    <row r="128" spans="1:3" ht="15.75" customHeight="1">
      <c r="A128" s="20"/>
      <c r="B128" s="20"/>
      <c r="C128" s="20"/>
    </row>
    <row r="129" spans="1:3" ht="15.75" customHeight="1">
      <c r="A129" s="20"/>
      <c r="B129" s="20"/>
      <c r="C129" s="20"/>
    </row>
    <row r="130" spans="1:3" ht="15.75" customHeight="1">
      <c r="A130" s="20"/>
      <c r="B130" s="20"/>
      <c r="C130" s="20"/>
    </row>
    <row r="131" spans="1:3" ht="15.75" customHeight="1">
      <c r="A131" s="20"/>
      <c r="B131" s="20"/>
      <c r="C131" s="20"/>
    </row>
    <row r="132" spans="1:3" ht="15.75" customHeight="1">
      <c r="A132" s="20"/>
      <c r="B132" s="20"/>
      <c r="C132" s="20"/>
    </row>
    <row r="133" spans="1:3" ht="15.75" customHeight="1">
      <c r="A133" s="20"/>
      <c r="B133" s="20"/>
      <c r="C133" s="20"/>
    </row>
    <row r="134" spans="1:3" ht="15.75" customHeight="1">
      <c r="A134" s="20"/>
      <c r="B134" s="20"/>
      <c r="C134" s="20"/>
    </row>
    <row r="135" spans="1:3" ht="15.75" customHeight="1">
      <c r="A135" s="20"/>
      <c r="B135" s="20"/>
      <c r="C135" s="20"/>
    </row>
    <row r="136" spans="1:3" ht="15.75" customHeight="1">
      <c r="A136" s="20"/>
      <c r="B136" s="20"/>
      <c r="C136" s="20"/>
    </row>
    <row r="137" spans="1:3" ht="15.75" customHeight="1">
      <c r="A137" s="20"/>
      <c r="B137" s="20"/>
      <c r="C137" s="20"/>
    </row>
    <row r="138" spans="1:3" ht="15.75" customHeight="1">
      <c r="A138" s="20"/>
      <c r="B138" s="20"/>
      <c r="C138" s="20"/>
    </row>
    <row r="139" spans="1:3" ht="15.75" customHeight="1">
      <c r="A139" s="20"/>
      <c r="B139" s="20"/>
      <c r="C139" s="20"/>
    </row>
    <row r="140" spans="1:3" ht="15.75" customHeight="1">
      <c r="A140" s="20"/>
      <c r="B140" s="20"/>
      <c r="C140" s="20"/>
    </row>
    <row r="141" spans="1:3" ht="15.75" customHeight="1">
      <c r="A141" s="20"/>
      <c r="B141" s="20"/>
      <c r="C141" s="20"/>
    </row>
    <row r="142" spans="1:3" ht="15.75" customHeight="1">
      <c r="A142" s="20"/>
      <c r="B142" s="20"/>
      <c r="C142" s="20"/>
    </row>
    <row r="143" spans="1:3" ht="15.75" customHeight="1">
      <c r="A143" s="20"/>
      <c r="B143" s="20"/>
      <c r="C143" s="20"/>
    </row>
    <row r="144" spans="1:3" ht="15.75" customHeight="1">
      <c r="A144" s="20"/>
      <c r="B144" s="20"/>
      <c r="C144" s="20"/>
    </row>
    <row r="145" spans="1:3" ht="15.75" customHeight="1">
      <c r="A145" s="20"/>
      <c r="B145" s="20"/>
      <c r="C145" s="20"/>
    </row>
    <row r="146" spans="1:3" ht="15.75" customHeight="1">
      <c r="A146" s="20"/>
      <c r="B146" s="20"/>
      <c r="C146" s="20"/>
    </row>
    <row r="147" spans="1:3" ht="15.75" customHeight="1">
      <c r="A147" s="20"/>
      <c r="B147" s="20"/>
      <c r="C147" s="20"/>
    </row>
    <row r="148" spans="1:3" ht="15.75" customHeight="1">
      <c r="A148" s="20"/>
      <c r="B148" s="20"/>
      <c r="C148" s="20"/>
    </row>
    <row r="149" spans="1:3" ht="15.75" customHeight="1">
      <c r="A149" s="20"/>
      <c r="B149" s="20"/>
      <c r="C149" s="20"/>
    </row>
    <row r="150" spans="1:3" ht="15.75" customHeight="1">
      <c r="A150" s="20"/>
      <c r="B150" s="20"/>
      <c r="C150" s="20"/>
    </row>
    <row r="151" spans="1:3" ht="15.75" customHeight="1">
      <c r="A151" s="20"/>
      <c r="B151" s="20"/>
      <c r="C151" s="20"/>
    </row>
    <row r="152" spans="1:3" ht="15.75" customHeight="1">
      <c r="A152" s="20"/>
      <c r="B152" s="20"/>
      <c r="C152" s="20"/>
    </row>
    <row r="153" spans="1:3" ht="15.75" customHeight="1">
      <c r="A153" s="20"/>
      <c r="B153" s="20"/>
      <c r="C153" s="20"/>
    </row>
    <row r="154" spans="1:3" ht="15.75" customHeight="1">
      <c r="A154" s="20"/>
      <c r="B154" s="20"/>
      <c r="C154" s="20"/>
    </row>
    <row r="155" spans="1:3" ht="15.75" customHeight="1">
      <c r="A155" s="20"/>
      <c r="B155" s="20"/>
      <c r="C155" s="20"/>
    </row>
    <row r="156" spans="1:3" ht="15.75" customHeight="1">
      <c r="A156" s="20"/>
      <c r="B156" s="20"/>
      <c r="C156" s="20"/>
    </row>
    <row r="157" spans="1:3" ht="15.75" customHeight="1">
      <c r="A157" s="20"/>
      <c r="B157" s="20"/>
      <c r="C157" s="20"/>
    </row>
    <row r="158" spans="1:3" ht="15.75" customHeight="1">
      <c r="A158" s="20"/>
      <c r="B158" s="20"/>
      <c r="C158" s="20"/>
    </row>
    <row r="159" spans="1:3" ht="15.75" customHeight="1">
      <c r="A159" s="20"/>
      <c r="B159" s="20"/>
      <c r="C159" s="20"/>
    </row>
    <row r="160" spans="1:3" ht="15.75" customHeight="1">
      <c r="A160" s="20"/>
      <c r="B160" s="20"/>
      <c r="C160" s="20"/>
    </row>
    <row r="161" spans="1:3" ht="15.75" customHeight="1">
      <c r="A161" s="20"/>
      <c r="B161" s="20"/>
      <c r="C161" s="20"/>
    </row>
    <row r="162" spans="1:3" ht="15.75" customHeight="1">
      <c r="A162" s="20"/>
      <c r="B162" s="20"/>
      <c r="C162" s="20"/>
    </row>
    <row r="163" spans="1:3" ht="15.75" customHeight="1">
      <c r="A163" s="20"/>
      <c r="B163" s="20"/>
      <c r="C163" s="20"/>
    </row>
    <row r="164" spans="1:3" ht="15.75" customHeight="1">
      <c r="A164" s="20"/>
      <c r="B164" s="20"/>
      <c r="C164" s="20"/>
    </row>
    <row r="165" spans="1:3" ht="15.75" customHeight="1">
      <c r="A165" s="20"/>
      <c r="B165" s="20"/>
      <c r="C165" s="20"/>
    </row>
    <row r="166" spans="1:3" ht="15.75" customHeight="1">
      <c r="A166" s="20"/>
      <c r="B166" s="20"/>
      <c r="C166" s="20"/>
    </row>
    <row r="167" spans="1:3" ht="15.75" customHeight="1">
      <c r="A167" s="20"/>
      <c r="B167" s="20"/>
      <c r="C167" s="20"/>
    </row>
    <row r="168" spans="1:3" ht="15.75" customHeight="1">
      <c r="A168" s="20"/>
      <c r="B168" s="20"/>
      <c r="C168" s="20"/>
    </row>
    <row r="169" spans="1:3" ht="15.75" customHeight="1">
      <c r="A169" s="20"/>
      <c r="B169" s="20"/>
      <c r="C169" s="20"/>
    </row>
    <row r="170" spans="1:3" ht="15.75" customHeight="1">
      <c r="A170" s="20"/>
      <c r="B170" s="20"/>
      <c r="C170" s="20"/>
    </row>
    <row r="171" spans="1:3" ht="15.75" customHeight="1">
      <c r="A171" s="20"/>
      <c r="B171" s="20"/>
      <c r="C171" s="20"/>
    </row>
    <row r="172" spans="1:3" ht="15.75" customHeight="1">
      <c r="A172" s="20"/>
      <c r="B172" s="20"/>
      <c r="C172" s="20"/>
    </row>
    <row r="173" spans="1:3" ht="15.75" customHeight="1">
      <c r="A173" s="20"/>
      <c r="B173" s="20"/>
      <c r="C173" s="20"/>
    </row>
    <row r="174" spans="1:3" ht="15.75" customHeight="1">
      <c r="A174" s="20"/>
      <c r="B174" s="20"/>
      <c r="C174" s="20"/>
    </row>
    <row r="175" spans="1:3" ht="15.75" customHeight="1">
      <c r="A175" s="20"/>
      <c r="B175" s="20"/>
      <c r="C175" s="20"/>
    </row>
    <row r="176" spans="1:3" ht="15.75" customHeight="1">
      <c r="A176" s="20"/>
      <c r="B176" s="20"/>
      <c r="C176" s="20"/>
    </row>
    <row r="177" spans="1:3" ht="15.75" customHeight="1">
      <c r="A177" s="20"/>
      <c r="B177" s="20"/>
      <c r="C177" s="20"/>
    </row>
    <row r="178" spans="1:3" ht="15.75" customHeight="1">
      <c r="A178" s="20"/>
      <c r="B178" s="20"/>
      <c r="C178" s="20"/>
    </row>
    <row r="179" spans="1:3" ht="15.75" customHeight="1">
      <c r="A179" s="20"/>
      <c r="B179" s="20"/>
      <c r="C179" s="20"/>
    </row>
    <row r="180" spans="1:3" ht="15.75" customHeight="1">
      <c r="A180" s="20"/>
      <c r="B180" s="20"/>
      <c r="C180" s="20"/>
    </row>
    <row r="181" spans="1:3" ht="15.75" customHeight="1">
      <c r="A181" s="20"/>
      <c r="B181" s="20"/>
      <c r="C181" s="20"/>
    </row>
    <row r="182" spans="1:3" ht="15.75" customHeight="1">
      <c r="A182" s="20"/>
      <c r="B182" s="20"/>
      <c r="C182" s="20"/>
    </row>
    <row r="183" spans="1:3" ht="15.75" customHeight="1">
      <c r="A183" s="20"/>
      <c r="B183" s="20"/>
      <c r="C183" s="20"/>
    </row>
    <row r="184" spans="1:3" ht="15.75" customHeight="1">
      <c r="A184" s="20"/>
      <c r="B184" s="20"/>
      <c r="C184" s="20"/>
    </row>
    <row r="185" spans="1:3" ht="15.75" customHeight="1">
      <c r="A185" s="20"/>
      <c r="B185" s="20"/>
      <c r="C185" s="20"/>
    </row>
    <row r="186" spans="1:3" ht="15.75" customHeight="1">
      <c r="A186" s="20"/>
      <c r="B186" s="20"/>
      <c r="C186" s="20"/>
    </row>
    <row r="187" spans="1:3" ht="15.75" customHeight="1">
      <c r="A187" s="20"/>
      <c r="B187" s="20"/>
      <c r="C187" s="20"/>
    </row>
    <row r="188" spans="1:3" ht="15.75" customHeight="1">
      <c r="A188" s="20"/>
      <c r="B188" s="20"/>
      <c r="C188" s="20"/>
    </row>
    <row r="189" spans="1:3" ht="15.75" customHeight="1">
      <c r="A189" s="20"/>
      <c r="B189" s="20"/>
      <c r="C189" s="20"/>
    </row>
    <row r="190" spans="1:3" ht="15.75" customHeight="1">
      <c r="A190" s="20"/>
      <c r="B190" s="20"/>
      <c r="C190" s="20"/>
    </row>
    <row r="191" spans="1:3" ht="15.75" customHeight="1">
      <c r="A191" s="20"/>
      <c r="B191" s="20"/>
      <c r="C191" s="20"/>
    </row>
    <row r="192" spans="1:3" ht="15.75" customHeight="1">
      <c r="A192" s="20"/>
      <c r="B192" s="20"/>
      <c r="C192" s="20"/>
    </row>
    <row r="193" spans="1:3" ht="15.75" customHeight="1">
      <c r="A193" s="20"/>
      <c r="B193" s="20"/>
      <c r="C193" s="20"/>
    </row>
    <row r="194" spans="1:3" ht="15.75" customHeight="1">
      <c r="A194" s="20"/>
      <c r="B194" s="20"/>
      <c r="C194" s="20"/>
    </row>
    <row r="195" spans="1:3" ht="15.75" customHeight="1">
      <c r="A195" s="20"/>
      <c r="B195" s="20"/>
      <c r="C195" s="20"/>
    </row>
    <row r="196" spans="1:3" ht="15.75" customHeight="1">
      <c r="A196" s="20"/>
      <c r="B196" s="20"/>
      <c r="C196" s="20"/>
    </row>
    <row r="197" spans="1:3" ht="15.75" customHeight="1">
      <c r="A197" s="20"/>
      <c r="B197" s="20"/>
      <c r="C197" s="20"/>
    </row>
    <row r="198" spans="1:3" ht="15.75" customHeight="1">
      <c r="A198" s="20"/>
      <c r="B198" s="20"/>
      <c r="C198" s="20"/>
    </row>
    <row r="199" spans="1:3" ht="15.75" customHeight="1">
      <c r="A199" s="20"/>
      <c r="B199" s="20"/>
      <c r="C199" s="20"/>
    </row>
    <row r="200" spans="1:3" ht="15.75" customHeight="1">
      <c r="A200" s="20"/>
      <c r="B200" s="20"/>
      <c r="C200" s="20"/>
    </row>
    <row r="201" spans="1:3" ht="15.75" customHeight="1">
      <c r="A201" s="20"/>
      <c r="B201" s="20"/>
      <c r="C201" s="20"/>
    </row>
    <row r="202" spans="1:3" ht="15.75" customHeight="1">
      <c r="A202" s="20"/>
      <c r="B202" s="20"/>
      <c r="C202" s="20"/>
    </row>
    <row r="203" spans="1:3" ht="15.75" customHeight="1">
      <c r="A203" s="20"/>
      <c r="B203" s="20"/>
      <c r="C203" s="20"/>
    </row>
    <row r="204" spans="1:3" ht="15.75" customHeight="1">
      <c r="A204" s="20"/>
      <c r="B204" s="20"/>
      <c r="C204" s="20"/>
    </row>
    <row r="205" spans="1:3" ht="15.75" customHeight="1">
      <c r="A205" s="20"/>
      <c r="B205" s="20"/>
      <c r="C205" s="20"/>
    </row>
    <row r="206" spans="1:3" ht="15.75" customHeight="1">
      <c r="A206" s="20"/>
      <c r="B206" s="20"/>
      <c r="C206" s="20"/>
    </row>
    <row r="207" spans="1:3" ht="15.75" customHeight="1">
      <c r="A207" s="20"/>
      <c r="B207" s="20"/>
      <c r="C207" s="20"/>
    </row>
    <row r="208" spans="1:3" ht="15.75" customHeight="1">
      <c r="A208" s="20"/>
      <c r="B208" s="20"/>
      <c r="C208" s="20"/>
    </row>
    <row r="209" spans="1:3" ht="15.75" customHeight="1">
      <c r="A209" s="20"/>
      <c r="B209" s="20"/>
      <c r="C209" s="20"/>
    </row>
    <row r="210" spans="1:3" ht="15.75" customHeight="1">
      <c r="A210" s="20"/>
      <c r="B210" s="20"/>
      <c r="C210" s="20"/>
    </row>
    <row r="211" spans="1:3" ht="15.75" customHeight="1">
      <c r="A211" s="20"/>
      <c r="B211" s="20"/>
      <c r="C211" s="20"/>
    </row>
    <row r="212" spans="1:3" ht="15.75" customHeight="1">
      <c r="A212" s="20"/>
      <c r="B212" s="20"/>
      <c r="C212" s="20"/>
    </row>
    <row r="213" spans="1:3" ht="15.75" customHeight="1">
      <c r="A213" s="20"/>
      <c r="B213" s="20"/>
      <c r="C213" s="20"/>
    </row>
    <row r="214" spans="1:3" ht="15.75" customHeight="1">
      <c r="A214" s="20"/>
      <c r="B214" s="20"/>
      <c r="C214" s="20"/>
    </row>
    <row r="215" spans="1:3" ht="15.75" customHeight="1">
      <c r="A215" s="20"/>
      <c r="B215" s="20"/>
      <c r="C215" s="20"/>
    </row>
    <row r="216" spans="1:3" ht="15.75" customHeight="1">
      <c r="A216" s="20"/>
      <c r="B216" s="20"/>
      <c r="C216" s="20"/>
    </row>
    <row r="217" spans="1:3" ht="15.75" customHeight="1">
      <c r="A217" s="20"/>
      <c r="B217" s="20"/>
      <c r="C217" s="20"/>
    </row>
    <row r="218" spans="1:3" ht="15.75" customHeight="1">
      <c r="A218" s="20"/>
      <c r="B218" s="20"/>
      <c r="C218" s="20"/>
    </row>
    <row r="219" spans="1:3" ht="15.75" customHeight="1">
      <c r="A219" s="20"/>
      <c r="B219" s="20"/>
      <c r="C219" s="20"/>
    </row>
    <row r="220" spans="1:3" ht="15.75" customHeight="1">
      <c r="A220" s="20"/>
      <c r="B220" s="20"/>
      <c r="C220" s="20"/>
    </row>
    <row r="221" spans="1:3" ht="15.75" customHeight="1">
      <c r="A221" s="20"/>
      <c r="B221" s="20"/>
      <c r="C221" s="20"/>
    </row>
    <row r="222" spans="1:3" ht="15.75" customHeight="1">
      <c r="A222" s="20"/>
      <c r="B222" s="20"/>
      <c r="C222" s="20"/>
    </row>
    <row r="223" spans="1:3" ht="15.75" customHeight="1">
      <c r="A223" s="20"/>
      <c r="B223" s="20"/>
      <c r="C223" s="20"/>
    </row>
    <row r="224" spans="1:3" ht="15.75" customHeight="1">
      <c r="A224" s="20"/>
      <c r="B224" s="20"/>
      <c r="C224" s="20"/>
    </row>
    <row r="225" spans="1:3" ht="15.75" customHeight="1">
      <c r="A225" s="20"/>
      <c r="B225" s="20"/>
      <c r="C225" s="20"/>
    </row>
    <row r="226" spans="1:3" ht="15.75" customHeight="1">
      <c r="A226" s="20"/>
      <c r="B226" s="20"/>
      <c r="C226" s="20"/>
    </row>
    <row r="227" spans="1:3" ht="15.75" customHeight="1">
      <c r="A227" s="20"/>
      <c r="B227" s="20"/>
      <c r="C227" s="20"/>
    </row>
    <row r="228" spans="1:3" ht="15.75" customHeight="1">
      <c r="A228" s="20"/>
      <c r="B228" s="20"/>
      <c r="C228" s="20"/>
    </row>
    <row r="229" spans="1:3" ht="15.75" customHeight="1">
      <c r="A229" s="20"/>
      <c r="B229" s="20"/>
      <c r="C229" s="20"/>
    </row>
    <row r="230" spans="1:3" ht="15.75" customHeight="1">
      <c r="A230" s="20"/>
      <c r="B230" s="20"/>
      <c r="C230" s="20"/>
    </row>
    <row r="231" spans="1:3" ht="15.75" customHeight="1">
      <c r="A231" s="20"/>
      <c r="B231" s="20"/>
      <c r="C231" s="20"/>
    </row>
    <row r="232" spans="1:3" ht="15.75" customHeight="1">
      <c r="A232" s="20"/>
      <c r="B232" s="20"/>
      <c r="C232" s="20"/>
    </row>
    <row r="233" spans="1:3" ht="15.75" customHeight="1">
      <c r="A233" s="20"/>
      <c r="B233" s="20"/>
      <c r="C233" s="20"/>
    </row>
    <row r="234" spans="1:3" ht="15.75" customHeight="1">
      <c r="A234" s="20"/>
      <c r="B234" s="20"/>
      <c r="C234" s="20"/>
    </row>
    <row r="235" spans="1:3" ht="15.75" customHeight="1">
      <c r="A235" s="20"/>
      <c r="B235" s="20"/>
      <c r="C235" s="20"/>
    </row>
    <row r="236" spans="1:3" ht="15.75" customHeight="1">
      <c r="A236" s="20"/>
      <c r="B236" s="20"/>
      <c r="C236" s="20"/>
    </row>
    <row r="237" spans="1:3" ht="15.75" customHeight="1">
      <c r="A237" s="20"/>
      <c r="B237" s="20"/>
      <c r="C237" s="20"/>
    </row>
    <row r="238" spans="1:3" ht="15.75" customHeight="1">
      <c r="A238" s="20"/>
      <c r="B238" s="20"/>
      <c r="C238" s="20"/>
    </row>
    <row r="239" spans="1:3" ht="15.75" customHeight="1">
      <c r="A239" s="20"/>
      <c r="B239" s="20"/>
      <c r="C239" s="20"/>
    </row>
    <row r="240" spans="1:3" ht="15.75" customHeight="1">
      <c r="A240" s="20"/>
      <c r="B240" s="20"/>
      <c r="C240" s="20"/>
    </row>
    <row r="241" spans="1:3" ht="15.75" customHeight="1">
      <c r="A241" s="20"/>
      <c r="B241" s="20"/>
      <c r="C241" s="20"/>
    </row>
    <row r="242" spans="1:3" ht="15.75" customHeight="1">
      <c r="A242" s="20"/>
      <c r="B242" s="20"/>
      <c r="C242" s="20"/>
    </row>
    <row r="243" spans="1:3" ht="15.75" customHeight="1">
      <c r="A243" s="20"/>
      <c r="B243" s="20"/>
      <c r="C243" s="20"/>
    </row>
  </sheetData>
  <mergeCells count="18">
    <mergeCell ref="DG43:DI43"/>
    <mergeCell ref="AY43:BD43"/>
    <mergeCell ref="BE43:BJ43"/>
    <mergeCell ref="BK43:BP43"/>
    <mergeCell ref="BQ43:BV43"/>
    <mergeCell ref="BW43:CB43"/>
    <mergeCell ref="CC43:CH43"/>
    <mergeCell ref="CI43:CN43"/>
    <mergeCell ref="AM43:AR43"/>
    <mergeCell ref="AS43:AX43"/>
    <mergeCell ref="CO43:CT43"/>
    <mergeCell ref="CU43:CZ43"/>
    <mergeCell ref="DA43:DF43"/>
    <mergeCell ref="I43:N43"/>
    <mergeCell ref="O43:T43"/>
    <mergeCell ref="U43:Z43"/>
    <mergeCell ref="AA43:AF43"/>
    <mergeCell ref="AG43:AL4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2.5703125" defaultRowHeight="15" customHeight="1"/>
  <cols>
    <col min="1" max="1" width="24.85546875" customWidth="1"/>
    <col min="2" max="2" width="18.7109375" customWidth="1"/>
    <col min="3" max="3" width="17.5703125" customWidth="1"/>
    <col min="4" max="4" width="18.5703125" customWidth="1"/>
    <col min="5" max="5" width="16.7109375" customWidth="1"/>
    <col min="6" max="10" width="9.28515625" customWidth="1"/>
    <col min="11" max="11" width="11.85546875" customWidth="1"/>
    <col min="12" max="12" width="12.140625" customWidth="1"/>
    <col min="13" max="26" width="10.42578125" customWidth="1"/>
  </cols>
  <sheetData>
    <row r="1" spans="1:12">
      <c r="A1" s="26"/>
      <c r="B1" s="27" t="s">
        <v>218</v>
      </c>
      <c r="C1" s="27" t="s">
        <v>219</v>
      </c>
      <c r="D1" s="27" t="s">
        <v>220</v>
      </c>
      <c r="E1" s="4"/>
      <c r="F1" s="4"/>
      <c r="G1" s="4"/>
      <c r="H1" s="4"/>
      <c r="I1" s="4"/>
      <c r="J1" s="4"/>
      <c r="K1" s="4"/>
      <c r="L1" s="4"/>
    </row>
    <row r="2" spans="1:12" ht="15.75">
      <c r="A2" s="28" t="s">
        <v>114</v>
      </c>
      <c r="B2" s="29" t="s">
        <v>221</v>
      </c>
      <c r="C2" s="29" t="s">
        <v>222</v>
      </c>
      <c r="D2" s="29" t="s">
        <v>223</v>
      </c>
      <c r="E2" s="30"/>
      <c r="F2" s="30"/>
      <c r="G2" s="30"/>
      <c r="H2" s="30"/>
      <c r="I2" s="30"/>
      <c r="J2" s="30"/>
      <c r="K2" s="30"/>
    </row>
    <row r="3" spans="1:12" ht="240">
      <c r="A3" s="28" t="s">
        <v>115</v>
      </c>
      <c r="B3" s="30" t="s">
        <v>224</v>
      </c>
      <c r="C3" s="30" t="s">
        <v>225</v>
      </c>
      <c r="D3" s="31" t="s">
        <v>226</v>
      </c>
      <c r="E3" s="30"/>
      <c r="F3" s="30"/>
      <c r="G3" s="30"/>
      <c r="H3" s="30"/>
      <c r="I3" s="30"/>
      <c r="J3" s="30"/>
      <c r="K3" s="30"/>
    </row>
    <row r="4" spans="1:12" ht="256.5">
      <c r="A4" s="28" t="s">
        <v>116</v>
      </c>
      <c r="B4" s="32" t="s">
        <v>227</v>
      </c>
      <c r="C4" s="32" t="s">
        <v>228</v>
      </c>
      <c r="D4" s="31" t="s">
        <v>229</v>
      </c>
    </row>
    <row r="5" spans="1:12" ht="180">
      <c r="A5" s="28" t="s">
        <v>230</v>
      </c>
      <c r="B5" s="30" t="s">
        <v>231</v>
      </c>
      <c r="C5" s="30" t="s">
        <v>232</v>
      </c>
      <c r="D5" s="30" t="s">
        <v>233</v>
      </c>
    </row>
    <row r="6" spans="1:12" ht="199.5">
      <c r="A6" s="28" t="s">
        <v>118</v>
      </c>
      <c r="B6" s="33" t="s">
        <v>234</v>
      </c>
      <c r="C6" s="33" t="s">
        <v>235</v>
      </c>
      <c r="D6" s="33" t="s">
        <v>236</v>
      </c>
    </row>
    <row r="7" spans="1:12" ht="114">
      <c r="A7" s="28" t="s">
        <v>119</v>
      </c>
      <c r="B7" s="33" t="s">
        <v>237</v>
      </c>
      <c r="C7" s="33" t="s">
        <v>238</v>
      </c>
      <c r="D7" s="33" t="s">
        <v>239</v>
      </c>
    </row>
    <row r="8" spans="1:12" ht="141.75">
      <c r="A8" s="28" t="s">
        <v>120</v>
      </c>
      <c r="B8" s="34" t="s">
        <v>240</v>
      </c>
      <c r="C8" s="33" t="s">
        <v>241</v>
      </c>
      <c r="D8" s="34" t="s">
        <v>242</v>
      </c>
      <c r="E8" s="30"/>
      <c r="F8" s="30"/>
      <c r="G8" s="30"/>
    </row>
    <row r="9" spans="1:12" ht="189">
      <c r="A9" s="28" t="s">
        <v>121</v>
      </c>
      <c r="B9" s="35" t="s">
        <v>243</v>
      </c>
      <c r="C9" s="36" t="s">
        <v>244</v>
      </c>
      <c r="D9" s="36" t="s">
        <v>245</v>
      </c>
    </row>
    <row r="10" spans="1:12" ht="128.25">
      <c r="A10" s="28" t="s">
        <v>122</v>
      </c>
      <c r="B10" s="33" t="s">
        <v>246</v>
      </c>
      <c r="C10" s="33" t="s">
        <v>247</v>
      </c>
      <c r="D10" s="33" t="s">
        <v>248</v>
      </c>
    </row>
    <row r="11" spans="1:12">
      <c r="A11" s="28" t="s">
        <v>123</v>
      </c>
      <c r="B11" s="7" t="s">
        <v>249</v>
      </c>
      <c r="C11" s="33"/>
      <c r="D11" s="33"/>
    </row>
    <row r="12" spans="1:12" ht="128.25">
      <c r="A12" s="28" t="s">
        <v>250</v>
      </c>
      <c r="B12" s="33" t="s">
        <v>251</v>
      </c>
      <c r="C12" s="33" t="s">
        <v>252</v>
      </c>
      <c r="D12" s="33" t="s">
        <v>253</v>
      </c>
    </row>
    <row r="13" spans="1:12" ht="85.5">
      <c r="A13" s="28" t="s">
        <v>125</v>
      </c>
      <c r="B13" s="33" t="s">
        <v>254</v>
      </c>
      <c r="C13" s="33" t="s">
        <v>255</v>
      </c>
      <c r="D13" s="33" t="s">
        <v>256</v>
      </c>
    </row>
    <row r="14" spans="1:12">
      <c r="A14" s="28" t="s">
        <v>126</v>
      </c>
      <c r="B14" s="33"/>
      <c r="C14" s="33"/>
      <c r="D14" s="33"/>
    </row>
    <row r="15" spans="1:12">
      <c r="A15" s="28" t="s">
        <v>127</v>
      </c>
      <c r="B15" s="33"/>
      <c r="C15" s="33"/>
      <c r="D15" s="37"/>
      <c r="G15" s="38"/>
    </row>
    <row r="16" spans="1:12">
      <c r="A16" s="28" t="s">
        <v>129</v>
      </c>
      <c r="B16" s="39"/>
      <c r="C16" s="39"/>
      <c r="D16" s="39"/>
    </row>
    <row r="17" spans="1:4" ht="165.75">
      <c r="A17" s="28" t="s">
        <v>128</v>
      </c>
      <c r="B17" s="40" t="s">
        <v>257</v>
      </c>
      <c r="C17" s="41" t="s">
        <v>258</v>
      </c>
      <c r="D17" s="31" t="s">
        <v>259</v>
      </c>
    </row>
    <row r="18" spans="1:4" ht="199.5">
      <c r="A18" s="28" t="s">
        <v>130</v>
      </c>
      <c r="B18" s="40" t="s">
        <v>260</v>
      </c>
      <c r="C18" s="39" t="s">
        <v>261</v>
      </c>
      <c r="D18" s="39" t="s">
        <v>262</v>
      </c>
    </row>
    <row r="19" spans="1:4" ht="99.75">
      <c r="A19" s="28" t="s">
        <v>131</v>
      </c>
      <c r="B19" s="42" t="s">
        <v>263</v>
      </c>
      <c r="C19" s="43"/>
      <c r="D19" s="44"/>
    </row>
    <row r="20" spans="1:4">
      <c r="A20" s="38"/>
      <c r="B20" s="30"/>
      <c r="C20" s="30"/>
      <c r="D20" s="30"/>
    </row>
    <row r="21" spans="1:4" ht="15.75" customHeight="1">
      <c r="A21" s="38"/>
      <c r="B21" s="30"/>
      <c r="D21" s="30"/>
    </row>
    <row r="22" spans="1:4" ht="15.75" customHeight="1">
      <c r="A22" s="38"/>
      <c r="B22" s="30"/>
      <c r="C22" s="30"/>
      <c r="D22" s="30"/>
    </row>
    <row r="23" spans="1:4" ht="15.75" customHeight="1">
      <c r="A23" s="38"/>
      <c r="B23" s="30"/>
      <c r="C23" s="30"/>
      <c r="D23" s="30"/>
    </row>
    <row r="24" spans="1:4" ht="15.75" customHeight="1">
      <c r="A24" s="38"/>
      <c r="B24" s="30"/>
      <c r="C24" s="30"/>
      <c r="D24" s="30"/>
    </row>
    <row r="25" spans="1:4" ht="15.75" customHeight="1">
      <c r="A25" s="38"/>
      <c r="B25" s="30"/>
      <c r="C25" s="30"/>
      <c r="D25" s="30"/>
    </row>
    <row r="26" spans="1:4" ht="15.75" customHeight="1">
      <c r="A26" s="38"/>
      <c r="B26" s="30"/>
      <c r="C26" s="30"/>
      <c r="D26" s="30"/>
    </row>
    <row r="27" spans="1:4" ht="15.75" customHeight="1">
      <c r="A27" s="38"/>
      <c r="B27" s="30"/>
      <c r="C27" s="30"/>
      <c r="D27" s="30"/>
    </row>
    <row r="28" spans="1:4" ht="15.75" customHeight="1">
      <c r="A28" s="38"/>
      <c r="B28" s="30"/>
      <c r="C28" s="30"/>
      <c r="D28" s="30"/>
    </row>
    <row r="29" spans="1:4" ht="15.75" customHeight="1">
      <c r="A29" s="38"/>
      <c r="B29" s="30"/>
      <c r="C29" s="30"/>
      <c r="D29" s="30"/>
    </row>
    <row r="30" spans="1:4" ht="15.75" customHeight="1">
      <c r="A30" s="38"/>
      <c r="B30" s="30"/>
      <c r="C30" s="30"/>
      <c r="D30" s="30"/>
    </row>
    <row r="31" spans="1:4" ht="15.75" customHeight="1">
      <c r="A31" s="38"/>
      <c r="B31" s="30"/>
      <c r="C31" s="30"/>
      <c r="D31" s="30"/>
    </row>
    <row r="32" spans="1:4" ht="15.75" customHeight="1">
      <c r="A32" s="38"/>
      <c r="B32" s="30"/>
      <c r="C32" s="30"/>
      <c r="D32" s="30"/>
    </row>
    <row r="33" spans="1:4" ht="15.75" customHeight="1">
      <c r="A33" s="38"/>
      <c r="B33" s="30"/>
      <c r="C33" s="30"/>
      <c r="D33" s="30"/>
    </row>
    <row r="34" spans="1:4" ht="15.75" customHeight="1">
      <c r="A34" s="38"/>
      <c r="B34" s="30"/>
      <c r="C34" s="30"/>
      <c r="D34" s="30"/>
    </row>
    <row r="35" spans="1:4" ht="15.75" customHeight="1">
      <c r="A35" s="38"/>
      <c r="B35" s="30"/>
      <c r="C35" s="30"/>
      <c r="D35" s="30"/>
    </row>
    <row r="36" spans="1:4" ht="15.75" customHeight="1">
      <c r="A36" s="38"/>
      <c r="B36" s="30"/>
      <c r="C36" s="30"/>
      <c r="D36" s="30"/>
    </row>
    <row r="37" spans="1:4" ht="15.75" customHeight="1">
      <c r="A37" s="38"/>
      <c r="B37" s="30"/>
      <c r="C37" s="30"/>
      <c r="D37" s="30"/>
    </row>
    <row r="38" spans="1:4" ht="15.75" customHeight="1">
      <c r="A38" s="38"/>
      <c r="B38" s="30"/>
      <c r="C38" s="30"/>
      <c r="D38" s="30"/>
    </row>
    <row r="39" spans="1:4" ht="15.75" customHeight="1">
      <c r="A39" s="38"/>
      <c r="B39" s="30"/>
      <c r="C39" s="30"/>
      <c r="D39" s="30"/>
    </row>
    <row r="40" spans="1:4" ht="15.75" customHeight="1">
      <c r="A40" s="38"/>
      <c r="B40" s="30"/>
      <c r="C40" s="30"/>
      <c r="D40" s="30"/>
    </row>
    <row r="41" spans="1:4" ht="15.75" customHeight="1">
      <c r="A41" s="38"/>
      <c r="B41" s="30"/>
      <c r="C41" s="30"/>
      <c r="D41" s="30"/>
    </row>
    <row r="42" spans="1:4" ht="15.75" customHeight="1">
      <c r="A42" s="38"/>
      <c r="B42" s="30"/>
      <c r="C42" s="30"/>
      <c r="D42" s="30"/>
    </row>
    <row r="43" spans="1:4" ht="15.75" customHeight="1">
      <c r="A43" s="38"/>
      <c r="B43" s="30"/>
      <c r="C43" s="30"/>
      <c r="D43" s="30"/>
    </row>
    <row r="44" spans="1:4" ht="15.75" customHeight="1">
      <c r="A44" s="38"/>
      <c r="B44" s="30"/>
      <c r="C44" s="30"/>
      <c r="D44" s="30"/>
    </row>
    <row r="45" spans="1:4" ht="15.75" customHeight="1">
      <c r="A45" s="38"/>
      <c r="B45" s="30"/>
      <c r="C45" s="30"/>
      <c r="D45" s="30"/>
    </row>
    <row r="46" spans="1:4" ht="15.75" customHeight="1">
      <c r="A46" s="38"/>
      <c r="B46" s="30"/>
      <c r="C46" s="30"/>
      <c r="D46" s="30"/>
    </row>
    <row r="47" spans="1:4" ht="15.75" customHeight="1">
      <c r="A47" s="38"/>
      <c r="B47" s="30"/>
      <c r="C47" s="30"/>
      <c r="D47" s="30"/>
    </row>
    <row r="48" spans="1:4" ht="15.75" customHeight="1">
      <c r="A48" s="38"/>
      <c r="B48" s="30"/>
      <c r="C48" s="30"/>
      <c r="D48" s="30"/>
    </row>
    <row r="49" spans="1:4" ht="15.75" customHeight="1">
      <c r="A49" s="38"/>
      <c r="B49" s="30"/>
      <c r="C49" s="30"/>
      <c r="D49" s="30"/>
    </row>
    <row r="50" spans="1:4" ht="15.75" customHeight="1">
      <c r="A50" s="38"/>
      <c r="B50" s="30"/>
      <c r="C50" s="30"/>
      <c r="D50" s="30"/>
    </row>
    <row r="51" spans="1:4" ht="15.75" customHeight="1">
      <c r="A51" s="38"/>
      <c r="B51" s="30"/>
      <c r="C51" s="30"/>
      <c r="D51" s="30"/>
    </row>
    <row r="52" spans="1:4" ht="15.75" customHeight="1">
      <c r="A52" s="38"/>
      <c r="B52" s="30"/>
      <c r="C52" s="30"/>
      <c r="D52" s="30"/>
    </row>
    <row r="53" spans="1:4" ht="15.75" customHeight="1">
      <c r="A53" s="38"/>
      <c r="B53" s="30"/>
      <c r="C53" s="30"/>
      <c r="D53" s="30"/>
    </row>
    <row r="54" spans="1:4" ht="15.75" customHeight="1">
      <c r="A54" s="38"/>
      <c r="B54" s="30"/>
      <c r="C54" s="30"/>
      <c r="D54" s="30"/>
    </row>
    <row r="55" spans="1:4" ht="15.75" customHeight="1">
      <c r="A55" s="38"/>
      <c r="B55" s="30"/>
      <c r="C55" s="30"/>
      <c r="D55" s="30"/>
    </row>
    <row r="56" spans="1:4" ht="15.75" customHeight="1">
      <c r="A56" s="38"/>
      <c r="B56" s="30"/>
      <c r="C56" s="30"/>
      <c r="D56" s="30"/>
    </row>
    <row r="57" spans="1:4" ht="15.75" customHeight="1">
      <c r="A57" s="38"/>
      <c r="B57" s="30"/>
      <c r="C57" s="30"/>
      <c r="D57" s="30"/>
    </row>
    <row r="58" spans="1:4" ht="15.75" customHeight="1">
      <c r="A58" s="38"/>
      <c r="B58" s="30"/>
      <c r="C58" s="30"/>
      <c r="D58" s="30"/>
    </row>
    <row r="59" spans="1:4" ht="15.75" customHeight="1">
      <c r="A59" s="38"/>
      <c r="B59" s="30"/>
      <c r="C59" s="30"/>
      <c r="D59" s="30"/>
    </row>
    <row r="60" spans="1:4" ht="15.75" customHeight="1">
      <c r="A60" s="38"/>
      <c r="B60" s="30"/>
      <c r="C60" s="30"/>
      <c r="D60" s="30"/>
    </row>
    <row r="61" spans="1:4" ht="15.75" customHeight="1">
      <c r="A61" s="38"/>
      <c r="B61" s="30"/>
      <c r="C61" s="30"/>
      <c r="D61" s="30"/>
    </row>
    <row r="62" spans="1:4" ht="15.75" customHeight="1">
      <c r="A62" s="38"/>
      <c r="B62" s="30"/>
      <c r="C62" s="30"/>
      <c r="D62" s="30"/>
    </row>
    <row r="63" spans="1:4" ht="15.75" customHeight="1">
      <c r="A63" s="38"/>
      <c r="B63" s="30"/>
      <c r="C63" s="30"/>
      <c r="D63" s="30"/>
    </row>
    <row r="64" spans="1:4" ht="15.75" customHeight="1">
      <c r="A64" s="38"/>
      <c r="B64" s="30"/>
      <c r="C64" s="30"/>
      <c r="D64" s="30"/>
    </row>
    <row r="65" spans="1:4" ht="15.75" customHeight="1">
      <c r="A65" s="38"/>
      <c r="B65" s="30"/>
      <c r="C65" s="30"/>
      <c r="D65" s="30"/>
    </row>
    <row r="66" spans="1:4" ht="15.75" customHeight="1">
      <c r="A66" s="38"/>
      <c r="B66" s="30"/>
      <c r="C66" s="30"/>
      <c r="D66" s="30"/>
    </row>
    <row r="67" spans="1:4" ht="15.75" customHeight="1">
      <c r="A67" s="38"/>
      <c r="B67" s="30"/>
      <c r="C67" s="30"/>
      <c r="D67" s="30"/>
    </row>
    <row r="68" spans="1:4" ht="15.75" customHeight="1">
      <c r="A68" s="38"/>
      <c r="B68" s="30"/>
      <c r="C68" s="30"/>
      <c r="D68" s="30"/>
    </row>
    <row r="69" spans="1:4" ht="15.75" customHeight="1">
      <c r="A69" s="38"/>
      <c r="B69" s="30"/>
      <c r="C69" s="30"/>
      <c r="D69" s="30"/>
    </row>
    <row r="70" spans="1:4" ht="15.75" customHeight="1">
      <c r="A70" s="38"/>
      <c r="B70" s="30"/>
      <c r="C70" s="30"/>
      <c r="D70" s="30"/>
    </row>
    <row r="71" spans="1:4" ht="15.75" customHeight="1">
      <c r="A71" s="38"/>
      <c r="B71" s="30"/>
      <c r="C71" s="30"/>
      <c r="D71" s="30"/>
    </row>
    <row r="72" spans="1:4" ht="15.75" customHeight="1">
      <c r="A72" s="38"/>
      <c r="B72" s="30"/>
      <c r="C72" s="30"/>
      <c r="D72" s="30"/>
    </row>
    <row r="73" spans="1:4" ht="15.75" customHeight="1">
      <c r="A73" s="38"/>
      <c r="B73" s="30"/>
      <c r="C73" s="30"/>
      <c r="D73" s="30"/>
    </row>
    <row r="74" spans="1:4" ht="15.75" customHeight="1">
      <c r="A74" s="38"/>
      <c r="B74" s="30"/>
      <c r="C74" s="30"/>
      <c r="D74" s="30"/>
    </row>
    <row r="75" spans="1:4" ht="15.75" customHeight="1">
      <c r="A75" s="38"/>
      <c r="B75" s="30"/>
      <c r="C75" s="30"/>
      <c r="D75" s="30"/>
    </row>
    <row r="76" spans="1:4" ht="15.75" customHeight="1">
      <c r="A76" s="38"/>
      <c r="B76" s="30"/>
      <c r="C76" s="30"/>
      <c r="D76" s="30"/>
    </row>
    <row r="77" spans="1:4" ht="15.75" customHeight="1">
      <c r="A77" s="38"/>
      <c r="B77" s="30"/>
      <c r="C77" s="30"/>
      <c r="D77" s="30"/>
    </row>
    <row r="78" spans="1:4" ht="15.75" customHeight="1">
      <c r="A78" s="38"/>
      <c r="B78" s="30"/>
      <c r="C78" s="30"/>
      <c r="D78" s="30"/>
    </row>
    <row r="79" spans="1:4" ht="15.75" customHeight="1">
      <c r="A79" s="38"/>
      <c r="B79" s="30"/>
      <c r="C79" s="30"/>
      <c r="D79" s="30"/>
    </row>
    <row r="80" spans="1:4" ht="15.75" customHeight="1">
      <c r="A80" s="38"/>
      <c r="B80" s="30"/>
      <c r="C80" s="30"/>
      <c r="D80" s="30"/>
    </row>
    <row r="81" spans="1:4" ht="15.75" customHeight="1">
      <c r="A81" s="38"/>
      <c r="B81" s="30"/>
      <c r="C81" s="30"/>
      <c r="D81" s="30"/>
    </row>
    <row r="82" spans="1:4" ht="15.75" customHeight="1">
      <c r="A82" s="38"/>
      <c r="B82" s="30"/>
      <c r="C82" s="30"/>
      <c r="D82" s="30"/>
    </row>
    <row r="83" spans="1:4" ht="15.75" customHeight="1">
      <c r="A83" s="38"/>
      <c r="B83" s="30"/>
      <c r="C83" s="30"/>
      <c r="D83" s="30"/>
    </row>
    <row r="84" spans="1:4" ht="15.75" customHeight="1">
      <c r="A84" s="38"/>
      <c r="B84" s="30"/>
      <c r="C84" s="30"/>
      <c r="D84" s="30"/>
    </row>
    <row r="85" spans="1:4" ht="15.75" customHeight="1">
      <c r="A85" s="38"/>
      <c r="B85" s="30"/>
      <c r="C85" s="30"/>
      <c r="D85" s="30"/>
    </row>
    <row r="86" spans="1:4" ht="15.75" customHeight="1">
      <c r="A86" s="38"/>
      <c r="B86" s="30"/>
      <c r="C86" s="30"/>
      <c r="D86" s="30"/>
    </row>
    <row r="87" spans="1:4" ht="15.75" customHeight="1">
      <c r="A87" s="38"/>
      <c r="B87" s="30"/>
      <c r="C87" s="30"/>
      <c r="D87" s="30"/>
    </row>
    <row r="88" spans="1:4" ht="15.75" customHeight="1">
      <c r="A88" s="38"/>
      <c r="B88" s="30"/>
      <c r="C88" s="30"/>
      <c r="D88" s="30"/>
    </row>
    <row r="89" spans="1:4" ht="15.75" customHeight="1">
      <c r="A89" s="38"/>
      <c r="B89" s="30"/>
      <c r="C89" s="30"/>
      <c r="D89" s="30"/>
    </row>
    <row r="90" spans="1:4" ht="15.75" customHeight="1">
      <c r="A90" s="38"/>
      <c r="B90" s="30"/>
      <c r="C90" s="30"/>
      <c r="D90" s="30"/>
    </row>
    <row r="91" spans="1:4" ht="15.75" customHeight="1">
      <c r="A91" s="38"/>
      <c r="B91" s="30"/>
      <c r="C91" s="30"/>
      <c r="D91" s="30"/>
    </row>
    <row r="92" spans="1:4" ht="15.75" customHeight="1">
      <c r="A92" s="38"/>
      <c r="B92" s="30"/>
      <c r="C92" s="30"/>
      <c r="D92" s="30"/>
    </row>
    <row r="93" spans="1:4" ht="15.75" customHeight="1">
      <c r="A93" s="38"/>
      <c r="B93" s="30"/>
      <c r="C93" s="30"/>
      <c r="D93" s="30"/>
    </row>
    <row r="94" spans="1:4" ht="15.75" customHeight="1">
      <c r="A94" s="38"/>
      <c r="B94" s="30"/>
      <c r="C94" s="30"/>
      <c r="D94" s="30"/>
    </row>
    <row r="95" spans="1:4" ht="15.75" customHeight="1">
      <c r="A95" s="38"/>
      <c r="B95" s="30"/>
      <c r="C95" s="30"/>
      <c r="D95" s="30"/>
    </row>
    <row r="96" spans="1:4" ht="15.75" customHeight="1">
      <c r="A96" s="38"/>
      <c r="B96" s="30"/>
      <c r="C96" s="30"/>
      <c r="D96" s="30"/>
    </row>
    <row r="97" spans="1:4" ht="15.75" customHeight="1">
      <c r="A97" s="38"/>
      <c r="B97" s="30"/>
      <c r="C97" s="30"/>
      <c r="D97" s="30"/>
    </row>
    <row r="98" spans="1:4" ht="15.75" customHeight="1">
      <c r="A98" s="38"/>
      <c r="B98" s="30"/>
      <c r="C98" s="30"/>
      <c r="D98" s="30"/>
    </row>
    <row r="99" spans="1:4" ht="15.75" customHeight="1">
      <c r="A99" s="38"/>
      <c r="B99" s="30"/>
      <c r="C99" s="30"/>
      <c r="D99" s="30"/>
    </row>
    <row r="100" spans="1:4" ht="15.75" customHeight="1">
      <c r="A100" s="38"/>
      <c r="B100" s="30"/>
      <c r="C100" s="30"/>
      <c r="D100" s="30"/>
    </row>
    <row r="101" spans="1:4" ht="15.75" customHeight="1">
      <c r="A101" s="38"/>
      <c r="B101" s="30"/>
      <c r="C101" s="30"/>
      <c r="D101" s="30"/>
    </row>
    <row r="102" spans="1:4" ht="15.75" customHeight="1">
      <c r="A102" s="38"/>
      <c r="B102" s="30"/>
      <c r="C102" s="30"/>
      <c r="D102" s="30"/>
    </row>
    <row r="103" spans="1:4" ht="15.75" customHeight="1">
      <c r="A103" s="38"/>
      <c r="B103" s="30"/>
      <c r="C103" s="30"/>
      <c r="D103" s="30"/>
    </row>
    <row r="104" spans="1:4" ht="15.75" customHeight="1">
      <c r="A104" s="38"/>
      <c r="B104" s="30"/>
      <c r="C104" s="30"/>
      <c r="D104" s="30"/>
    </row>
    <row r="105" spans="1:4" ht="15.75" customHeight="1">
      <c r="A105" s="38"/>
      <c r="B105" s="30"/>
      <c r="C105" s="30"/>
      <c r="D105" s="30"/>
    </row>
    <row r="106" spans="1:4" ht="15.75" customHeight="1">
      <c r="A106" s="38"/>
      <c r="B106" s="30"/>
      <c r="C106" s="30"/>
      <c r="D106" s="30"/>
    </row>
    <row r="107" spans="1:4" ht="15.75" customHeight="1">
      <c r="A107" s="38"/>
      <c r="B107" s="30"/>
      <c r="C107" s="30"/>
      <c r="D107" s="30"/>
    </row>
    <row r="108" spans="1:4" ht="15.75" customHeight="1">
      <c r="A108" s="38"/>
      <c r="B108" s="30"/>
      <c r="C108" s="30"/>
      <c r="D108" s="30"/>
    </row>
    <row r="109" spans="1:4" ht="15.75" customHeight="1">
      <c r="A109" s="38"/>
      <c r="B109" s="30"/>
      <c r="C109" s="30"/>
      <c r="D109" s="30"/>
    </row>
    <row r="110" spans="1:4" ht="15.75" customHeight="1">
      <c r="A110" s="38"/>
      <c r="B110" s="30"/>
      <c r="C110" s="30"/>
      <c r="D110" s="30"/>
    </row>
    <row r="111" spans="1:4" ht="15.75" customHeight="1">
      <c r="A111" s="38"/>
      <c r="B111" s="30"/>
      <c r="C111" s="30"/>
      <c r="D111" s="30"/>
    </row>
    <row r="112" spans="1:4" ht="15.75" customHeight="1">
      <c r="A112" s="38"/>
      <c r="B112" s="30"/>
      <c r="C112" s="30"/>
      <c r="D112" s="30"/>
    </row>
    <row r="113" spans="1:4" ht="15.75" customHeight="1">
      <c r="A113" s="38"/>
      <c r="B113" s="30"/>
      <c r="C113" s="30"/>
      <c r="D113" s="30"/>
    </row>
    <row r="114" spans="1:4" ht="15.75" customHeight="1">
      <c r="A114" s="38"/>
      <c r="B114" s="30"/>
      <c r="C114" s="30"/>
      <c r="D114" s="30"/>
    </row>
    <row r="115" spans="1:4" ht="15.75" customHeight="1">
      <c r="A115" s="38"/>
      <c r="B115" s="30"/>
      <c r="C115" s="30"/>
      <c r="D115" s="30"/>
    </row>
    <row r="116" spans="1:4" ht="15.75" customHeight="1">
      <c r="A116" s="38"/>
      <c r="B116" s="30"/>
      <c r="C116" s="30"/>
      <c r="D116" s="30"/>
    </row>
    <row r="117" spans="1:4" ht="15.75" customHeight="1">
      <c r="A117" s="38"/>
      <c r="B117" s="30"/>
      <c r="C117" s="30"/>
      <c r="D117" s="30"/>
    </row>
    <row r="118" spans="1:4" ht="15.75" customHeight="1">
      <c r="A118" s="38"/>
      <c r="B118" s="30"/>
      <c r="C118" s="30"/>
      <c r="D118" s="30"/>
    </row>
    <row r="119" spans="1:4" ht="15.75" customHeight="1">
      <c r="A119" s="38"/>
      <c r="B119" s="30"/>
      <c r="C119" s="30"/>
      <c r="D119" s="30"/>
    </row>
    <row r="120" spans="1:4" ht="15.75" customHeight="1">
      <c r="A120" s="38"/>
      <c r="B120" s="30"/>
      <c r="C120" s="30"/>
      <c r="D120" s="30"/>
    </row>
    <row r="121" spans="1:4" ht="15.75" customHeight="1">
      <c r="A121" s="38"/>
      <c r="B121" s="30"/>
      <c r="C121" s="30"/>
      <c r="D121" s="30"/>
    </row>
    <row r="122" spans="1:4" ht="15.75" customHeight="1">
      <c r="A122" s="38"/>
      <c r="B122" s="30"/>
      <c r="C122" s="30"/>
      <c r="D122" s="30"/>
    </row>
    <row r="123" spans="1:4" ht="15.75" customHeight="1">
      <c r="A123" s="38"/>
      <c r="B123" s="30"/>
      <c r="C123" s="30"/>
      <c r="D123" s="30"/>
    </row>
    <row r="124" spans="1:4" ht="15.75" customHeight="1">
      <c r="A124" s="38"/>
      <c r="B124" s="30"/>
      <c r="C124" s="30"/>
      <c r="D124" s="30"/>
    </row>
    <row r="125" spans="1:4" ht="15.75" customHeight="1">
      <c r="A125" s="38"/>
      <c r="B125" s="30"/>
      <c r="C125" s="30"/>
      <c r="D125" s="30"/>
    </row>
    <row r="126" spans="1:4" ht="15.75" customHeight="1">
      <c r="A126" s="38"/>
      <c r="B126" s="30"/>
      <c r="C126" s="30"/>
      <c r="D126" s="30"/>
    </row>
    <row r="127" spans="1:4" ht="15.75" customHeight="1">
      <c r="A127" s="38"/>
      <c r="B127" s="30"/>
      <c r="C127" s="30"/>
      <c r="D127" s="30"/>
    </row>
    <row r="128" spans="1:4" ht="15.75" customHeight="1">
      <c r="A128" s="38"/>
      <c r="B128" s="30"/>
      <c r="C128" s="30"/>
      <c r="D128" s="30"/>
    </row>
    <row r="129" spans="1:4" ht="15.75" customHeight="1">
      <c r="A129" s="38"/>
      <c r="B129" s="30"/>
      <c r="C129" s="30"/>
      <c r="D129" s="30"/>
    </row>
    <row r="130" spans="1:4" ht="15.75" customHeight="1">
      <c r="A130" s="38"/>
      <c r="B130" s="30"/>
      <c r="C130" s="30"/>
      <c r="D130" s="30"/>
    </row>
    <row r="131" spans="1:4" ht="15.75" customHeight="1">
      <c r="A131" s="38"/>
      <c r="B131" s="30"/>
      <c r="C131" s="30"/>
      <c r="D131" s="30"/>
    </row>
    <row r="132" spans="1:4" ht="15.75" customHeight="1">
      <c r="A132" s="38"/>
      <c r="B132" s="30"/>
      <c r="C132" s="30"/>
      <c r="D132" s="30"/>
    </row>
    <row r="133" spans="1:4" ht="15.75" customHeight="1">
      <c r="A133" s="38"/>
      <c r="B133" s="30"/>
      <c r="C133" s="30"/>
      <c r="D133" s="30"/>
    </row>
    <row r="134" spans="1:4" ht="15.75" customHeight="1">
      <c r="A134" s="38"/>
      <c r="B134" s="30"/>
      <c r="C134" s="30"/>
      <c r="D134" s="30"/>
    </row>
    <row r="135" spans="1:4" ht="15.75" customHeight="1">
      <c r="A135" s="38"/>
      <c r="B135" s="30"/>
      <c r="C135" s="30"/>
      <c r="D135" s="30"/>
    </row>
    <row r="136" spans="1:4" ht="15.75" customHeight="1">
      <c r="A136" s="38"/>
      <c r="B136" s="30"/>
      <c r="C136" s="30"/>
      <c r="D136" s="30"/>
    </row>
    <row r="137" spans="1:4" ht="15.75" customHeight="1">
      <c r="A137" s="38"/>
      <c r="B137" s="30"/>
      <c r="C137" s="30"/>
      <c r="D137" s="30"/>
    </row>
    <row r="138" spans="1:4" ht="15.75" customHeight="1">
      <c r="A138" s="38"/>
      <c r="B138" s="30"/>
      <c r="C138" s="30"/>
      <c r="D138" s="30"/>
    </row>
    <row r="139" spans="1:4" ht="15.75" customHeight="1">
      <c r="A139" s="38"/>
      <c r="B139" s="30"/>
      <c r="C139" s="30"/>
      <c r="D139" s="30"/>
    </row>
    <row r="140" spans="1:4" ht="15.75" customHeight="1">
      <c r="A140" s="38"/>
      <c r="B140" s="30"/>
      <c r="C140" s="30"/>
      <c r="D140" s="30"/>
    </row>
    <row r="141" spans="1:4" ht="15.75" customHeight="1">
      <c r="A141" s="38"/>
      <c r="B141" s="30"/>
      <c r="C141" s="30"/>
      <c r="D141" s="30"/>
    </row>
    <row r="142" spans="1:4" ht="15.75" customHeight="1">
      <c r="A142" s="38"/>
      <c r="B142" s="30"/>
      <c r="C142" s="30"/>
      <c r="D142" s="30"/>
    </row>
    <row r="143" spans="1:4" ht="15.75" customHeight="1">
      <c r="A143" s="38"/>
      <c r="B143" s="30"/>
      <c r="C143" s="30"/>
      <c r="D143" s="30"/>
    </row>
    <row r="144" spans="1:4" ht="15.75" customHeight="1">
      <c r="A144" s="38"/>
      <c r="B144" s="30"/>
      <c r="C144" s="30"/>
      <c r="D144" s="30"/>
    </row>
    <row r="145" spans="1:4" ht="15.75" customHeight="1">
      <c r="A145" s="38"/>
      <c r="B145" s="30"/>
      <c r="C145" s="30"/>
      <c r="D145" s="30"/>
    </row>
    <row r="146" spans="1:4" ht="15.75" customHeight="1">
      <c r="A146" s="38"/>
      <c r="B146" s="30"/>
      <c r="C146" s="30"/>
      <c r="D146" s="30"/>
    </row>
    <row r="147" spans="1:4" ht="15.75" customHeight="1">
      <c r="A147" s="38"/>
      <c r="B147" s="30"/>
      <c r="C147" s="30"/>
      <c r="D147" s="30"/>
    </row>
    <row r="148" spans="1:4" ht="15.75" customHeight="1">
      <c r="A148" s="38"/>
      <c r="B148" s="30"/>
      <c r="C148" s="30"/>
      <c r="D148" s="30"/>
    </row>
    <row r="149" spans="1:4" ht="15.75" customHeight="1">
      <c r="A149" s="38"/>
      <c r="B149" s="30"/>
      <c r="C149" s="30"/>
      <c r="D149" s="30"/>
    </row>
    <row r="150" spans="1:4" ht="15.75" customHeight="1">
      <c r="A150" s="38"/>
      <c r="B150" s="30"/>
      <c r="C150" s="30"/>
      <c r="D150" s="30"/>
    </row>
    <row r="151" spans="1:4" ht="15.75" customHeight="1">
      <c r="A151" s="38"/>
      <c r="B151" s="30"/>
      <c r="C151" s="30"/>
      <c r="D151" s="30"/>
    </row>
    <row r="152" spans="1:4" ht="15.75" customHeight="1">
      <c r="A152" s="38"/>
      <c r="B152" s="30"/>
      <c r="C152" s="30"/>
      <c r="D152" s="30"/>
    </row>
    <row r="153" spans="1:4" ht="15.75" customHeight="1">
      <c r="A153" s="38"/>
      <c r="B153" s="30"/>
      <c r="C153" s="30"/>
      <c r="D153" s="30"/>
    </row>
    <row r="154" spans="1:4" ht="15.75" customHeight="1">
      <c r="A154" s="38"/>
      <c r="B154" s="30"/>
      <c r="C154" s="30"/>
      <c r="D154" s="30"/>
    </row>
    <row r="155" spans="1:4" ht="15.75" customHeight="1">
      <c r="A155" s="38"/>
      <c r="B155" s="30"/>
      <c r="C155" s="30"/>
      <c r="D155" s="30"/>
    </row>
    <row r="156" spans="1:4" ht="15.75" customHeight="1">
      <c r="A156" s="38"/>
      <c r="B156" s="30"/>
      <c r="C156" s="30"/>
      <c r="D156" s="30"/>
    </row>
    <row r="157" spans="1:4" ht="15.75" customHeight="1">
      <c r="A157" s="38"/>
      <c r="B157" s="30"/>
      <c r="C157" s="30"/>
      <c r="D157" s="30"/>
    </row>
    <row r="158" spans="1:4" ht="15.75" customHeight="1">
      <c r="A158" s="38"/>
      <c r="B158" s="30"/>
      <c r="C158" s="30"/>
      <c r="D158" s="30"/>
    </row>
    <row r="159" spans="1:4" ht="15.75" customHeight="1">
      <c r="A159" s="38"/>
      <c r="B159" s="30"/>
      <c r="C159" s="30"/>
      <c r="D159" s="30"/>
    </row>
    <row r="160" spans="1:4" ht="15.75" customHeight="1">
      <c r="A160" s="38"/>
      <c r="B160" s="30"/>
      <c r="C160" s="30"/>
      <c r="D160" s="30"/>
    </row>
    <row r="161" spans="1:4" ht="15.75" customHeight="1">
      <c r="A161" s="38"/>
      <c r="B161" s="30"/>
      <c r="C161" s="30"/>
      <c r="D161" s="30"/>
    </row>
    <row r="162" spans="1:4" ht="15.75" customHeight="1">
      <c r="A162" s="38"/>
      <c r="B162" s="30"/>
      <c r="C162" s="30"/>
      <c r="D162" s="30"/>
    </row>
    <row r="163" spans="1:4" ht="15.75" customHeight="1">
      <c r="A163" s="38"/>
      <c r="B163" s="30"/>
      <c r="C163" s="30"/>
      <c r="D163" s="30"/>
    </row>
    <row r="164" spans="1:4" ht="15.75" customHeight="1">
      <c r="A164" s="38"/>
      <c r="B164" s="30"/>
      <c r="C164" s="30"/>
      <c r="D164" s="30"/>
    </row>
    <row r="165" spans="1:4" ht="15.75" customHeight="1">
      <c r="A165" s="38"/>
      <c r="B165" s="30"/>
      <c r="C165" s="30"/>
      <c r="D165" s="30"/>
    </row>
    <row r="166" spans="1:4" ht="15.75" customHeight="1">
      <c r="A166" s="38"/>
      <c r="B166" s="30"/>
      <c r="C166" s="30"/>
      <c r="D166" s="30"/>
    </row>
    <row r="167" spans="1:4" ht="15.75" customHeight="1">
      <c r="A167" s="38"/>
      <c r="B167" s="30"/>
      <c r="C167" s="30"/>
      <c r="D167" s="30"/>
    </row>
    <row r="168" spans="1:4" ht="15.75" customHeight="1">
      <c r="A168" s="38"/>
      <c r="B168" s="30"/>
      <c r="C168" s="30"/>
      <c r="D168" s="30"/>
    </row>
    <row r="169" spans="1:4" ht="15.75" customHeight="1">
      <c r="A169" s="38"/>
      <c r="B169" s="30"/>
      <c r="C169" s="30"/>
      <c r="D169" s="30"/>
    </row>
    <row r="170" spans="1:4" ht="15.75" customHeight="1">
      <c r="A170" s="38"/>
      <c r="B170" s="30"/>
      <c r="C170" s="30"/>
      <c r="D170" s="30"/>
    </row>
    <row r="171" spans="1:4" ht="15.75" customHeight="1">
      <c r="A171" s="38"/>
      <c r="B171" s="30"/>
      <c r="C171" s="30"/>
      <c r="D171" s="30"/>
    </row>
    <row r="172" spans="1:4" ht="15.75" customHeight="1">
      <c r="A172" s="38"/>
      <c r="B172" s="30"/>
      <c r="C172" s="30"/>
      <c r="D172" s="30"/>
    </row>
    <row r="173" spans="1:4" ht="15.75" customHeight="1">
      <c r="A173" s="38"/>
      <c r="B173" s="30"/>
      <c r="C173" s="30"/>
      <c r="D173" s="30"/>
    </row>
    <row r="174" spans="1:4" ht="15.75" customHeight="1">
      <c r="A174" s="38"/>
      <c r="B174" s="30"/>
      <c r="C174" s="30"/>
      <c r="D174" s="30"/>
    </row>
    <row r="175" spans="1:4" ht="15.75" customHeight="1">
      <c r="A175" s="38"/>
      <c r="B175" s="30"/>
      <c r="C175" s="30"/>
      <c r="D175" s="30"/>
    </row>
    <row r="176" spans="1:4" ht="15.75" customHeight="1">
      <c r="A176" s="38"/>
      <c r="B176" s="30"/>
      <c r="C176" s="30"/>
      <c r="D176" s="30"/>
    </row>
    <row r="177" spans="1:4" ht="15.75" customHeight="1">
      <c r="A177" s="38"/>
      <c r="B177" s="30"/>
      <c r="C177" s="30"/>
      <c r="D177" s="30"/>
    </row>
    <row r="178" spans="1:4" ht="15.75" customHeight="1">
      <c r="A178" s="38"/>
      <c r="B178" s="30"/>
      <c r="C178" s="30"/>
      <c r="D178" s="30"/>
    </row>
    <row r="179" spans="1:4" ht="15.75" customHeight="1">
      <c r="A179" s="38"/>
      <c r="B179" s="30"/>
      <c r="C179" s="30"/>
      <c r="D179" s="30"/>
    </row>
    <row r="180" spans="1:4" ht="15.75" customHeight="1">
      <c r="A180" s="38"/>
      <c r="B180" s="30"/>
      <c r="C180" s="30"/>
      <c r="D180" s="30"/>
    </row>
    <row r="181" spans="1:4" ht="15.75" customHeight="1">
      <c r="A181" s="38"/>
      <c r="B181" s="30"/>
      <c r="C181" s="30"/>
      <c r="D181" s="30"/>
    </row>
    <row r="182" spans="1:4" ht="15.75" customHeight="1">
      <c r="A182" s="38"/>
      <c r="B182" s="30"/>
      <c r="C182" s="30"/>
      <c r="D182" s="30"/>
    </row>
    <row r="183" spans="1:4" ht="15.75" customHeight="1">
      <c r="A183" s="38"/>
      <c r="B183" s="30"/>
      <c r="C183" s="30"/>
      <c r="D183" s="30"/>
    </row>
    <row r="184" spans="1:4" ht="15.75" customHeight="1">
      <c r="A184" s="38"/>
      <c r="B184" s="30"/>
      <c r="C184" s="30"/>
      <c r="D184" s="30"/>
    </row>
    <row r="185" spans="1:4" ht="15.75" customHeight="1">
      <c r="A185" s="38"/>
      <c r="B185" s="30"/>
      <c r="C185" s="30"/>
      <c r="D185" s="30"/>
    </row>
    <row r="186" spans="1:4" ht="15.75" customHeight="1">
      <c r="A186" s="38"/>
      <c r="B186" s="30"/>
      <c r="C186" s="30"/>
      <c r="D186" s="30"/>
    </row>
    <row r="187" spans="1:4" ht="15.75" customHeight="1">
      <c r="A187" s="38"/>
      <c r="B187" s="30"/>
      <c r="C187" s="30"/>
      <c r="D187" s="30"/>
    </row>
    <row r="188" spans="1:4" ht="15.75" customHeight="1">
      <c r="A188" s="38"/>
      <c r="B188" s="30"/>
      <c r="C188" s="30"/>
      <c r="D188" s="30"/>
    </row>
    <row r="189" spans="1:4" ht="15.75" customHeight="1">
      <c r="A189" s="38"/>
      <c r="B189" s="30"/>
      <c r="C189" s="30"/>
      <c r="D189" s="30"/>
    </row>
    <row r="190" spans="1:4" ht="15.75" customHeight="1">
      <c r="A190" s="38"/>
      <c r="B190" s="30"/>
      <c r="C190" s="30"/>
      <c r="D190" s="30"/>
    </row>
    <row r="191" spans="1:4" ht="15.75" customHeight="1">
      <c r="A191" s="38"/>
      <c r="B191" s="30"/>
      <c r="C191" s="30"/>
      <c r="D191" s="30"/>
    </row>
    <row r="192" spans="1:4" ht="15.75" customHeight="1">
      <c r="A192" s="38"/>
      <c r="B192" s="30"/>
      <c r="C192" s="30"/>
      <c r="D192" s="30"/>
    </row>
    <row r="193" spans="1:4" ht="15.75" customHeight="1">
      <c r="A193" s="38"/>
      <c r="B193" s="30"/>
      <c r="C193" s="30"/>
      <c r="D193" s="30"/>
    </row>
    <row r="194" spans="1:4" ht="15.75" customHeight="1">
      <c r="A194" s="38"/>
      <c r="B194" s="30"/>
      <c r="C194" s="30"/>
      <c r="D194" s="30"/>
    </row>
    <row r="195" spans="1:4" ht="15.75" customHeight="1">
      <c r="A195" s="38"/>
      <c r="B195" s="30"/>
      <c r="C195" s="30"/>
      <c r="D195" s="30"/>
    </row>
    <row r="196" spans="1:4" ht="15.75" customHeight="1">
      <c r="A196" s="38"/>
      <c r="B196" s="30"/>
      <c r="C196" s="30"/>
      <c r="D196" s="30"/>
    </row>
    <row r="197" spans="1:4" ht="15.75" customHeight="1">
      <c r="A197" s="38"/>
      <c r="B197" s="30"/>
      <c r="C197" s="30"/>
      <c r="D197" s="30"/>
    </row>
    <row r="198" spans="1:4" ht="15.75" customHeight="1">
      <c r="A198" s="38"/>
      <c r="B198" s="30"/>
      <c r="C198" s="30"/>
      <c r="D198" s="30"/>
    </row>
    <row r="199" spans="1:4" ht="15.75" customHeight="1">
      <c r="A199" s="38"/>
      <c r="B199" s="30"/>
      <c r="C199" s="30"/>
      <c r="D199" s="30"/>
    </row>
    <row r="200" spans="1:4" ht="15.75" customHeight="1">
      <c r="A200" s="38"/>
      <c r="B200" s="30"/>
      <c r="C200" s="30"/>
      <c r="D200" s="30"/>
    </row>
    <row r="201" spans="1:4" ht="15.75" customHeight="1">
      <c r="A201" s="38"/>
      <c r="B201" s="30"/>
      <c r="C201" s="30"/>
      <c r="D201" s="30"/>
    </row>
    <row r="202" spans="1:4" ht="15.75" customHeight="1">
      <c r="A202" s="38"/>
      <c r="B202" s="30"/>
      <c r="C202" s="30"/>
      <c r="D202" s="30"/>
    </row>
    <row r="203" spans="1:4" ht="15.75" customHeight="1">
      <c r="A203" s="38"/>
      <c r="B203" s="30"/>
      <c r="C203" s="30"/>
      <c r="D203" s="30"/>
    </row>
    <row r="204" spans="1:4" ht="15.75" customHeight="1">
      <c r="A204" s="38"/>
      <c r="B204" s="30"/>
      <c r="C204" s="30"/>
      <c r="D204" s="30"/>
    </row>
    <row r="205" spans="1:4" ht="15.75" customHeight="1">
      <c r="A205" s="38"/>
      <c r="B205" s="30"/>
      <c r="C205" s="30"/>
      <c r="D205" s="30"/>
    </row>
    <row r="206" spans="1:4" ht="15.75" customHeight="1">
      <c r="A206" s="38"/>
      <c r="B206" s="30"/>
      <c r="C206" s="30"/>
      <c r="D206" s="30"/>
    </row>
    <row r="207" spans="1:4" ht="15.75" customHeight="1">
      <c r="A207" s="38"/>
      <c r="B207" s="30"/>
      <c r="C207" s="30"/>
      <c r="D207" s="30"/>
    </row>
    <row r="208" spans="1:4" ht="15.75" customHeight="1">
      <c r="A208" s="38"/>
      <c r="B208" s="30"/>
      <c r="C208" s="30"/>
      <c r="D208" s="30"/>
    </row>
    <row r="209" spans="1:4" ht="15.75" customHeight="1">
      <c r="A209" s="38"/>
      <c r="B209" s="30"/>
      <c r="C209" s="30"/>
      <c r="D209" s="30"/>
    </row>
    <row r="210" spans="1:4" ht="15.75" customHeight="1">
      <c r="A210" s="38"/>
      <c r="B210" s="30"/>
      <c r="C210" s="30"/>
      <c r="D210" s="30"/>
    </row>
    <row r="211" spans="1:4" ht="15.75" customHeight="1">
      <c r="A211" s="38"/>
      <c r="B211" s="30"/>
      <c r="C211" s="30"/>
      <c r="D211" s="30"/>
    </row>
    <row r="212" spans="1:4" ht="15.75" customHeight="1">
      <c r="A212" s="38"/>
      <c r="B212" s="30"/>
      <c r="C212" s="30"/>
      <c r="D212" s="30"/>
    </row>
    <row r="213" spans="1:4" ht="15.75" customHeight="1">
      <c r="A213" s="38"/>
      <c r="B213" s="30"/>
      <c r="C213" s="30"/>
      <c r="D213" s="30"/>
    </row>
    <row r="214" spans="1:4" ht="15.75" customHeight="1">
      <c r="A214" s="38"/>
      <c r="B214" s="30"/>
      <c r="C214" s="30"/>
      <c r="D214" s="30"/>
    </row>
    <row r="215" spans="1:4" ht="15.75" customHeight="1">
      <c r="A215" s="38"/>
      <c r="B215" s="30"/>
      <c r="C215" s="30"/>
      <c r="D215" s="30"/>
    </row>
    <row r="216" spans="1:4" ht="15.75" customHeight="1">
      <c r="A216" s="38"/>
      <c r="B216" s="30"/>
      <c r="C216" s="30"/>
      <c r="D216" s="30"/>
    </row>
    <row r="217" spans="1:4" ht="15.75" customHeight="1">
      <c r="A217" s="38"/>
      <c r="B217" s="30"/>
      <c r="C217" s="30"/>
      <c r="D217" s="30"/>
    </row>
    <row r="218" spans="1:4" ht="15.75" customHeight="1">
      <c r="A218" s="38"/>
      <c r="B218" s="30"/>
      <c r="C218" s="30"/>
      <c r="D218" s="30"/>
    </row>
    <row r="219" spans="1:4" ht="15.75" customHeight="1">
      <c r="A219" s="38"/>
      <c r="B219" s="30"/>
      <c r="C219" s="30"/>
      <c r="D219" s="30"/>
    </row>
    <row r="220" spans="1:4" ht="15.75" customHeight="1">
      <c r="A220" s="38"/>
      <c r="B220" s="30"/>
      <c r="C220" s="30"/>
      <c r="D220" s="30"/>
    </row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8A</vt:lpstr>
      <vt:lpstr>8B</vt:lpstr>
      <vt:lpstr>8C</vt:lpstr>
      <vt:lpstr>DESEMPEÑOS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 SIERRA JAIR</dc:creator>
  <cp:lastModifiedBy>luis alberto cardenas pernett</cp:lastModifiedBy>
  <dcterms:created xsi:type="dcterms:W3CDTF">2025-04-04T04:40:00Z</dcterms:created>
  <dcterms:modified xsi:type="dcterms:W3CDTF">2026-04-24T19:27:24Z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4C52A42D71584FBD8553B473E6FBA4C5_12</vt:lpwstr>
  </property>
  <property fmtid="{D5CDD505-2E9C-101B-9397-08002B2CF9AE}" pid="3" name="KSOProductBuildVer">
    <vt:lpwstr>3082-12.2.0.21931</vt:lpwstr>
  </property>
</Properties>
</file>